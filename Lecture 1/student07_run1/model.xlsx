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Budget" sheetId="3" state="visible" r:id="rId3"/>
    <sheet name="Cash Flow" sheetId="4" state="visible" r:id="rId4"/>
    <sheet name="Dashboard" sheetId="5" state="visible" r:id="rId5"/>
  </sheets>
  <definedNames>
    <definedName name="_xlnm._FilterDatabase" localSheetId="0" hidden="1">'Read Me'!$A$1:$B$14</definedName>
    <definedName name="_xlnm._FilterDatabase" localSheetId="1" hidden="1">'Inputs'!$A$1:$D$48</definedName>
    <definedName name="_xlnm._FilterDatabase" localSheetId="2" hidden="1">'Budget'!$A$1:$C$18</definedName>
    <definedName name="_xlnm._FilterDatabase" localSheetId="3" hidden="1">'Cash Flow'!$A$1:$T$23</definedName>
    <definedName name="_xlnm._FilterDatabase" localSheetId="4" hidden="1">'Dashboard'!$A$1:$C$19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;[Red](#,##0)"/>
  </numFmts>
  <fonts count="4">
    <font>
      <name val="Calibri"/>
      <family val="2"/>
      <color theme="1"/>
      <sz val="11"/>
      <scheme val="minor"/>
    </font>
    <font>
      <color rgb="001565C0"/>
    </font>
    <font>
      <name val="Calibri"/>
      <b val="1"/>
      <color rgb="00FFFFFF"/>
      <sz val="11"/>
    </font>
    <font>
      <name val="Calibri"/>
      <color rgb="00172E36"/>
    </font>
  </fonts>
  <fills count="4">
    <fill>
      <patternFill/>
    </fill>
    <fill>
      <patternFill patternType="gray125"/>
    </fill>
    <fill>
      <patternFill patternType="solid">
        <fgColor rgb="00EAF4FF"/>
      </patternFill>
    </fill>
    <fill>
      <patternFill patternType="solid">
        <fgColor rgb="00123D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applyAlignment="1" pivotButton="0" quotePrefix="0" xfId="0">
      <alignment vertical="top"/>
    </xf>
    <xf numFmtId="165" fontId="1" fillId="2" borderId="0" applyAlignment="1" pivotButton="0" quotePrefix="0" xfId="0">
      <alignment vertical="top"/>
    </xf>
    <xf numFmtId="166" fontId="1" fillId="2" borderId="0" applyAlignment="1" pivotButton="0" quotePrefix="0" xfId="0">
      <alignment vertical="top"/>
    </xf>
    <xf numFmtId="166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 fitToPage="1"/>
  </s:sheetPr>
  <s:dimension ref="A1:B14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6" customWidth="1" min="1" max="1"/>
    <s:col width="108" customWidth="1" min="2" max="2"/>
  </s:cols>
  <s:sheetData>
    <s:row r="1">
      <s:c r="A1" s="1" t="inlineStr">
        <s:is>
          <s:t>BRUSSELS | STUDENT HOUSING</s:t>
        </s:is>
      </s:c>
      <s:c r="B1" s="1" t="inlineStr">
        <s:is>
          <s:t>How to use this investment screen</s:t>
        </s:is>
      </s:c>
    </s:row>
    <s:row r="2" ht="48" customHeight="1">
      <s:c r="A2" s="2" t="inlineStr">
        <s:is>
          <s:t>Decision</s:t>
        </s:is>
      </s:c>
      <s:c r="B2" s="2" t="inlineStr">
        <s:is>
          <s:t>Illustrative 100-room sustainable development; 10% affordable allocation. Investment screening, not a site valuation or loan offer.</s:t>
        </s:is>
      </s:c>
    </s:row>
    <s:row r="3" ht="48" customHeight="1">
      <s:c r="A3" s="2" t="inlineStr">
        <s:is>
          <s:t>Workflow</s:t>
        </s:is>
      </s:c>
      <s:c r="B3" s="2" t="inlineStr">
        <s:is>
          <s:t>Read Dashboard and Executive Report; edit blue Inputs; inspect Budget and annual Cash Flow; compare Scenarios, Sensitivity and Simulation.</s:t>
        </s:is>
      </s:c>
    </s:row>
    <s:row r="4" ht="48" customHeight="1">
      <s:c r="A4" s="2" t="inlineStr">
        <s:is>
          <s:t>Student housing</s:t>
        </s:is>
      </s:c>
      <s:c r="B4" s="2" t="inlineStr">
        <s:is>
          <s:t>Furnished individual study/bedrooms, private bathrooms, shared kitchens per 8–10 rooms, quiet study rooms, social space, laundry, secure bikes, accessible rooms and resident support.</s:t>
        </s:is>
      </s:c>
    </s:row>
    <s:row r="5" ht="48" customHeight="1">
      <s:c r="A5" s="2" t="inlineStr">
        <s:is>
          <s:t>Location hypothesis</s:t>
        </s:is>
      </s:c>
      <s:c r="B5" s="2" t="inlineStr">
        <s:is>
          <s:t>Walkable transit corridor near ULB/VUB or another Brussels campus; site is not selected. Validate planning use, transit and room-level competing rents.</s:t>
        </s:is>
      </s:c>
    </s:row>
    <s:row r="6" ht="48" customHeight="1">
      <s:c r="A6" s="2" t="inlineStr">
        <s:is>
          <s:t>Timing</s:t>
        </s:is>
      </s:c>
      <s:c r="B6" s="2" t="inlineStr">
        <s:is>
          <s:t>Year 0 financial close and all development spend; Year 1 construction with no rent; Years 2–21 are 20 operating years; sale at end of Year 21.</s:t>
        </s:is>
      </s:c>
    </s:row>
    <s:row r="7" ht="48" customHeight="1">
      <s:c r="A7" s="2" t="inlineStr">
        <s:is>
          <s:t>Cash-flow convention</s:t>
        </s:is>
      </s:c>
      <s:c r="B7" s="2" t="inlineStr">
        <s:is>
          <s:t>Nominal EUR, annual end-year cash flows; pre-corporate-tax; no income-tax shield. Property taxes and irrecoverable development VAT included.</s:t>
        </s:is>
      </s:c>
    </s:row>
    <s:row r="8" ht="48" customHeight="1">
      <s:c r="A8" s="2" t="inlineStr">
        <s:is>
          <s:t>Financing simplification</s:t>
        </s:is>
      </s:c>
      <s:c r="B8" s="2" t="inlineStr">
        <s:is>
          <s:t>All debt drawn at Year 0, interest-only during construction, 25-year amortisation from Year 2. Upfront spend/draw is conservative vs staged drawdown.</s:t>
        </s:is>
      </s:c>
    </s:row>
    <s:row r="9" ht="48" customHeight="1">
      <s:c r="A9" s="2" t="inlineStr">
        <s:is>
          <s:t>Affordability</s:t>
        </s:is>
      </s:c>
      <s:c r="B9" s="2" t="inlineStr">
        <s:is>
          <s:t>10 rooms at EUR450/month including EUR95 services in first operating year. Income eligibility via university welfare partner; identical room quality. Model annual 2% growth; covenant should cap increases.</s:t>
        </s:is>
      </s:c>
    </s:row>
    <s:row r="10" ht="48" customHeight="1">
      <s:c r="A10" s="2" t="inlineStr">
        <s:is>
          <s:t>Sustainability</s:t>
        </s:is>
      </s:c>
      <s:c r="B10" s="2" t="inlineStr">
        <s:is>
          <s:t>Heat pumps, insulation/ventilation, solar, water-saving fixtures, reusable furniture, low-carbon/reused materials and zero parking. Energy targets are design assumptions, not certification.</s:t>
        </s:is>
      </s:c>
    </s:row>
    <s:row r="11" ht="48" customHeight="1">
      <s:c r="A11" s="2" t="inlineStr">
        <s:is>
          <s:t>Sources and confidence</s:t>
        </s:is>
      </s:c>
      <s:c r="B11" s="2" t="inlineStr">
        <s:is>
          <s:t>Sources tab records primary evidence and limitations. Blue inputs are planning assumptions unless marked sourced. Construction, financing, yields and occupancy need quotations.</s:t>
        </s:is>
      </s:c>
    </s:row>
    <s:row r="12" ht="48" customHeight="1">
      <s:c r="A12" s="2" t="inlineStr">
        <s:is>
          <s:t>Simulations</s:t>
        </s:is>
      </s:c>
      <s:c r="B12" s="2" t="inlineStr">
        <s:is>
          <s:t>2,000 fixed-seed joint draws + 7 deterministic cases + 81-point rent/cost grid. Draws are fixed for auditability; formula outcomes recalculate when Inputs change. Rerun script to regenerate.</s:t>
        </s:is>
      </s:c>
    </s:row>
    <s:row r="13" ht="48" customHeight="1">
      <s:c r="A13" s="2" t="inlineStr">
        <s:is>
          <s:t>Limits</s:t>
        </s:is>
      </s:c>
      <s:c r="B13" s="2" t="inlineStr">
        <s:is>
          <s:t>No site, cadastral value, quantity-surveyor quote or tax structure. No operating grants, speculative summer hotels or student deposits treated as income.</s:t>
        </s:is>
      </s:c>
    </s:row>
    <s:row r="14" ht="48" customHeight="1">
      <s:c r="A14" s="2" t="inlineStr">
        <s:is>
          <s:t>Reproduction</s:t>
        </s:is>
      </s:c>
      <s:c r="B14" s="2" t="inlineStr">
        <s:is>
          <s:t>Code: enhanced_model.py (openpyxl). Formula results cached for preview; Excel/LibreOffice recalculates after edits. All saves use a temporary XLSX and atomic replacement.</s:t>
        </s:is>
      </s:c>
    </s:row>
  </s:sheetData>
  <s:autoFilter ref="A1:B14"/>
  <s:pageMargins left="0.75" right="0.75" top="1" bottom="1" header="0.5" footer="0.5"/>
  <s:pageSetup orientation="landscape" paperSize="9" fitToHeight="0" fitToWidth="1"/>
</s:worksheet>
</file>

<file path=xl/worksheets/sheet2.xml><?xml version="1.0" encoding="utf-8"?>
<s:worksheet xmlns:s="http://schemas.openxmlformats.org/spreadsheetml/2006/main">
  <s:sheetPr>
    <s:outlinePr summaryBelow="1" summaryRight="1"/>
    <s:pageSetUpPr fitToPage="1"/>
  </s:sheetPr>
  <s:dimension ref="A1:D48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6" customWidth="1" min="1" max="1"/>
    <s:col width="19" customWidth="1" min="2" max="2"/>
    <s:col width="19" customWidth="1" min="3" max="3"/>
    <s:col width="82" customWidth="1" min="4" max="4"/>
  </s:cols>
  <s:sheetData>
    <s:row r="1">
      <s:c r="A1" s="1" t="inlineStr">
        <s:is>
          <s:t>Input</s:t>
        </s:is>
      </s:c>
      <s:c r="B1" s="1" t="inlineStr">
        <s:is>
          <s:t>Value</s:t>
        </s:is>
      </s:c>
      <s:c r="C1" s="1" t="inlineStr">
        <s:is>
          <s:t>Unit</s:t>
        </s:is>
      </s:c>
      <s:c r="D1" s="1" t="inlineStr">
        <s:is>
          <s:t>Basis / reader guidance</s:t>
        </s:is>
      </s:c>
    </s:row>
    <s:row r="2">
      <s:c r="A2" s="2" t="inlineStr">
        <s:is>
          <s:t>Rooms</s:t>
        </s:is>
      </s:c>
      <s:c r="B2" s="3" t="n">
        <s:v>100</s:v>
      </s:c>
      <s:c r="C2" s="2" t="inlineStr">
        <s:is>
          <s:t>rooms</s:t>
        </s:is>
      </s:c>
      <s:c r="D2" s="2" t="inlineStr">
        <s:is>
          <s:t>Concept; 90 standard and 10 affordable rooms.</s:t>
        </s:is>
      </s:c>
    </s:row>
    <s:row r="3">
      <s:c r="A3" s="2" t="inlineStr">
        <s:is>
          <s:t>Affordable share</s:t>
        </s:is>
      </s:c>
      <s:c r="B3" s="4" t="n">
        <s:v>0.1</s:v>
      </s:c>
      <s:c r="C3" s="2" t="inlineStr">
        <s:is>
          <s:t>%</s:t>
        </s:is>
      </s:c>
      <s:c r="D3" s="2" t="inlineStr">
        <s:is>
          <s:t>User requirement: at least 10%; maintain covenant through sale.</s:t>
        </s:is>
      </s:c>
    </s:row>
    <s:row r="4">
      <s:c r="A4" s="2" t="inlineStr">
        <s:is>
          <s:t>Standard bare rent</s:t>
        </s:is>
      </s:c>
      <s:c r="B4" s="5" t="n">
        <s:v>575</s:v>
      </s:c>
      <s:c r="C4" s="2" t="inlineStr">
        <s:is>
          <s:t>EUR/month</s:t>
        </s:is>
      </s:c>
      <s:c r="D4" s="2" t="inlineStr">
        <s:is>
          <s:t>2025–26 Brussels room with bathroom benchmark: Kotkompas p3; no forecast premium.</s:t>
        </s:is>
      </s:c>
    </s:row>
    <s:row r="5">
      <s:c r="A5" s="2" t="inlineStr">
        <s:is>
          <s:t>Affordable bare rent</s:t>
        </s:is>
      </s:c>
      <s:c r="B5" s="5" t="n">
        <s:v>355</s:v>
      </s:c>
      <s:c r="C5" s="2" t="inlineStr">
        <s:is>
          <s:t>EUR/month</s:t>
        </s:is>
      </s:c>
      <s:c r="D5" s="2" t="inlineStr">
        <s:is>
          <s:t>Assumption; EUR450 including services, close to VUB EUR449.30 all-in 2026–27.</s:t>
        </s:is>
      </s:c>
    </s:row>
    <s:row r="6">
      <s:c r="A6" s="2" t="inlineStr">
        <s:is>
          <s:t>Service charge / occupied room</s:t>
        </s:is>
      </s:c>
      <s:c r="B6" s="5" t="n">
        <s:v>95</s:v>
      </s:c>
      <s:c r="C6" s="2" t="inlineStr">
        <s:is>
          <s:t>EUR/month</s:t>
        </s:is>
      </s:c>
      <s:c r="D6" s="2" t="inlineStr">
        <s:is>
          <s:t>Assumption; below Brussels EUR125 average charges in Kotkompas. Covers utilities and communal services.</s:t>
        </s:is>
      </s:c>
    </s:row>
    <s:row r="7">
      <s:c r="A7" s="2" t="inlineStr">
        <s:is>
          <s:t>Billable months</s:t>
        </s:is>
      </s:c>
      <s:c r="B7" s="3" t="n">
        <s:v>12</s:v>
      </s:c>
      <s:c r="C7" s="2" t="inlineStr">
        <s:is>
          <s:t>months</s:t>
        </s:is>
      </s:c>
      <s:c r="D7" s="2" t="inlineStr">
        <s:is>
          <s:t>Annual lease assumption; financial occupancy captures voids and non-payment.</s:t>
        </s:is>
      </s:c>
    </s:row>
    <s:row r="8">
      <s:c r="A8" s="2" t="inlineStr">
        <s:is>
          <s:t>Stabilised paid occupancy</s:t>
        </s:is>
      </s:c>
      <s:c r="B8" s="4" t="n">
        <s:v>0.95</s:v>
      </s:c>
      <s:c r="C8" s="2" t="inlineStr">
        <s:is>
          <s:t>%</s:t>
        </s:is>
      </s:c>
      <s:c r="D8" s="2" t="inlineStr">
        <s:is>
          <s:t>Assumption; demand alone does not prove absorption.</s:t>
        </s:is>
      </s:c>
    </s:row>
    <s:row r="9">
      <s:c r="A9" s="2" t="inlineStr">
        <s:is>
          <s:t>First operating year occupancy</s:t>
        </s:is>
      </s:c>
      <s:c r="B9" s="4" t="n">
        <s:v>0.85</s:v>
      </s:c>
      <s:c r="C9" s="2" t="inlineStr">
        <s:is>
          <s:t>%</s:t>
        </s:is>
      </s:c>
      <s:c r="D9" s="2" t="inlineStr">
        <s:is>
          <s:t>Lease-up assumption.</s:t>
        </s:is>
      </s:c>
    </s:row>
    <s:row r="10">
      <s:c r="A10" s="2" t="inlineStr">
        <s:is>
          <s:t>Rent and service charge growth</s:t>
        </s:is>
      </s:c>
      <s:c r="B10" s="4" t="n">
        <s:v>0.02</s:v>
      </s:c>
      <s:c r="C10" s="2" t="inlineStr">
        <s:is>
          <s:t>%</s:t>
        </s:is>
      </s:c>
      <s:c r="D10" s="2" t="inlineStr">
        <s:is>
          <s:t>Nominal assumption; not a legal entitlement to indexation.</s:t>
        </s:is>
      </s:c>
    </s:row>
    <s:row r="11">
      <s:c r="A11" s="2" t="inlineStr">
        <s:is>
          <s:t>Operating cost inflation</s:t>
        </s:is>
      </s:c>
      <s:c r="B11" s="4" t="n">
        <s:v>0.025</s:v>
      </s:c>
      <s:c r="C11" s="2" t="inlineStr">
        <s:is>
          <s:t>%</s:t>
        </s:is>
      </s:c>
      <s:c r="D11" s="2" t="inlineStr">
        <s:is>
          <s:t>Assumption.</s:t>
        </s:is>
      </s:c>
    </s:row>
    <s:row r="12">
      <s:c r="A12" s="2" t="inlineStr">
        <s:is>
          <s:t>Project discount rate</s:t>
        </s:is>
      </s:c>
      <s:c r="B12" s="4" t="n">
        <s:v>0.07000000000000001</s:v>
      </s:c>
      <s:c r="C12" s="2" t="inlineStr">
        <s:is>
          <s:t>%</s:t>
        </s:is>
      </s:c>
      <s:c r="D12" s="2" t="inlineStr">
        <s:is>
          <s:t>Unlevered nominal pre-tax hurdle assumption.</s:t>
        </s:is>
      </s:c>
    </s:row>
    <s:row r="13">
      <s:c r="A13" s="2" t="inlineStr">
        <s:is>
          <s:t>Equity discount rate</s:t>
        </s:is>
      </s:c>
      <s:c r="B13" s="4" t="n">
        <s:v>0.09</s:v>
      </s:c>
      <s:c r="C13" s="2" t="inlineStr">
        <s:is>
          <s:t>%</s:t>
        </s:is>
      </s:c>
      <s:c r="D13" s="2" t="inlineStr">
        <s:is>
          <s:t>Levered nominal pre-tax hurdle assumption.</s:t>
        </s:is>
      </s:c>
    </s:row>
    <s:row r="14">
      <s:c r="A14" s="2" t="inlineStr">
        <s:is>
          <s:t>Terminal capitalisation rate</s:t>
        </s:is>
      </s:c>
      <s:c r="B14" s="4" t="n">
        <s:v>0.055</s:v>
      </s:c>
      <s:c r="C14" s="2" t="inlineStr">
        <s:is>
          <s:t>%</s:t>
        </s:is>
      </s:c>
      <s:c r="D14" s="2" t="inlineStr">
        <s:is>
          <s:t>Assumption; sale uses forward NOI before replacement reserve.</s:t>
        </s:is>
      </s:c>
    </s:row>
    <s:row r="15">
      <s:c r="A15" s="2" t="inlineStr">
        <s:is>
          <s:t>Selling costs</s:t>
        </s:is>
      </s:c>
      <s:c r="B15" s="4" t="n">
        <s:v>0.02</s:v>
      </s:c>
      <s:c r="C15" s="2" t="inlineStr">
        <s:is>
          <s:t>%</s:t>
        </s:is>
      </s:c>
      <s:c r="D15" s="2" t="inlineStr">
        <s:is>
          <s:t>Assumption; percentage of gross exit value.</s:t>
        </s:is>
      </s:c>
    </s:row>
    <s:row r="16">
      <s:c r="A16" s="2" t="inlineStr">
        <s:is>
          <s:t>Site acquisition</s:t>
        </s:is>
      </s:c>
      <s:c r="B16" s="5" t="n">
        <s:v>1500000</s:v>
      </s:c>
      <s:c r="C16" s="2" t="inlineStr">
        <s:is>
          <s:t>EUR</s:t>
        </s:is>
      </s:c>
      <s:c r="D16" s="2" t="inlineStr">
        <s:is>
          <s:t>Illustrative existing land acquisition; no site selected.</s:t>
        </s:is>
      </s:c>
    </s:row>
    <s:row r="17">
      <s:c r="A17" s="2" t="inlineStr">
        <s:is>
          <s:t>Registration duty on site</s:t>
        </s:is>
      </s:c>
      <s:c r="B17" s="4" t="n">
        <s:v>0.125</s:v>
      </s:c>
      <s:c r="C17" s="2" t="inlineStr">
        <s:is>
          <s:t>%</s:t>
        </s:is>
      </s:c>
      <s:c r="D17" s="2" t="inlineStr">
        <s:is>
          <s:t>Brussels standard 12.5%; land purchase assumed outside VAT, no abatement.</s:t>
        </s:is>
      </s:c>
    </s:row>
    <s:row r="18">
      <s:c r="A18" s="2" t="inlineStr">
        <s:is>
          <s:t>Gross floor area</s:t>
        </s:is>
      </s:c>
      <s:c r="B18" s="3" t="n">
        <s:v>3000</s:v>
      </s:c>
      <s:c r="C18" s="2" t="inlineStr">
        <s:is>
          <s:t>m2</s:t>
        </s:is>
      </s:c>
      <s:c r="D18" s="2" t="inlineStr">
        <s:is>
          <s:t>30 m2 gross/room inclusive of communal/circulation/plant areas; needs design validation.</s:t>
        </s:is>
      </s:c>
    </s:row>
    <s:row r="19">
      <s:c r="A19" s="2" t="inlineStr">
        <s:is>
          <s:t>Base construction unit cost</s:t>
        </s:is>
      </s:c>
      <s:c r="B19" s="5" t="n">
        <s:v>1800</s:v>
      </s:c>
      <s:c r="C19" s="2" t="inlineStr">
        <s:is>
          <s:t>EUR/m2</s:t>
        </s:is>
      </s:c>
      <s:c r="D19" s="2" t="inlineStr">
        <s:is>
          <s:t>Assumption ex-VAT excluding sustainability package; requires QS quote.</s:t>
        </s:is>
      </s:c>
    </s:row>
    <s:row r="20">
      <s:c r="A20" s="2" t="inlineStr">
        <s:is>
          <s:t>Sustainability package</s:t>
        </s:is>
      </s:c>
      <s:c r="B20" s="5" t="n">
        <s:v>400000</s:v>
      </s:c>
      <s:c r="C20" s="2" t="inlineStr">
        <s:is>
          <s:t>EUR</s:t>
        </s:is>
      </s:c>
      <s:c r="D20" s="2" t="inlineStr">
        <s:is>
          <s:t>Incremental insulation, heat pumps, solar, ventilation and water efficiency.</s:t>
        </s:is>
      </s:c>
    </s:row>
    <s:row r="21">
      <s:c r="A21" s="2" t="inlineStr">
        <s:is>
          <s:t>Furniture and equipment</s:t>
        </s:is>
      </s:c>
      <s:c r="B21" s="5" t="n">
        <s:v>250000</s:v>
      </s:c>
      <s:c r="C21" s="2" t="inlineStr">
        <s:is>
          <s:t>EUR</s:t>
        </s:is>
      </s:c>
      <s:c r="D21" s="2" t="inlineStr">
        <s:is>
          <s:t>Assumption; EUR2500 per room including share of communal furniture.</s:t>
        </s:is>
      </s:c>
    </s:row>
    <s:row r="22">
      <s:c r="A22" s="2" t="inlineStr">
        <s:is>
          <s:t>Professional fees / works</s:t>
        </s:is>
      </s:c>
      <s:c r="B22" s="4" t="n">
        <s:v>0.1</s:v>
      </s:c>
      <s:c r="C22" s="2" t="inlineStr">
        <s:is>
          <s:t>%</s:t>
        </s:is>
      </s:c>
      <s:c r="D22" s="2" t="inlineStr">
        <s:is>
          <s:t>Architect, engineering, EPB, permits, surveys and project management.</s:t>
        </s:is>
      </s:c>
    </s:row>
    <s:row r="23">
      <s:c r="A23" s="2" t="inlineStr">
        <s:is>
          <s:t>Contingency / works</s:t>
        </s:is>
      </s:c>
      <s:c r="B23" s="4" t="n">
        <s:v>0.1</s:v>
      </s:c>
      <s:c r="C23" s="2" t="inlineStr">
        <s:is>
          <s:t>%</s:t>
        </s:is>
      </s:c>
      <s:c r="D23" s="2" t="inlineStr">
        <s:is>
          <s:t>Contingency applied to base works plus green package.</s:t>
        </s:is>
      </s:c>
    </s:row>
    <s:row r="24">
      <s:c r="A24" s="2" t="inlineStr">
        <s:is>
          <s:t>Irrecoverable works VAT</s:t>
        </s:is>
      </s:c>
      <s:c r="B24" s="4" t="n">
        <s:v>0.21</s:v>
      </s:c>
      <s:c r="C24" s="2" t="inlineStr">
        <s:is>
          <s:t>%</s:t>
        </s:is>
      </s:c>
      <s:c r="D24" s="2" t="inlineStr">
        <s:is>
          <s:t>Conservative standard VAT on works, fees, contingency and furniture; no reduced-rate/recovery assumed.</s:t>
        </s:is>
      </s:c>
    </s:row>
    <s:row r="25">
      <s:c r="A25" s="2" t="inlineStr">
        <s:is>
          <s:t>Acquisition legal / due diligence</s:t>
        </s:is>
      </s:c>
      <s:c r="B25" s="5" t="n">
        <s:v>50000</s:v>
      </s:c>
      <s:c r="C25" s="2" t="inlineStr">
        <s:is>
          <s:t>EUR</s:t>
        </s:is>
      </s:c>
      <s:c r="D25" s="2" t="inlineStr">
        <s:is>
          <s:t>Separate site legal, survey and closing allowance.</s:t>
        </s:is>
      </s:c>
    </s:row>
    <s:row r="26">
      <s:c r="A26" s="2" t="inlineStr">
        <s:is>
          <s:t>Financing arrangement / security costs</s:t>
        </s:is>
      </s:c>
      <s:c r="B26" s="5" t="n">
        <s:v>50000</s:v>
      </s:c>
      <s:c r="C26" s="2" t="inlineStr">
        <s:is>
          <s:t>EUR</s:t>
        </s:is>
      </s:c>
      <s:c r="D26" s="2" t="inlineStr">
        <s:is>
          <s:t>Upfront allowance; validate lender/notary quote.</s:t>
        </s:is>
      </s:c>
    </s:row>
    <s:row r="27">
      <s:c r="A27" s="2" t="inlineStr">
        <s:is>
          <s:t>Initial working-capital reserve</s:t>
        </s:is>
      </s:c>
      <s:c r="B27" s="5" t="n">
        <s:v>100000</s:v>
      </s:c>
      <s:c r="C27" s="2" t="inlineStr">
        <s:is>
          <s:t>EUR</s:t>
        </s:is>
      </s:c>
      <s:c r="D27" s="2" t="inlineStr">
        <s:is>
          <s:t>Spent upfront; no recovery at exit assumed.</s:t>
        </s:is>
      </s:c>
    </s:row>
    <s:row r="28">
      <s:c r="A28" s="2" t="inlineStr">
        <s:is>
          <s:t>Confirmed upfront capital grant</s:t>
        </s:is>
      </s:c>
      <s:c r="B28" s="5" t="n">
        <s:v>0</s:v>
      </s:c>
      <s:c r="C28" s="2" t="inlineStr">
        <s:is>
          <s:t>EUR</s:t>
        </s:is>
      </s:c>
      <s:c r="D28" s="2" t="inlineStr">
        <s:is>
          <s:t>Base zero. Scenario grant is hypothetical, conditional and not committed.</s:t>
        </s:is>
      </s:c>
    </s:row>
    <s:row r="29">
      <s:c r="A29" s="2" t="inlineStr">
        <s:is>
          <s:t>Debt / gross development cost</s:t>
        </s:is>
      </s:c>
      <s:c r="B29" s="4" t="n">
        <s:v>0.5</s:v>
      </s:c>
      <s:c r="C29" s="2" t="inlineStr">
        <s:is>
          <s:t>%</s:t>
        </s:is>
      </s:c>
      <s:c r="D29" s="2" t="inlineStr">
        <s:is>
          <s:t>Illustrative senior debt; grant does not automatically increase borrowing capacity.</s:t>
        </s:is>
      </s:c>
    </s:row>
    <s:row r="30">
      <s:c r="A30" s="2" t="inlineStr">
        <s:is>
          <s:t>Debt interest</s:t>
        </s:is>
      </s:c>
      <s:c r="B30" s="4" t="n">
        <s:v>0.045</s:v>
      </s:c>
      <s:c r="C30" s="2" t="inlineStr">
        <s:is>
          <s:t>%</s:t>
        </s:is>
      </s:c>
      <s:c r="D30" s="2" t="inlineStr">
        <s:is>
          <s:t>Assumption fixed for model; validate term sheet.</s:t>
        </s:is>
      </s:c>
    </s:row>
    <s:row r="31">
      <s:c r="A31" s="2" t="inlineStr">
        <s:is>
          <s:t>Debt amortisation term</s:t>
        </s:is>
      </s:c>
      <s:c r="B31" s="3" t="n">
        <s:v>25</s:v>
      </s:c>
      <s:c r="C31" s="2" t="inlineStr">
        <s:is>
          <s:t>years</s:t>
        </s:is>
      </s:c>
      <s:c r="D31" s="2" t="inlineStr">
        <s:is>
          <s:t>Amortisation starts in first operating year; balance repaid at exit.</s:t>
        </s:is>
      </s:c>
    </s:row>
    <s:row r="32">
      <s:c r="A32" s="2" t="inlineStr">
        <s:is>
          <s:t>Construction-year site holding cost</s:t>
        </s:is>
      </s:c>
      <s:c r="B32" s="5" t="n">
        <s:v>25000</s:v>
      </s:c>
      <s:c r="C32" s="2" t="inlineStr">
        <s:is>
          <s:t>EUR/year</s:t>
        </s:is>
      </s:c>
      <s:c r="D32" s="2" t="inlineStr">
        <s:is>
          <s:t>Security, taxes and insurance; construction loan interest separately in equity CF.</s:t>
        </s:is>
      </s:c>
    </s:row>
    <s:row r="33">
      <s:c r="A33" s="2" t="inlineStr">
        <s:is>
          <s:t>Utilities annual cost</s:t>
        </s:is>
      </s:c>
      <s:c r="B33" s="5" t="n">
        <s:v>45000</s:v>
      </s:c>
      <s:c r="C33" s="2" t="inlineStr">
        <s:is>
          <s:t>EUR/year</s:t>
        </s:is>
      </s:c>
      <s:c r="D33" s="2" t="inlineStr">
        <s:is>
          <s:t>Energy and water, all-in owner cost; green design savings already reflected.</s:t>
        </s:is>
      </s:c>
    </s:row>
    <s:row r="34">
      <s:c r="A34" s="2" t="inlineStr">
        <s:is>
          <s:t>Resident support / cleaning / security</s:t>
        </s:is>
      </s:c>
      <s:c r="B34" s="5" t="n">
        <s:v>95000</s:v>
      </s:c>
      <s:c r="C34" s="2" t="inlineStr">
        <s:is>
          <s:t>EUR/year</s:t>
        </s:is>
      </s:c>
      <s:c r="D34" s="2" t="inlineStr">
        <s:is>
          <s:t>Assumption; outsource and part-time resident services.</s:t>
        </s:is>
      </s:c>
    </s:row>
    <s:row r="35">
      <s:c r="A35" s="2" t="inlineStr">
        <s:is>
          <s:t>Repairs and maintenance</s:t>
        </s:is>
      </s:c>
      <s:c r="B35" s="5" t="n">
        <s:v>30000</s:v>
      </s:c>
      <s:c r="C35" s="2" t="inlineStr">
        <s:is>
          <s:t>EUR/year</s:t>
        </s:is>
      </s:c>
      <s:c r="D35" s="2" t="inlineStr">
        <s:is>
          <s:t>Routine expense; separate replacement reserve below.</s:t>
        </s:is>
      </s:c>
    </s:row>
    <s:row r="36">
      <s:c r="A36" s="2" t="inlineStr">
        <s:is>
          <s:t>Property / municipal taxes</s:t>
        </s:is>
      </s:c>
      <s:c r="B36" s="5" t="n">
        <s:v>25000</s:v>
      </s:c>
      <s:c r="C36" s="2" t="inlineStr">
        <s:is>
          <s:t>EUR/year</s:t>
        </s:is>
      </s:c>
      <s:c r="D36" s="2" t="inlineStr">
        <s:is>
          <s:t>Allowance pending cadastral income and municipality; not income tax.</s:t>
        </s:is>
      </s:c>
    </s:row>
    <s:row r="37">
      <s:c r="A37" s="2" t="inlineStr">
        <s:is>
          <s:t>Insurance</s:t>
        </s:is>
      </s:c>
      <s:c r="B37" s="5" t="n">
        <s:v>12000</s:v>
      </s:c>
      <s:c r="C37" s="2" t="inlineStr">
        <s:is>
          <s:t>EUR/year</s:t>
        </s:is>
      </s:c>
      <s:c r="D37" s="2" t="inlineStr">
        <s:is>
          <s:t>Assumption.</s:t>
        </s:is>
      </s:c>
    </s:row>
    <s:row r="38">
      <s:c r="A38" s="2" t="inlineStr">
        <s:is>
          <s:t>Internet and software</s:t>
        </s:is>
      </s:c>
      <s:c r="B38" s="5" t="n">
        <s:v>9000</s:v>
      </s:c>
      <s:c r="C38" s="2" t="inlineStr">
        <s:is>
          <s:t>EUR/year</s:t>
        </s:is>
      </s:c>
      <s:c r="D38" s="2" t="inlineStr">
        <s:is>
          <s:t>Assumption.</s:t>
        </s:is>
      </s:c>
    </s:row>
    <s:row r="39">
      <s:c r="A39" s="2" t="inlineStr">
        <s:is>
          <s:t>Administration / marketing / audit</s:t>
        </s:is>
      </s:c>
      <s:c r="B39" s="5" t="n">
        <s:v>12000</s:v>
      </s:c>
      <s:c r="C39" s="2" t="inlineStr">
        <s:is>
          <s:t>EUR/year</s:t>
        </s:is>
      </s:c>
      <s:c r="D39" s="2" t="inlineStr">
        <s:is>
          <s:t>Assumption.</s:t>
        </s:is>
      </s:c>
    </s:row>
    <s:row r="40">
      <s:c r="A40" s="2" t="inlineStr">
        <s:is>
          <s:t>Management fee / total revenue</s:t>
        </s:is>
      </s:c>
      <s:c r="B40" s="4" t="n">
        <s:v>0.04</s:v>
      </s:c>
      <s:c r="C40" s="2" t="inlineStr">
        <s:is>
          <s:t>%</s:t>
        </s:is>
      </s:c>
      <s:c r="D40" s="2" t="inlineStr">
        <s:is>
          <s:t>Separate from resident services.</s:t>
        </s:is>
      </s:c>
    </s:row>
    <s:row r="41">
      <s:c r="A41" s="2" t="inlineStr">
        <s:is>
          <s:t>Replacement reserve per room</s:t>
        </s:is>
      </s:c>
      <s:c r="B41" s="5" t="n">
        <s:v>200</s:v>
      </s:c>
      <s:c r="C41" s="2" t="inlineStr">
        <s:is>
          <s:t>EUR/room/year</s:t>
        </s:is>
      </s:c>
      <s:c r="D41" s="2" t="inlineStr">
        <s:is>
          <s:t>Cash expense, deducted after NOI; covers lifecycle replacements; not deducted again at exit.</s:t>
        </s:is>
      </s:c>
    </s:row>
    <s:row r="42">
      <s:c r="A42" s="2" t="inlineStr">
        <s:is>
          <s:t>Minimum lender DSCR</s:t>
        </s:is>
      </s:c>
      <s:c r="B42" s="3" t="n">
        <s:v>1.25</s:v>
      </s:c>
      <s:c r="C42" s="2" t="inlineStr">
        <s:is>
          <s:t>ratio</s:t>
        </s:is>
      </s:c>
      <s:c r="D42" s="2" t="inlineStr">
        <s:is>
          <s:t>Assumed covenant; conservative DSCR uses NOI less replacement reserve.</s:t>
        </s:is>
      </s:c>
    </s:row>
    <s:row r="43">
      <s:c r="A43" s="2" t="inlineStr">
        <s:is>
          <s:t>Conventional energy intensity</s:t>
        </s:is>
      </s:c>
      <s:c r="B43" s="3" t="n">
        <s:v>90</s:v>
      </s:c>
      <s:c r="C43" s="2" t="inlineStr">
        <s:is>
          <s:t>kWh/m2/year</s:t>
        </s:is>
      </s:c>
      <s:c r="D43" s="2" t="inlineStr">
        <s:is>
          <s:t>Illustrative purchased energy comparator, not legal threshold.</s:t>
        </s:is>
      </s:c>
    </s:row>
    <s:row r="44">
      <s:c r="A44" s="2" t="inlineStr">
        <s:is>
          <s:t>Green design energy intensity</s:t>
        </s:is>
      </s:c>
      <s:c r="B44" s="3" t="n">
        <s:v>40</s:v>
      </s:c>
      <s:c r="C44" s="2" t="inlineStr">
        <s:is>
          <s:t>kWh/m2/year</s:t>
        </s:is>
      </s:c>
      <s:c r="D44" s="2" t="inlineStr">
        <s:is>
          <s:t>Illustrative annual purchased-energy design target before solar.</s:t>
        </s:is>
      </s:c>
    </s:row>
    <s:row r="45">
      <s:c r="A45" s="2" t="inlineStr">
        <s:is>
          <s:t>Solar usable generation</s:t>
        </s:is>
      </s:c>
      <s:c r="B45" s="3" t="n">
        <s:v>25000</s:v>
      </s:c>
      <s:c r="C45" s="2" t="inlineStr">
        <s:is>
          <s:t>kWh/year</s:t>
        </s:is>
      </s:c>
      <s:c r="D45" s="2" t="inlineStr">
        <s:is>
          <s:t>Assumption; exclude exported electricity from savings.</s:t>
        </s:is>
      </s:c>
    </s:row>
    <s:row r="46">
      <s:c r="A46" s="2" t="inlineStr">
        <s:is>
          <s:t>Energy emission factor</s:t>
        </s:is>
      </s:c>
      <s:c r="B46" s="3" t="n">
        <s:v>0.15</s:v>
      </s:c>
      <s:c r="C46" s="2" t="inlineStr">
        <s:is>
          <s:t>kgCO2e/kWh</s:t>
        </s:is>
      </s:c>
      <s:c r="D46" s="2" t="inlineStr">
        <s:is>
          <s:t>Illustrative blended factor, not certified grid factor.</s:t>
        </s:is>
      </s:c>
    </s:row>
    <s:row r="47">
      <s:c r="A47" s="2" t="inlineStr">
        <s:is>
          <s:t>Annual incremental green operating saving</s:t>
        </s:is>
      </s:c>
      <s:c r="B47" s="5" t="n">
        <s:v>35000</s:v>
      </s:c>
      <s:c r="C47" s="2" t="inlineStr">
        <s:is>
          <s:t>EUR/year</s:t>
        </s:is>
      </s:c>
      <s:c r="D47" s="2" t="inlineStr">
        <s:is>
          <s:t>Counterfactual green vs conventional; already embedded in Utilities; do not add to cash flow again.</s:t>
        </s:is>
      </s:c>
    </s:row>
    <s:row r="48">
      <s:c r="A48" s="2" t="inlineStr">
        <s:is>
          <s:t>Affordable tenant monthly resources</s:t>
        </s:is>
      </s:c>
      <s:c r="B48" s="5" t="n">
        <s:v>1300</s:v>
      </s:c>
      <s:c r="C48" s="2" t="inlineStr">
        <s:is>
          <s:t>EUR/month</s:t>
        </s:is>
      </s:c>
      <s:c r="D48" s="2" t="inlineStr">
        <s:is>
          <s:t>Targeting example for affordability burden, not observed household income.</s:t>
        </s:is>
      </s:c>
    </s:row>
  </s:sheetData>
  <s:autoFilter ref="A1:D48"/>
  <s:dataValidations count="47">
    <s:dataValidation sqref="B2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3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4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5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6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7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8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9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10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11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12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13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14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15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16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17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18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19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20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21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22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23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24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25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26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27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28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29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30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31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32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33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34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35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36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37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38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39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40" showDropDown="0" showInputMessage="0" showErrorMessage="1" allowBlank="0" errorTitle="Invalid input" error="Enter a non-negative number within the allowed range." type="decimal" operator="between">
      <s:formula1>0</s:formula1>
      <s:formula2>1</s:formula2>
    </s:dataValidation>
    <s:dataValidation sqref="B41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42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43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44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45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46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47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  <s:dataValidation sqref="B48" showDropDown="0" showInputMessage="0" showErrorMessage="1" allowBlank="0" errorTitle="Invalid input" error="Enter a non-negative number within the allowed range." type="decimal" operator="between">
      <s:formula1>0</s:formula1>
      <s:formula2>100000000</s:formula2>
    </s:dataValidation>
  </s:dataValidations>
  <s:pageMargins left="0.75" right="0.75" top="1" bottom="1" header="0.5" footer="0.5"/>
  <s:pageSetup orientation="landscape" paperSize="9" fitToHeight="0" fitToWidth="1"/>
</s:worksheet>
</file>

<file path=xl/worksheets/sheet3.xml><?xml version="1.0" encoding="utf-8"?>
<s:worksheet xmlns:s="http://schemas.openxmlformats.org/spreadsheetml/2006/main">
  <s:sheetPr>
    <s:outlinePr summaryBelow="1" summaryRight="1"/>
    <s:pageSetUpPr fitToPage="1"/>
  </s:sheetPr>
  <s:dimension ref="A1:C18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6" customWidth="1" min="1" max="1"/>
    <s:col width="19" customWidth="1" min="2" max="2"/>
    <s:col width="19" customWidth="1" min="3" max="3"/>
  </s:cols>
  <s:sheetData>
    <s:row r="1">
      <s:c r="A1" s="1" t="inlineStr">
        <s:is>
          <s:t>Development cost item</s:t>
        </s:is>
      </s:c>
      <s:c r="B1" s="1" t="inlineStr">
        <s:is>
          <s:t>EUR</s:t>
        </s:is>
      </s:c>
      <s:c r="C1" s="1" t="inlineStr">
        <s:is>
          <s:t>Definition</s:t>
        </s:is>
      </s:c>
    </s:row>
    <s:row r="2">
      <s:c r="A2" s="2" t="inlineStr">
        <s:is>
          <s:t>Site acquisition</s:t>
        </s:is>
      </s:c>
      <s:c r="B2" s="6">
        <s:f>Inputs!$B$16</s:f>
        <s:v>1500000</s:v>
      </s:c>
      <s:c r="C2" s="7" t="n"/>
    </s:row>
    <s:row r="3">
      <s:c r="A3" s="2" t="inlineStr">
        <s:is>
          <s:t>Site registration duty</s:t>
        </s:is>
      </s:c>
      <s:c r="B3" s="6">
        <s:f>Inputs!$B$16*Inputs!$B$17</s:f>
        <s:v>187500.0</s:v>
      </s:c>
      <s:c r="C3" s="7" t="n"/>
    </s:row>
    <s:row r="4">
      <s:c r="A4" s="2" t="inlineStr">
        <s:is>
          <s:t>Base construction</s:t>
        </s:is>
      </s:c>
      <s:c r="B4" s="6">
        <s:f>Inputs!$B$18*Inputs!$B$19</s:f>
        <s:v>5400000</s:v>
      </s:c>
      <s:c r="C4" s="7" t="n"/>
    </s:row>
    <s:row r="5">
      <s:c r="A5" s="2" t="inlineStr">
        <s:is>
          <s:t>Sustainability package</s:t>
        </s:is>
      </s:c>
      <s:c r="B5" s="6">
        <s:f>Inputs!$B$20</s:f>
        <s:v>400000</s:v>
      </s:c>
      <s:c r="C5" s="7" t="n"/>
    </s:row>
    <s:row r="6">
      <s:c r="A6" s="2" t="inlineStr">
        <s:is>
          <s:t>Furniture</s:t>
        </s:is>
      </s:c>
      <s:c r="B6" s="6">
        <s:f>Inputs!$B$21</s:f>
        <s:v>250000</s:v>
      </s:c>
      <s:c r="C6" s="7" t="n"/>
    </s:row>
    <s:row r="7">
      <s:c r="A7" s="2" t="inlineStr">
        <s:is>
          <s:t>Professional fees</s:t>
        </s:is>
      </s:c>
      <s:c r="B7" s="6">
        <s:f>(B4+B5)*Inputs!$B$22</s:f>
        <s:v>580000.0</s:v>
      </s:c>
      <s:c r="C7" s="7" t="n"/>
    </s:row>
    <s:row r="8">
      <s:c r="A8" s="2" t="inlineStr">
        <s:is>
          <s:t>Contingency</s:t>
        </s:is>
      </s:c>
      <s:c r="B8" s="6">
        <s:f>(B4+B5)*Inputs!$B$23</s:f>
        <s:v>580000.0</s:v>
      </s:c>
      <s:c r="C8" s="7" t="n"/>
    </s:row>
    <s:row r="9">
      <s:c r="A9" s="2" t="inlineStr">
        <s:is>
          <s:t>Irrecoverable VAT</s:t>
        </s:is>
      </s:c>
      <s:c r="B9" s="6">
        <s:f>SUM(B4:B8)*Inputs!$B$24</s:f>
        <s:v>1514100.0</s:v>
      </s:c>
      <s:c r="C9" s="7" t="n"/>
    </s:row>
    <s:row r="10">
      <s:c r="A10" s="2" t="inlineStr">
        <s:is>
          <s:t>Legal and due diligence</s:t>
        </s:is>
      </s:c>
      <s:c r="B10" s="6">
        <s:f>Inputs!$B$25</s:f>
        <s:v>50000</s:v>
      </s:c>
      <s:c r="C10" s="7" t="n"/>
    </s:row>
    <s:row r="11">
      <s:c r="A11" s="2" t="inlineStr">
        <s:is>
          <s:t>Financing fees</s:t>
        </s:is>
      </s:c>
      <s:c r="B11" s="6">
        <s:f>Inputs!$B$26</s:f>
        <s:v>50000</s:v>
      </s:c>
      <s:c r="C11" s="7" t="n"/>
    </s:row>
    <s:row r="12">
      <s:c r="A12" s="2" t="inlineStr">
        <s:is>
          <s:t>Working capital</s:t>
        </s:is>
      </s:c>
      <s:c r="B12" s="6">
        <s:f>Inputs!$B$27</s:f>
        <s:v>100000</s:v>
      </s:c>
      <s:c r="C12" s="7" t="n"/>
    </s:row>
    <s:row r="13">
      <s:c r="A13" s="2" t="inlineStr">
        <s:is>
          <s:t>GROSS DEVELOPMENT COST</s:t>
        </s:is>
      </s:c>
      <s:c r="B13" s="6">
        <s:f>SUM(B2:B12)</s:f>
        <s:v>10611600.0</s:v>
      </s:c>
      <s:c r="C13" s="7" t="n"/>
    </s:row>
    <s:row r="14">
      <s:c r="A14" s="2" t="inlineStr">
        <s:is>
          <s:t>Confirmed grant</s:t>
        </s:is>
      </s:c>
      <s:c r="B14" s="6">
        <s:f>Inputs!$B$28</s:f>
        <s:v>0</s:v>
      </s:c>
      <s:c r="C14" s="7" t="n"/>
    </s:row>
    <s:row r="15">
      <s:c r="A15" s="2" t="inlineStr">
        <s:is>
          <s:t>Net cost to capital providers</s:t>
        </s:is>
      </s:c>
      <s:c r="B15" s="6">
        <s:f>B13-B14</s:f>
        <s:v>10611600.0</s:v>
      </s:c>
      <s:c r="C15" s="7" t="n"/>
    </s:row>
    <s:row r="16">
      <s:c r="A16" s="2" t="inlineStr">
        <s:is>
          <s:t>Initial debt</s:t>
        </s:is>
      </s:c>
      <s:c r="B16" s="6">
        <s:f>B13*Inputs!$B$29</s:f>
        <s:v>5305800.0</s:v>
      </s:c>
      <s:c r="C16" s="7" t="n"/>
    </s:row>
    <s:row r="17">
      <s:c r="A17" s="2" t="inlineStr">
        <s:is>
          <s:t>Initial equity</s:t>
        </s:is>
      </s:c>
      <s:c r="B17" s="6">
        <s:f>B15-B16</s:f>
        <s:v>5305800.0</s:v>
      </s:c>
      <s:c r="C17" s="7" t="n"/>
    </s:row>
    <s:row r="18">
      <s:c r="A18" s="2" t="inlineStr">
        <s:is>
          <s:t>Gross cost / room</s:t>
        </s:is>
      </s:c>
      <s:c r="B18" s="6">
        <s:f>B13/Inputs!$B$2</s:f>
        <s:v>106116.0</s:v>
      </s:c>
      <s:c r="C18" s="7" t="n"/>
    </s:row>
  </s:sheetData>
  <s:autoFilter ref="A1:C18"/>
  <s:pageMargins left="0.75" right="0.75" top="1" bottom="1" header="0.5" footer="0.5"/>
  <s:pageSetup orientation="landscape" paperSize="9" fitToHeight="0" fitToWidth="1"/>
</s:worksheet>
</file>

<file path=xl/worksheets/sheet4.xml><?xml version="1.0" encoding="utf-8"?>
<s:worksheet xmlns:s="http://schemas.openxmlformats.org/spreadsheetml/2006/main">
  <s:sheetPr>
    <s:outlinePr summaryBelow="1" summaryRight="1"/>
    <s:pageSetUpPr fitToPage="1"/>
  </s:sheetPr>
  <s:dimension ref="A1:T23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6" customWidth="1" min="1" max="1"/>
    <s:col width="19" customWidth="1" min="2" max="2"/>
    <s:col width="19" customWidth="1" min="3" max="3"/>
    <s:col width="19" customWidth="1" min="4" max="4"/>
    <s:col width="19" customWidth="1" min="5" max="5"/>
    <s:col width="19" customWidth="1" min="6" max="6"/>
    <s:col width="19" customWidth="1" min="7" max="7"/>
    <s:col width="19" customWidth="1" min="8" max="8"/>
    <s:col width="19" customWidth="1" min="9" max="9"/>
    <s:col width="19" customWidth="1" min="10" max="10"/>
    <s:col width="19" customWidth="1" min="11" max="11"/>
    <s:col width="19" customWidth="1" min="12" max="12"/>
    <s:col width="19" customWidth="1" min="13" max="13"/>
    <s:col width="19" customWidth="1" min="14" max="14"/>
    <s:col width="19" customWidth="1" min="15" max="15"/>
    <s:col width="19" customWidth="1" min="16" max="16"/>
    <s:col width="19" customWidth="1" min="17" max="17"/>
    <s:col width="19" customWidth="1" min="18" max="18"/>
    <s:col width="19" customWidth="1" min="19" max="19"/>
    <s:col width="19" customWidth="1" min="20" max="20"/>
  </s:cols>
  <s:sheetData>
    <s:row r="1">
      <s:c r="A1" s="1" t="inlineStr">
        <s:is>
          <s:t>Year</s:t>
        </s:is>
      </s:c>
      <s:c r="B1" s="1" t="inlineStr">
        <s:is>
          <s:t>Operating year</s:t>
        </s:is>
      </s:c>
      <s:c r="C1" s="1" t="inlineStr">
        <s:is>
          <s:t>Total revenue</s:t>
        </s:is>
      </s:c>
      <s:c r="D1" s="1" t="inlineStr">
        <s:is>
          <s:t>Fixed operating costs</s:t>
        </s:is>
      </s:c>
      <s:c r="E1" s="1" t="inlineStr">
        <s:is>
          <s:t>Management fee</s:t>
        </s:is>
      </s:c>
      <s:c r="F1" s="1" t="inlineStr">
        <s:is>
          <s:t>NOI</s:t>
        </s:is>
      </s:c>
      <s:c r="G1" s="1" t="inlineStr">
        <s:is>
          <s:t>Replacement reserve</s:t>
        </s:is>
      </s:c>
      <s:c r="H1" s="1" t="inlineStr">
        <s:is>
          <s:t>Opening debt</s:t>
        </s:is>
      </s:c>
      <s:c r="I1" s="1" t="inlineStr">
        <s:is>
          <s:t>Interest</s:t>
        </s:is>
      </s:c>
      <s:c r="J1" s="1" t="inlineStr">
        <s:is>
          <s:t>Principal</s:t>
        </s:is>
      </s:c>
      <s:c r="K1" s="1" t="inlineStr">
        <s:is>
          <s:t>Debt service</s:t>
        </s:is>
      </s:c>
      <s:c r="L1" s="1" t="inlineStr">
        <s:is>
          <s:t>Closing debt</s:t>
        </s:is>
      </s:c>
      <s:c r="M1" s="1" t="inlineStr">
        <s:is>
          <s:t>Net sale proceeds</s:t>
        </s:is>
      </s:c>
      <s:c r="N1" s="1" t="inlineStr">
        <s:is>
          <s:t>Project CF</s:t>
        </s:is>
      </s:c>
      <s:c r="O1" s="1" t="inlineStr">
        <s:is>
          <s:t>Equity CF</s:t>
        </s:is>
      </s:c>
      <s:c r="P1" s="1" t="inlineStr">
        <s:is>
          <s:t>Cash DSCR</s:t>
        </s:is>
      </s:c>
      <s:c r="Q1" s="1" t="inlineStr">
        <s:is>
          <s:t>Cum project CF</s:t>
        </s:is>
      </s:c>
      <s:c r="R1" s="1" t="inlineStr">
        <s:is>
          <s:t>Discounted project CF</s:t>
        </s:is>
      </s:c>
      <s:c r="S1" s="1" t="inlineStr">
        <s:is>
          <s:t>Cum discounted CF</s:t>
        </s:is>
      </s:c>
      <s:c r="T1" s="1" t="inlineStr">
        <s:is>
          <s:t>Cumulative equity CF</s:t>
        </s:is>
      </s:c>
    </s:row>
    <s:row r="2">
      <s:c r="A2" s="8" t="n">
        <s:v>0</s:v>
      </s:c>
      <s:c r="B2" s="8" t="n">
        <s:v>0</s:v>
      </s:c>
      <s:c r="C2" s="9" t="n">
        <s:v>0</s:v>
      </s:c>
      <s:c r="D2" s="9" t="n">
        <s:v>0</s:v>
      </s:c>
      <s:c r="E2" s="9" t="n">
        <s:v>0</s:v>
      </s:c>
      <s:c r="F2" s="9" t="n">
        <s:v>0</s:v>
      </s:c>
      <s:c r="G2" s="9" t="n">
        <s:v>0</s:v>
      </s:c>
      <s:c r="H2" s="9" t="n">
        <s:v>0</s:v>
      </s:c>
      <s:c r="I2" s="9" t="n">
        <s:v>0</s:v>
      </s:c>
      <s:c r="J2" s="9" t="n">
        <s:v>0</s:v>
      </s:c>
      <s:c r="K2" s="9" t="n">
        <s:v>0</s:v>
      </s:c>
      <s:c r="L2" s="6">
        <s:f>Budget!B16</s:f>
        <s:v>5305800.0</s:v>
      </s:c>
      <s:c r="M2" s="9" t="n">
        <s:v>0</s:v>
      </s:c>
      <s:c r="N2" s="6">
        <s:f>-Budget!B15</s:f>
        <s:v>-10611600.0</s:v>
      </s:c>
      <s:c r="O2" s="6">
        <s:f>-Budget!B17</s:f>
        <s:v>-5305800.0</s:v>
      </s:c>
      <s:c r="P2" s="8" t="n">
        <s:v>0</s:v>
      </s:c>
      <s:c r="Q2" s="6">
        <s:f>N2</s:f>
        <s:v>-10611600.0</s:v>
      </s:c>
      <s:c r="R2" s="6">
        <s:f>N2</s:f>
        <s:v>-10611600.0</s:v>
      </s:c>
      <s:c r="S2" s="6">
        <s:f>R2</s:f>
        <s:v>-10611600.0</s:v>
      </s:c>
      <s:c r="T2" s="6">
        <s:f>SUM(O$2:O2)</s:f>
        <s:v>-5305800.0</s:v>
      </s:c>
    </s:row>
    <s:row r="3">
      <s:c r="A3" s="8" t="n">
        <s:v>1</s:v>
      </s:c>
      <s:c r="B3" s="10">
        <s:f>A3-1</s:f>
        <s:v>0</s:v>
      </s:c>
      <s:c r="C3" s="6">
        <s:f>IF(B3&lt;1,0,Inputs!$B$2*((1-Inputs!$B$3)*Inputs!$B$4+Inputs!$B$3*Inputs!$B$5+Inputs!$B$6)*Inputs!$B$7*IF(B3=1,Inputs!$B$9,Inputs!$B$8)*(1+Inputs!$B$10)^(B3-1))</s:f>
        <s:v>0</s:v>
      </s:c>
      <s:c r="D3" s="6">
        <s:f>IF(B3&lt;1,Inputs!$B$32,SUM(Inputs!$B$33,Inputs!$B$34,Inputs!$B$35,Inputs!$B$36,Inputs!$B$37,Inputs!$B$38,Inputs!$B$39)*(1+Inputs!$B$11)^(B3-1))</s:f>
        <s:v>25000</s:v>
      </s:c>
      <s:c r="E3" s="6">
        <s:f>C3*Inputs!$B$40</s:f>
        <s:v>0.0</s:v>
      </s:c>
      <s:c r="F3" s="6">
        <s:f>C3-D3-E3</s:f>
        <s:v>-25000.0</s:v>
      </s:c>
      <s:c r="G3" s="6">
        <s:f>IF(B3&lt;1,0,Inputs!$B$2*Inputs!$B$41*(1+Inputs!$B$11)^(B3-1))</s:f>
        <s:v>0</s:v>
      </s:c>
      <s:c r="H3" s="6">
        <s:f>L2</s:f>
        <s:v>5305800.0</s:v>
      </s:c>
      <s:c r="I3" s="6">
        <s:f>H3*Inputs!$B$30</s:f>
        <s:v>238761.0</s:v>
      </s:c>
      <s:c r="J3" s="6">
        <s:f>IF(B3&lt;1,0,MIN(H3,MAX(0,-PMT(Inputs!$B$30,Inputs!$B$31,Budget!B16)-I3)))</s:f>
        <s:v>0</s:v>
      </s:c>
      <s:c r="K3" s="6">
        <s:f>I3+J3</s:f>
        <s:v>238761.0</s:v>
      </s:c>
      <s:c r="L3" s="6">
        <s:f>H3-J3</s:f>
        <s:v>5305800.0</s:v>
      </s:c>
      <s:c r="M3" s="6">
        <s:f>IF(A3=21,((C3/IF(B3=1,Inputs!$B$9,Inputs!$B$8)*Inputs!$B$8*(1+Inputs!$B$10)*(1-Inputs!$B$40)-D3*(1+Inputs!$B$11))/Inputs!$B$14*(1-Inputs!$B$15),0)</s:f>
        <s:v>0</s:v>
      </s:c>
      <s:c r="N3" s="6">
        <s:f>F3-G3+M3</s:f>
        <s:v>-25000.0</s:v>
      </s:c>
      <s:c r="O3" s="6">
        <s:f>N3-K3-IF(A3=21,L3,0)</s:f>
        <s:v>-263761.0</s:v>
      </s:c>
      <s:c r="P3" s="10" t="str">
        <s:f>IF(B3&lt;1,"Construction",(F3-G3)/K3)</s:f>
        <s:v>Construction</s:v>
      </s:c>
      <s:c r="Q3" s="6">
        <s:f>Q2+N3</s:f>
        <s:v>-10636600.0</s:v>
      </s:c>
      <s:c r="R3" s="6">
        <s:f>N3/(1+Inputs!$B$12)^A3</s:f>
        <s:v>-23364.48598130841</s:v>
      </s:c>
      <s:c r="S3" s="6">
        <s:f>S2+R3</s:f>
        <s:v>-10634964.485981308</s:v>
      </s:c>
      <s:c r="T3" s="6">
        <s:f>SUM(O$2:O3)</s:f>
        <s:v>-5569561.0</s:v>
      </s:c>
    </s:row>
    <s:row r="4">
      <s:c r="A4" s="8" t="n">
        <s:v>2</s:v>
      </s:c>
      <s:c r="B4" s="10">
        <s:f>A4-1</s:f>
        <s:v>1</s:v>
      </s:c>
      <s:c r="C4" s="6">
        <s:f>IF(B4&lt;1,0,Inputs!$B$2*((1-Inputs!$B$3)*Inputs!$B$4+Inputs!$B$3*Inputs!$B$5+Inputs!$B$6)*Inputs!$B$7*IF(B4=1,Inputs!$B$9,Inputs!$B$8)*(1+Inputs!$B$10)^(B4-1))</s:f>
        <s:v>660960.0</s:v>
      </s:c>
      <s:c r="D4" s="6">
        <s:f>IF(B4&lt;1,Inputs!$B$32,SUM(Inputs!$B$33,Inputs!$B$34,Inputs!$B$35,Inputs!$B$36,Inputs!$B$37,Inputs!$B$38,Inputs!$B$39)*(1+Inputs!$B$11)^(B4-1))</s:f>
        <s:v>228000.0</s:v>
      </s:c>
      <s:c r="E4" s="6">
        <s:f>C4*Inputs!$B$40</s:f>
        <s:v>26438.4</s:v>
      </s:c>
      <s:c r="F4" s="6">
        <s:f>C4-D4-E4</s:f>
        <s:v>406521.6</s:v>
      </s:c>
      <s:c r="G4" s="6">
        <s:f>IF(B4&lt;1,0,Inputs!$B$2*Inputs!$B$41*(1+Inputs!$B$11)^(B4-1))</s:f>
        <s:v>20000.0</s:v>
      </s:c>
      <s:c r="H4" s="6">
        <s:f>L3</s:f>
        <s:v>5305800.0</s:v>
      </s:c>
      <s:c r="I4" s="6">
        <s:f>H4*Inputs!$B$30</s:f>
        <s:v>238761.0</s:v>
      </s:c>
      <s:c r="J4" s="6">
        <s:f>IF(B4&lt;1,0,MIN(H4,MAX(0,-PMT(Inputs!$B$30,Inputs!$B$31,Budget!B16)-I4)))</s:f>
        <s:v>119056.99496770551</s:v>
      </s:c>
      <s:c r="K4" s="6">
        <s:f>I4+J4</s:f>
        <s:v>357817.9949677055</s:v>
      </s:c>
      <s:c r="L4" s="6">
        <s:f>H4-J4</s:f>
        <s:v>5186743.005032294</s:v>
      </s:c>
      <s:c r="M4" s="6">
        <s:f>IF(A4=21,((C4/IF(B4=1,Inputs!$B$9,Inputs!$B$8)*Inputs!$B$8*(1+Inputs!$B$10)*(1-Inputs!$B$40)-D4*(1+Inputs!$B$11))/Inputs!$B$14*(1-Inputs!$B$15),0)</s:f>
        <s:v>0</s:v>
      </s:c>
      <s:c r="N4" s="6">
        <s:f>F4-G4+M4</s:f>
        <s:v>386521.6</s:v>
      </s:c>
      <s:c r="O4" s="6">
        <s:f>N4-K4-IF(A4=21,L4,0)</s:f>
        <s:v>28703.605032294465</s:v>
      </s:c>
      <s:c r="P4" s="10">
        <s:f>IF(B4&lt;1,"Construction",(F4-G4)/K4)</s:f>
        <s:v>1.0802184502623606</s:v>
      </s:c>
      <s:c r="Q4" s="6">
        <s:f>Q3+N4</s:f>
        <s:v>-10250078.4</s:v>
      </s:c>
      <s:c r="R4" s="6">
        <s:f>N4/(1+Inputs!$B$12)^A4</s:f>
        <s:v>337602.934754127</s:v>
      </s:c>
      <s:c r="S4" s="6">
        <s:f>S3+R4</s:f>
        <s:v>-10297361.55122718</s:v>
      </s:c>
      <s:c r="T4" s="6">
        <s:f>SUM(O$2:O4)</s:f>
        <s:v>-5540857.394967706</s:v>
      </s:c>
    </s:row>
    <s:row r="5">
      <s:c r="A5" s="8" t="n">
        <s:v>3</s:v>
      </s:c>
      <s:c r="B5" s="10">
        <s:f>A5-1</s:f>
        <s:v>2</s:v>
      </s:c>
      <s:c r="C5" s="6">
        <s:f>IF(B5&lt;1,0,Inputs!$B$2*((1-Inputs!$B$3)*Inputs!$B$4+Inputs!$B$3*Inputs!$B$5+Inputs!$B$6)*Inputs!$B$7*IF(B5=1,Inputs!$B$9,Inputs!$B$8)*(1+Inputs!$B$10)^(B5-1))</s:f>
        <s:v>753494.4</s:v>
      </s:c>
      <s:c r="D5" s="6">
        <s:f>IF(B5&lt;1,Inputs!$B$32,SUM(Inputs!$B$33,Inputs!$B$34,Inputs!$B$35,Inputs!$B$36,Inputs!$B$37,Inputs!$B$38,Inputs!$B$39)*(1+Inputs!$B$11)^(B5-1))</s:f>
        <s:v>233699.99999999997</s:v>
      </s:c>
      <s:c r="E5" s="6">
        <s:f>C5*Inputs!$B$40</s:f>
        <s:v>30139.776</s:v>
      </s:c>
      <s:c r="F5" s="6">
        <s:f>C5-D5-E5</s:f>
        <s:v>489654.62399999995</s:v>
      </s:c>
      <s:c r="G5" s="6">
        <s:f>IF(B5&lt;1,0,Inputs!$B$2*Inputs!$B$41*(1+Inputs!$B$11)^(B5-1))</s:f>
        <s:v>20500.0</s:v>
      </s:c>
      <s:c r="H5" s="6">
        <s:f>L4</s:f>
        <s:v>5186743.005032294</s:v>
      </s:c>
      <s:c r="I5" s="6">
        <s:f>H5*Inputs!$B$30</s:f>
        <s:v>233403.43522645324</s:v>
      </s:c>
      <s:c r="J5" s="6">
        <s:f>IF(B5&lt;1,0,MIN(H5,MAX(0,-PMT(Inputs!$B$30,Inputs!$B$31,Budget!B16)-I5)))</s:f>
        <s:v>124414.55974125228</s:v>
      </s:c>
      <s:c r="K5" s="6">
        <s:f>I5+J5</s:f>
        <s:v>357817.9949677055</s:v>
      </s:c>
      <s:c r="L5" s="6">
        <s:f>H5-J5</s:f>
        <s:v>5062328.445291042</s:v>
      </s:c>
      <s:c r="M5" s="6">
        <s:f>IF(A5=21,((C5/IF(B5=1,Inputs!$B$9,Inputs!$B$8)*Inputs!$B$8*(1+Inputs!$B$10)*(1-Inputs!$B$40)-D5*(1+Inputs!$B$11))/Inputs!$B$14*(1-Inputs!$B$15),0)</s:f>
        <s:v>0</s:v>
      </s:c>
      <s:c r="N5" s="6">
        <s:f>F5-G5+M5</s:f>
        <s:v>469154.62399999995</s:v>
      </s:c>
      <s:c r="O5" s="6">
        <s:f>N5-K5-IF(A5=21,L5,0)</s:f>
        <s:v>111336.62903229444</s:v>
      </s:c>
      <s:c r="P5" s="10">
        <s:f>IF(B5&lt;1,"Construction",(F5-G5)/K5)</s:f>
        <s:v>1.3111543594735726</s:v>
      </s:c>
      <s:c r="Q5" s="6">
        <s:f>Q4+N5</s:f>
        <s:v>-9780923.776</s:v>
      </s:c>
      <s:c r="R5" s="6">
        <s:f>N5/(1+Inputs!$B$12)^A5</s:f>
        <s:v>382969.9235047259</s:v>
      </s:c>
      <s:c r="S5" s="6">
        <s:f>S4+R5</s:f>
        <s:v>-9914391.627722455</s:v>
      </s:c>
      <s:c r="T5" s="6">
        <s:f>SUM(O$2:O5)</s:f>
        <s:v>-5429520.765935412</s:v>
      </s:c>
    </s:row>
    <s:row r="6">
      <s:c r="A6" s="8" t="n">
        <s:v>4</s:v>
      </s:c>
      <s:c r="B6" s="10">
        <s:f>A6-1</s:f>
        <s:v>3</s:v>
      </s:c>
      <s:c r="C6" s="6">
        <s:f>IF(B6&lt;1,0,Inputs!$B$2*((1-Inputs!$B$3)*Inputs!$B$4+Inputs!$B$3*Inputs!$B$5+Inputs!$B$6)*Inputs!$B$7*IF(B6=1,Inputs!$B$9,Inputs!$B$8)*(1+Inputs!$B$10)^(B6-1))</s:f>
        <s:v>768564.288</s:v>
      </s:c>
      <s:c r="D6" s="6">
        <s:f>IF(B6&lt;1,Inputs!$B$32,SUM(Inputs!$B$33,Inputs!$B$34,Inputs!$B$35,Inputs!$B$36,Inputs!$B$37,Inputs!$B$38,Inputs!$B$39)*(1+Inputs!$B$11)^(B6-1))</s:f>
        <s:v>239542.49999999997</s:v>
      </s:c>
      <s:c r="E6" s="6">
        <s:f>C6*Inputs!$B$40</s:f>
        <s:v>30742.571519999998</s:v>
      </s:c>
      <s:c r="F6" s="6">
        <s:f>C6-D6-E6</s:f>
        <s:v>498279.21647999994</s:v>
      </s:c>
      <s:c r="G6" s="6">
        <s:f>IF(B6&lt;1,0,Inputs!$B$2*Inputs!$B$41*(1+Inputs!$B$11)^(B6-1))</s:f>
        <s:v>21012.5</s:v>
      </s:c>
      <s:c r="H6" s="6">
        <s:f>L5</s:f>
        <s:v>5062328.445291042</s:v>
      </s:c>
      <s:c r="I6" s="6">
        <s:f>H6*Inputs!$B$30</s:f>
        <s:v>227804.78003809688</s:v>
      </s:c>
      <s:c r="J6" s="6">
        <s:f>IF(B6&lt;1,0,MIN(H6,MAX(0,-PMT(Inputs!$B$30,Inputs!$B$31,Budget!B16)-I6)))</s:f>
        <s:v>130013.21492960863</s:v>
      </s:c>
      <s:c r="K6" s="6">
        <s:f>I6+J6</s:f>
        <s:v>357817.9949677055</s:v>
      </s:c>
      <s:c r="L6" s="6">
        <s:f>H6-J6</s:f>
        <s:v>4932315.230361434</s:v>
      </s:c>
      <s:c r="M6" s="6">
        <s:f>IF(A6=21,((C6/IF(B6=1,Inputs!$B$9,Inputs!$B$8)*Inputs!$B$8*(1+Inputs!$B$10)*(1-Inputs!$B$40)-D6*(1+Inputs!$B$11))/Inputs!$B$14*(1-Inputs!$B$15),0)</s:f>
        <s:v>0</s:v>
      </s:c>
      <s:c r="N6" s="6">
        <s:f>F6-G6+M6</s:f>
        <s:v>477266.71647999994</s:v>
      </s:c>
      <s:c r="O6" s="6">
        <s:f>N6-K6-IF(A6=21,L6,0)</s:f>
        <s:v>119448.72151229443</s:v>
      </s:c>
      <s:c r="P6" s="10">
        <s:f>IF(B6&lt;1,"Construction",(F6-G6)/K6)</s:f>
        <s:v>1.3338253614748334</s:v>
      </s:c>
      <s:c r="Q6" s="6">
        <s:f>Q5+N6</s:f>
        <s:v>-9303657.05952</s:v>
      </s:c>
      <s:c r="R6" s="6">
        <s:f>N6/(1+Inputs!$B$12)^A6</s:f>
        <s:v>364104.4928722356</s:v>
      </s:c>
      <s:c r="S6" s="6">
        <s:f>S5+R6</s:f>
        <s:v>-9550287.134850219</s:v>
      </s:c>
      <s:c r="T6" s="6">
        <s:f>SUM(O$2:O6)</s:f>
        <s:v>-5310072.044423117</s:v>
      </s:c>
    </s:row>
    <s:row r="7">
      <s:c r="A7" s="8" t="n">
        <s:v>5</s:v>
      </s:c>
      <s:c r="B7" s="10">
        <s:f>A7-1</s:f>
        <s:v>4</s:v>
      </s:c>
      <s:c r="C7" s="6">
        <s:f>IF(B7&lt;1,0,Inputs!$B$2*((1-Inputs!$B$3)*Inputs!$B$4+Inputs!$B$3*Inputs!$B$5+Inputs!$B$6)*Inputs!$B$7*IF(B7=1,Inputs!$B$9,Inputs!$B$8)*(1+Inputs!$B$10)^(B7-1))</s:f>
        <s:v>783935.57376</s:v>
      </s:c>
      <s:c r="D7" s="6">
        <s:f>IF(B7&lt;1,Inputs!$B$32,SUM(Inputs!$B$33,Inputs!$B$34,Inputs!$B$35,Inputs!$B$36,Inputs!$B$37,Inputs!$B$38,Inputs!$B$39)*(1+Inputs!$B$11)^(B7-1))</s:f>
        <s:v>245531.0624999999</s:v>
      </s:c>
      <s:c r="E7" s="6">
        <s:f>C7*Inputs!$B$40</s:f>
        <s:v>31357.422950400003</s:v>
      </s:c>
      <s:c r="F7" s="6">
        <s:f>C7-D7-E7</s:f>
        <s:v>507047.08830960013</s:v>
      </s:c>
      <s:c r="G7" s="6">
        <s:f>IF(B7&lt;1,0,Inputs!$B$2*Inputs!$B$41*(1+Inputs!$B$11)^(B7-1))</s:f>
        <s:v>21537.812499999993</s:v>
      </s:c>
      <s:c r="H7" s="6">
        <s:f>L6</s:f>
        <s:v>4932315.230361434</s:v>
      </s:c>
      <s:c r="I7" s="6">
        <s:f>H7*Inputs!$B$30</s:f>
        <s:v>221954.18536626452</s:v>
      </s:c>
      <s:c r="J7" s="6">
        <s:f>IF(B7&lt;1,0,MIN(H7,MAX(0,-PMT(Inputs!$B$30,Inputs!$B$31,Budget!B16)-I7)))</s:f>
        <s:v>135863.809601441</s:v>
      </s:c>
      <s:c r="K7" s="6">
        <s:f>I7+J7</s:f>
        <s:v>357817.9949677055</s:v>
      </s:c>
      <s:c r="L7" s="6">
        <s:f>H7-J7</s:f>
        <s:v>4796451.420759993</s:v>
      </s:c>
      <s:c r="M7" s="6">
        <s:f>IF(A7=21,((C7/IF(B7=1,Inputs!$B$9,Inputs!$B$8)*Inputs!$B$8*(1+Inputs!$B$10)*(1-Inputs!$B$40)-D7*(1+Inputs!$B$11))/Inputs!$B$14*(1-Inputs!$B$15),0)</s:f>
        <s:v>0</s:v>
      </s:c>
      <s:c r="N7" s="6">
        <s:f>F7-G7+M7</s:f>
        <s:v>485509.27580960013</s:v>
      </s:c>
      <s:c r="O7" s="6">
        <s:f>N7-K7-IF(A7=21,L7,0)</s:f>
        <s:v>127691.28084189462</s:v>
      </s:c>
      <s:c r="P7" s="10">
        <s:f>IF(B7&lt;1,"Construction",(F7-G7)/K7)</s:f>
        <s:v>1.3568609813864148</s:v>
      </s:c>
      <s:c r="Q7" s="6">
        <s:f>Q6+N7</s:f>
        <s:v>-8818147.7837104</s:v>
      </s:c>
      <s:c r="R7" s="6">
        <s:f>N7/(1+Inputs!$B$12)^A7</s:f>
        <s:v>346161.40366336936</s:v>
      </s:c>
      <s:c r="S7" s="6">
        <s:f>S6+R7</s:f>
        <s:v>-9204125.73118685</s:v>
      </s:c>
      <s:c r="T7" s="6">
        <s:f>SUM(O$2:O7)</s:f>
        <s:v>-5182380.763581223</s:v>
      </s:c>
    </s:row>
    <s:row r="8">
      <s:c r="A8" s="8" t="n">
        <s:v>6</s:v>
      </s:c>
      <s:c r="B8" s="10">
        <s:f>A8-1</s:f>
        <s:v>5</s:v>
      </s:c>
      <s:c r="C8" s="6">
        <s:f>IF(B8&lt;1,0,Inputs!$B$2*((1-Inputs!$B$3)*Inputs!$B$4+Inputs!$B$3*Inputs!$B$5+Inputs!$B$6)*Inputs!$B$7*IF(B8=1,Inputs!$B$9,Inputs!$B$8)*(1+Inputs!$B$10)^(B8-1))</s:f>
        <s:v>799614.2852352</s:v>
      </s:c>
      <s:c r="D8" s="6">
        <s:f>IF(B8&lt;1,Inputs!$B$32,SUM(Inputs!$B$33,Inputs!$B$34,Inputs!$B$35,Inputs!$B$36,Inputs!$B$37,Inputs!$B$38,Inputs!$B$39)*(1+Inputs!$B$11)^(B8-1))</s:f>
        <s:v>251669.3390624999</s:v>
      </s:c>
      <s:c r="E8" s="6">
        <s:f>C8*Inputs!$B$40</s:f>
        <s:v>31984.571409408</s:v>
      </s:c>
      <s:c r="F8" s="6">
        <s:f>C8-D8-E8</s:f>
        <s:v>515960.374763292</s:v>
      </s:c>
      <s:c r="G8" s="6">
        <s:f>IF(B8&lt;1,0,Inputs!$B$2*Inputs!$B$41*(1+Inputs!$B$11)^(B8-1))</s:f>
        <s:v>22076.25781249999</s:v>
      </s:c>
      <s:c r="H8" s="6">
        <s:f>L7</s:f>
        <s:v>4796451.420759993</s:v>
      </s:c>
      <s:c r="I8" s="6">
        <s:f>H8*Inputs!$B$30</s:f>
        <s:v>215840.31393419966</s:v>
      </s:c>
      <s:c r="J8" s="6">
        <s:f>IF(B8&lt;1,0,MIN(H8,MAX(0,-PMT(Inputs!$B$30,Inputs!$B$31,Budget!B16)-I8)))</s:f>
        <s:v>141977.68103350585</s:v>
      </s:c>
      <s:c r="K8" s="6">
        <s:f>I8+J8</s:f>
        <s:v>357817.9949677055</s:v>
      </s:c>
      <s:c r="L8" s="6">
        <s:f>H8-J8</s:f>
        <s:v>4654473.739726487</s:v>
      </s:c>
      <s:c r="M8" s="6">
        <s:f>IF(A8=21,((C8/IF(B8=1,Inputs!$B$9,Inputs!$B$8)*Inputs!$B$8*(1+Inputs!$B$10)*(1-Inputs!$B$40)-D8*(1+Inputs!$B$11))/Inputs!$B$14*(1-Inputs!$B$15),0)</s:f>
        <s:v>0</s:v>
      </s:c>
      <s:c r="N8" s="6">
        <s:f>F8-G8+M8</s:f>
        <s:v>493884.116950792</s:v>
      </s:c>
      <s:c r="O8" s="6">
        <s:f>N8-K8-IF(A8=21,L8,0)</s:f>
        <s:v>136066.12198308652</s:v>
      </s:c>
      <s:c r="P8" s="10">
        <s:f>IF(B8&lt;1,"Construction",(F8-G8)/K8)</s:f>
        <s:v>1.380266291513279</s:v>
      </s:c>
      <s:c r="Q8" s="6">
        <s:f>Q7+N8</s:f>
        <s:v>-8324263.666759607</s:v>
      </s:c>
      <s:c r="R8" s="6">
        <s:f>N8/(1+Inputs!$B$12)^A8</s:f>
        <s:v>329095.8407966452</s:v>
      </s:c>
      <s:c r="S8" s="6">
        <s:f>S7+R8</s:f>
        <s:v>-8875029.890390204</s:v>
      </s:c>
      <s:c r="T8" s="6">
        <s:f>SUM(O$2:O8)</s:f>
        <s:v>-5046314.641598136</s:v>
      </s:c>
    </s:row>
    <s:row r="9">
      <s:c r="A9" s="8" t="n">
        <s:v>7</s:v>
      </s:c>
      <s:c r="B9" s="10">
        <s:f>A9-1</s:f>
        <s:v>6</s:v>
      </s:c>
      <s:c r="C9" s="6">
        <s:f>IF(B9&lt;1,0,Inputs!$B$2*((1-Inputs!$B$3)*Inputs!$B$4+Inputs!$B$3*Inputs!$B$5+Inputs!$B$6)*Inputs!$B$7*IF(B9=1,Inputs!$B$9,Inputs!$B$8)*(1+Inputs!$B$10)^(B9-1))</s:f>
        <s:v>815606.570939904</s:v>
      </s:c>
      <s:c r="D9" s="6">
        <s:f>IF(B9&lt;1,Inputs!$B$32,SUM(Inputs!$B$33,Inputs!$B$34,Inputs!$B$35,Inputs!$B$36,Inputs!$B$37,Inputs!$B$38,Inputs!$B$39)*(1+Inputs!$B$11)^(B9-1))</s:f>
        <s:v>257961.07253906238</s:v>
      </s:c>
      <s:c r="E9" s="6">
        <s:f>C9*Inputs!$B$40</s:f>
        <s:v>32624.262837596158</s:v>
      </s:c>
      <s:c r="F9" s="6">
        <s:f>C9-D9-E9</s:f>
        <s:v>525021.2355632454</s:v>
      </s:c>
      <s:c r="G9" s="6">
        <s:f>IF(B9&lt;1,0,Inputs!$B$2*Inputs!$B$41*(1+Inputs!$B$11)^(B9-1))</s:f>
        <s:v>22628.16425781249</s:v>
      </s:c>
      <s:c r="H9" s="6">
        <s:f>L8</s:f>
        <s:v>4654473.739726487</s:v>
      </s:c>
      <s:c r="I9" s="6">
        <s:f>H9*Inputs!$B$30</s:f>
        <s:v>209451.3182876919</s:v>
      </s:c>
      <s:c r="J9" s="6">
        <s:f>IF(B9&lt;1,0,MIN(H9,MAX(0,-PMT(Inputs!$B$30,Inputs!$B$31,Budget!B16)-I9)))</s:f>
        <s:v>148366.67668001362</s:v>
      </s:c>
      <s:c r="K9" s="6">
        <s:f>I9+J9</s:f>
        <s:v>357817.9949677055</s:v>
      </s:c>
      <s:c r="L9" s="6">
        <s:f>H9-J9</s:f>
        <s:v>4506107.063046473</s:v>
      </s:c>
      <s:c r="M9" s="6">
        <s:f>IF(A9=21,((C9/IF(B9=1,Inputs!$B$9,Inputs!$B$8)*Inputs!$B$8*(1+Inputs!$B$10)*(1-Inputs!$B$40)-D9*(1+Inputs!$B$11))/Inputs!$B$14*(1-Inputs!$B$15),0)</s:f>
        <s:v>0</s:v>
      </s:c>
      <s:c r="N9" s="6">
        <s:f>F9-G9+M9</s:f>
        <s:v>502393.0713054329</s:v>
      </s:c>
      <s:c r="O9" s="6">
        <s:f>N9-K9-IF(A9=21,L9,0)</s:f>
        <s:v>144575.07633772737</s:v>
      </s:c>
      <s:c r="P9" s="10">
        <s:f>IF(B9&lt;1,"Construction",(F9-G9)/K9)</s:f>
        <s:v>1.4040464101051593</s:v>
      </s:c>
      <s:c r="Q9" s="6">
        <s:f>Q8+N9</s:f>
        <s:v>-7821870.595454174</s:v>
      </s:c>
      <s:c r="R9" s="6">
        <s:f>N9/(1+Inputs!$B$12)^A9</s:f>
        <s:v>312865.1554800652</s:v>
      </s:c>
      <s:c r="S9" s="6">
        <s:f>S8+R9</s:f>
        <s:v>-8562164.73491014</s:v>
      </s:c>
      <s:c r="T9" s="6">
        <s:f>SUM(O$2:O9)</s:f>
        <s:v>-4901739.565260408</s:v>
      </s:c>
    </s:row>
    <s:row r="10">
      <s:c r="A10" s="8" t="n">
        <s:v>8</s:v>
      </s:c>
      <s:c r="B10" s="10">
        <s:f>A10-1</s:f>
        <s:v>7</s:v>
      </s:c>
      <s:c r="C10" s="6">
        <s:f>IF(B10&lt;1,0,Inputs!$B$2*((1-Inputs!$B$3)*Inputs!$B$4+Inputs!$B$3*Inputs!$B$5+Inputs!$B$6)*Inputs!$B$7*IF(B10=1,Inputs!$B$9,Inputs!$B$8)*(1+Inputs!$B$10)^(B10-1))</s:f>
        <s:v>831918.7023587021</s:v>
      </s:c>
      <s:c r="D10" s="6">
        <s:f>IF(B10&lt;1,Inputs!$B$32,SUM(Inputs!$B$33,Inputs!$B$34,Inputs!$B$35,Inputs!$B$36,Inputs!$B$37,Inputs!$B$38,Inputs!$B$39)*(1+Inputs!$B$11)^(B10-1))</s:f>
        <s:v>264410.09935253893</s:v>
      </s:c>
      <s:c r="E10" s="6">
        <s:f>C10*Inputs!$B$40</s:f>
        <s:v>33276.748094348084</s:v>
      </s:c>
      <s:c r="F10" s="6">
        <s:f>C10-D10-E10</s:f>
        <s:v>534231.854911815</s:v>
      </s:c>
      <s:c r="G10" s="6">
        <s:f>IF(B10&lt;1,0,Inputs!$B$2*Inputs!$B$41*(1+Inputs!$B$11)^(B10-1))</s:f>
        <s:v>23193.8683642578</s:v>
      </s:c>
      <s:c r="H10" s="6">
        <s:f>L9</s:f>
        <s:v>4506107.063046473</s:v>
      </s:c>
      <s:c r="I10" s="6">
        <s:f>H10*Inputs!$B$30</s:f>
        <s:v>202774.81783709128</s:v>
      </s:c>
      <s:c r="J10" s="6">
        <s:f>IF(B10&lt;1,0,MIN(H10,MAX(0,-PMT(Inputs!$B$30,Inputs!$B$31,Budget!B16)-I10)))</s:f>
        <s:v>155043.17713061423</s:v>
      </s:c>
      <s:c r="K10" s="6">
        <s:f>I10+J10</s:f>
        <s:v>357817.9949677055</s:v>
      </s:c>
      <s:c r="L10" s="6">
        <s:f>H10-J10</s:f>
        <s:v>4351063.885915859</s:v>
      </s:c>
      <s:c r="M10" s="6">
        <s:f>IF(A10=21,((C10/IF(B10=1,Inputs!$B$9,Inputs!$B$8)*Inputs!$B$8*(1+Inputs!$B$10)*(1-Inputs!$B$40)-D10*(1+Inputs!$B$11))/Inputs!$B$14*(1-Inputs!$B$15),0)</s:f>
        <s:v>0</s:v>
      </s:c>
      <s:c r="N10" s="6">
        <s:f>F10-G10+M10</s:f>
        <s:v>511037.98654755723</s:v>
      </s:c>
      <s:c r="O10" s="6">
        <s:f>N10-K10-IF(A10=21,L10,0)</s:f>
        <s:v>153219.99157985172</s:v>
      </s:c>
      <s:c r="P10" s="10">
        <s:f>IF(B10&lt;1,"Construction",(F10-G10)/K10)</s:f>
        <s:v>1.4282065008879177</s:v>
      </s:c>
      <s:c r="Q10" s="6">
        <s:f>Q9+N10</s:f>
        <s:v>-7310832.608906616</s:v>
      </s:c>
      <s:c r="R10" s="6">
        <s:f>N10/(1+Inputs!$B$12)^A10</s:f>
        <s:v>297428.7609492638</s:v>
      </s:c>
      <s:c r="S10" s="6">
        <s:f>S9+R10</s:f>
        <s:v>-8264735.973960876</s:v>
      </s:c>
      <s:c r="T10" s="6">
        <s:f>SUM(O$2:O10)</s:f>
        <s:v>-4748519.573680556</s:v>
      </s:c>
    </s:row>
    <s:row r="11">
      <s:c r="A11" s="8" t="n">
        <s:v>9</s:v>
      </s:c>
      <s:c r="B11" s="10">
        <s:f>A11-1</s:f>
        <s:v>8</s:v>
      </s:c>
      <s:c r="C11" s="6">
        <s:f>IF(B11&lt;1,0,Inputs!$B$2*((1-Inputs!$B$3)*Inputs!$B$4+Inputs!$B$3*Inputs!$B$5+Inputs!$B$6)*Inputs!$B$7*IF(B11=1,Inputs!$B$9,Inputs!$B$8)*(1+Inputs!$B$10)^(B11-1))</s:f>
        <s:v>848557.0764058762</s:v>
      </s:c>
      <s:c r="D11" s="6">
        <s:f>IF(B11&lt;1,Inputs!$B$32,SUM(Inputs!$B$33,Inputs!$B$34,Inputs!$B$35,Inputs!$B$36,Inputs!$B$37,Inputs!$B$38,Inputs!$B$39)*(1+Inputs!$B$11)^(B11-1))</s:f>
        <s:v>271020.3518363524</s:v>
      </s:c>
      <s:c r="E11" s="6">
        <s:f>C11*Inputs!$B$40</s:f>
        <s:v>33942.28305623505</s:v>
      </s:c>
      <s:c r="F11" s="6">
        <s:f>C11-D11-E11</s:f>
        <s:v>543594.4415132888</s:v>
      </s:c>
      <s:c r="G11" s="6">
        <s:f>IF(B11&lt;1,0,Inputs!$B$2*Inputs!$B$41*(1+Inputs!$B$11)^(B11-1))</s:f>
        <s:v>23773.715073364245</s:v>
      </s:c>
      <s:c r="H11" s="6">
        <s:f>L10</s:f>
        <s:v>4351063.885915859</s:v>
      </s:c>
      <s:c r="I11" s="6">
        <s:f>H11*Inputs!$B$30</s:f>
        <s:v>195797.87486621362</s:v>
      </s:c>
      <s:c r="J11" s="6">
        <s:f>IF(B11&lt;1,0,MIN(H11,MAX(0,-PMT(Inputs!$B$30,Inputs!$B$31,Budget!B16)-I11)))</s:f>
        <s:v>162020.1201014919</s:v>
      </s:c>
      <s:c r="K11" s="6">
        <s:f>I11+J11</s:f>
        <s:v>357817.9949677055</s:v>
      </s:c>
      <s:c r="L11" s="6">
        <s:f>H11-J11</s:f>
        <s:v>4189043.7658143668</s:v>
      </s:c>
      <s:c r="M11" s="6">
        <s:f>IF(A11=21,((C11/IF(B11=1,Inputs!$B$9,Inputs!$B$8)*Inputs!$B$8*(1+Inputs!$B$10)*(1-Inputs!$B$40)-D11*(1+Inputs!$B$11))/Inputs!$B$14*(1-Inputs!$B$15),0)</s:f>
        <s:v>0</s:v>
      </s:c>
      <s:c r="N11" s="6">
        <s:f>F11-G11+M11</s:f>
        <s:v>519820.7264399245</s:v>
      </s:c>
      <s:c r="O11" s="6">
        <s:f>N11-K11-IF(A11=21,L11,0)</s:f>
        <s:v>162002.731472219</s:v>
      </s:c>
      <s:c r="P11" s="10">
        <s:f>IF(B11&lt;1,"Construction",(F11-G11)/K11)</s:f>
        <s:v>1.4527517725508476</s:v>
      </s:c>
      <s:c r="Q11" s="6">
        <s:f>Q10+N11</s:f>
        <s:v>-6791011.882466692</s:v>
      </s:c>
      <s:c r="R11" s="6">
        <s:f>N11/(1+Inputs!$B$12)^A11</s:f>
        <s:v>282748.0332052786</s:v>
      </s:c>
      <s:c r="S11" s="6">
        <s:f>S10+R11</s:f>
        <s:v>-7981987.940755598</s:v>
      </s:c>
      <s:c r="T11" s="6">
        <s:f>SUM(O$2:O11)</s:f>
        <s:v>-4586516.842208337</s:v>
      </s:c>
    </s:row>
    <s:row r="12">
      <s:c r="A12" s="8" t="n">
        <s:v>10</s:v>
      </s:c>
      <s:c r="B12" s="10">
        <s:f>A12-1</s:f>
        <s:v>9</s:v>
      </s:c>
      <s:c r="C12" s="6">
        <s:f>IF(B12&lt;1,0,Inputs!$B$2*((1-Inputs!$B$3)*Inputs!$B$4+Inputs!$B$3*Inputs!$B$5+Inputs!$B$6)*Inputs!$B$7*IF(B12=1,Inputs!$B$9,Inputs!$B$8)*(1+Inputs!$B$10)^(B12-1))</s:f>
        <s:v>865528.2179339938</s:v>
      </s:c>
      <s:c r="D12" s="6">
        <s:f>IF(B12&lt;1,Inputs!$B$32,SUM(Inputs!$B$33,Inputs!$B$34,Inputs!$B$35,Inputs!$B$36,Inputs!$B$37,Inputs!$B$38,Inputs!$B$39)*(1+Inputs!$B$11)^(B12-1))</s:f>
        <s:v>277795.86063226114</s:v>
      </s:c>
      <s:c r="E12" s="6">
        <s:f>C12*Inputs!$B$40</s:f>
        <s:v>34621.12871735975</s:v>
      </s:c>
      <s:c r="F12" s="6">
        <s:f>C12-D12-E12</s:f>
        <s:v>553111.2285843729</s:v>
      </s:c>
      <s:c r="G12" s="6">
        <s:f>IF(B12&lt;1,0,Inputs!$B$2*Inputs!$B$41*(1+Inputs!$B$11)^(B12-1))</s:f>
        <s:v>24368.057950198345</s:v>
      </s:c>
      <s:c r="H12" s="6">
        <s:f>L11</s:f>
        <s:v>4189043.7658143668</s:v>
      </s:c>
      <s:c r="I12" s="6">
        <s:f>H12*Inputs!$B$30</s:f>
        <s:v>188506.96946164648</s:v>
      </s:c>
      <s:c r="J12" s="6">
        <s:f>IF(B12&lt;1,0,MIN(H12,MAX(0,-PMT(Inputs!$B$30,Inputs!$B$31,Budget!B16)-I12)))</s:f>
        <s:v>169311.02550605903</s:v>
      </s:c>
      <s:c r="K12" s="6">
        <s:f>I12+J12</s:f>
        <s:v>357817.9949677055</s:v>
      </s:c>
      <s:c r="L12" s="6">
        <s:f>H12-J12</s:f>
        <s:v>4019732.7403083076</s:v>
      </s:c>
      <s:c r="M12" s="6">
        <s:f>IF(A12=21,((C12/IF(B12=1,Inputs!$B$9,Inputs!$B$8)*Inputs!$B$8*(1+Inputs!$B$10)*(1-Inputs!$B$40)-D12*(1+Inputs!$B$11))/Inputs!$B$14*(1-Inputs!$B$15),0)</s:f>
        <s:v>0</s:v>
      </s:c>
      <s:c r="N12" s="6">
        <s:f>F12-G12+M12</s:f>
        <s:v>528743.1706341746</s:v>
      </s:c>
      <s:c r="O12" s="6">
        <s:f>N12-K12-IF(A12=21,L12,0)</s:f>
        <s:v>170925.1756664691</s:v>
      </s:c>
      <s:c r="P12" s="10">
        <s:f>IF(B12&lt;1,"Construction",(F12-G12)/K12)</s:f>
        <s:v>1.477687478188166</s:v>
      </s:c>
      <s:c r="Q12" s="6">
        <s:f>Q11+N12</s:f>
        <s:v>-6262268.711832517</s:v>
      </s:c>
      <s:c r="R12" s="6">
        <s:f>N12/(1+Inputs!$B$12)^A12</s:f>
        <s:v>268786.21651294886</s:v>
      </s:c>
      <s:c r="S12" s="6">
        <s:f>S11+R12</s:f>
        <s:v>-7713201.724242649</s:v>
      </s:c>
      <s:c r="T12" s="6">
        <s:f>SUM(O$2:O12)</s:f>
        <s:v>-4415591.666541868</s:v>
      </s:c>
    </s:row>
    <s:row r="13">
      <s:c r="A13" s="8" t="n">
        <s:v>11</s:v>
      </s:c>
      <s:c r="B13" s="10">
        <s:f>A13-1</s:f>
        <s:v>10</s:v>
      </s:c>
      <s:c r="C13" s="6">
        <s:f>IF(B13&lt;1,0,Inputs!$B$2*((1-Inputs!$B$3)*Inputs!$B$4+Inputs!$B$3*Inputs!$B$5+Inputs!$B$6)*Inputs!$B$7*IF(B13=1,Inputs!$B$9,Inputs!$B$8)*(1+Inputs!$B$10)^(B13-1))</s:f>
        <s:v>882838.7822926736</s:v>
      </s:c>
      <s:c r="D13" s="6">
        <s:f>IF(B13&lt;1,Inputs!$B$32,SUM(Inputs!$B$33,Inputs!$B$34,Inputs!$B$35,Inputs!$B$36,Inputs!$B$37,Inputs!$B$38,Inputs!$B$39)*(1+Inputs!$B$11)^(B13-1))</s:f>
        <s:v>284740.75714806764</s:v>
      </s:c>
      <s:c r="E13" s="6">
        <s:f>C13*Inputs!$B$40</s:f>
        <s:v>35313.55129170694</s:v>
      </s:c>
      <s:c r="F13" s="6">
        <s:f>C13-D13-E13</s:f>
        <s:v>562784.4738528989</s:v>
      </s:c>
      <s:c r="G13" s="6">
        <s:f>IF(B13&lt;1,0,Inputs!$B$2*Inputs!$B$41*(1+Inputs!$B$11)^(B13-1))</s:f>
        <s:v>24977.259398953305</s:v>
      </s:c>
      <s:c r="H13" s="6">
        <s:f>L12</s:f>
        <s:v>4019732.7403083076</s:v>
      </s:c>
      <s:c r="I13" s="6">
        <s:f>H13*Inputs!$B$30</s:f>
        <s:v>180887.97331387384</s:v>
      </s:c>
      <s:c r="J13" s="6">
        <s:f>IF(B13&lt;1,0,MIN(H13,MAX(0,-PMT(Inputs!$B$30,Inputs!$B$31,Budget!B16)-I13)))</s:f>
        <s:v>176930.02165383167</s:v>
      </s:c>
      <s:c r="K13" s="6">
        <s:f>I13+J13</s:f>
        <s:v>357817.9949677055</s:v>
      </s:c>
      <s:c r="L13" s="6">
        <s:f>H13-J13</s:f>
        <s:v>3842802.718654476</s:v>
      </s:c>
      <s:c r="M13" s="6">
        <s:f>IF(A13=21,((C13/IF(B13=1,Inputs!$B$9,Inputs!$B$8)*Inputs!$B$8*(1+Inputs!$B$10)*(1-Inputs!$B$40)-D13*(1+Inputs!$B$11))/Inputs!$B$14*(1-Inputs!$B$15),0)</s:f>
        <s:v>0</s:v>
      </s:c>
      <s:c r="N13" s="6">
        <s:f>F13-G13+M13</s:f>
        <s:v>537807.2144539456</s:v>
      </s:c>
      <s:c r="O13" s="6">
        <s:f>N13-K13-IF(A13=21,L13,0)</s:f>
        <s:v>179989.21948624012</s:v>
      </s:c>
      <s:c r="P13" s="10">
        <s:f>IF(B13&lt;1,"Construction",(F13-G13)/K13)</s:f>
        <s:v>1.503018914692887</s:v>
      </s:c>
      <s:c r="Q13" s="6">
        <s:f>Q12+N13</s:f>
        <s:v>-5724461.497378571</s:v>
      </s:c>
      <s:c r="R13" s="6">
        <s:f>N13/(1+Inputs!$B$12)^A13</s:f>
        <s:v>255508.33343234344</s:v>
      </s:c>
      <s:c r="S13" s="6">
        <s:f>S12+R13</s:f>
        <s:v>-7457693.390810305</s:v>
      </s:c>
      <s:c r="T13" s="6">
        <s:f>SUM(O$2:O13)</s:f>
        <s:v>-4235602.447055628</s:v>
      </s:c>
    </s:row>
    <s:row r="14">
      <s:c r="A14" s="8" t="n">
        <s:v>12</s:v>
      </s:c>
      <s:c r="B14" s="10">
        <s:f>A14-1</s:f>
        <s:v>11</s:v>
      </s:c>
      <s:c r="C14" s="6">
        <s:f>IF(B14&lt;1,0,Inputs!$B$2*((1-Inputs!$B$3)*Inputs!$B$4+Inputs!$B$3*Inputs!$B$5+Inputs!$B$6)*Inputs!$B$7*IF(B14=1,Inputs!$B$9,Inputs!$B$8)*(1+Inputs!$B$10)^(B14-1))</s:f>
        <s:v>900495.5579385271</s:v>
      </s:c>
      <s:c r="D14" s="6">
        <s:f>IF(B14&lt;1,Inputs!$B$32,SUM(Inputs!$B$33,Inputs!$B$34,Inputs!$B$35,Inputs!$B$36,Inputs!$B$37,Inputs!$B$38,Inputs!$B$39)*(1+Inputs!$B$11)^(B14-1))</s:f>
        <s:v>291859.27607676934</s:v>
      </s:c>
      <s:c r="E14" s="6">
        <s:f>C14*Inputs!$B$40</s:f>
        <s:v>36019.82231754108</s:v>
      </s:c>
      <s:c r="F14" s="6">
        <s:f>C14-D14-E14</s:f>
        <s:v>572616.4595442166</s:v>
      </s:c>
      <s:c r="G14" s="6">
        <s:f>IF(B14&lt;1,0,Inputs!$B$2*Inputs!$B$41*(1+Inputs!$B$11)^(B14-1))</s:f>
        <s:v>25601.690883927135</s:v>
      </s:c>
      <s:c r="H14" s="6">
        <s:f>L13</s:f>
        <s:v>3842802.718654476</s:v>
      </s:c>
      <s:c r="I14" s="6">
        <s:f>H14*Inputs!$B$30</s:f>
        <s:v>172926.12233945142</s:v>
      </s:c>
      <s:c r="J14" s="6">
        <s:f>IF(B14&lt;1,0,MIN(H14,MAX(0,-PMT(Inputs!$B$30,Inputs!$B$31,Budget!B16)-I14)))</s:f>
        <s:v>184891.8726282541</s:v>
      </s:c>
      <s:c r="K14" s="6">
        <s:f>I14+J14</s:f>
        <s:v>357817.9949677055</s:v>
      </s:c>
      <s:c r="L14" s="6">
        <s:f>H14-J14</s:f>
        <s:v>3657910.846026222</s:v>
      </s:c>
      <s:c r="M14" s="6">
        <s:f>IF(A14=21,((C14/IF(B14=1,Inputs!$B$9,Inputs!$B$8)*Inputs!$B$8*(1+Inputs!$B$10)*(1-Inputs!$B$40)-D14*(1+Inputs!$B$11))/Inputs!$B$14*(1-Inputs!$B$15),0)</s:f>
        <s:v>0</s:v>
      </s:c>
      <s:c r="N14" s="6">
        <s:f>F14-G14+M14</s:f>
        <s:v>547014.7686602895</s:v>
      </s:c>
      <s:c r="O14" s="6">
        <s:f>N14-K14-IF(A14=21,L14,0)</s:f>
        <s:v>189196.77369258396</s:v>
      </s:c>
      <s:c r="P14" s="10">
        <s:f>IF(B14&lt;1,"Construction",(F14-G14)/K14)</s:f>
        <s:v>1.528751422101227</s:v>
      </s:c>
      <s:c r="Q14" s="6">
        <s:f>Q13+N14</s:f>
        <s:v>-5177446.728718282</s:v>
      </s:c>
      <s:c r="R14" s="6">
        <s:f>N14/(1+Inputs!$B$12)^A14</s:f>
        <s:v>242881.09916647256</s:v>
      </s:c>
      <s:c r="S14" s="6">
        <s:f>S13+R14</s:f>
        <s:v>-7214812.291643833</s:v>
      </s:c>
      <s:c r="T14" s="6">
        <s:f>SUM(O$2:O14)</s:f>
        <s:v>-4046405.6733630435</s:v>
      </s:c>
    </s:row>
    <s:row r="15">
      <s:c r="A15" s="8" t="n">
        <s:v>13</s:v>
      </s:c>
      <s:c r="B15" s="10">
        <s:f>A15-1</s:f>
        <s:v>12</s:v>
      </s:c>
      <s:c r="C15" s="6">
        <s:f>IF(B15&lt;1,0,Inputs!$B$2*((1-Inputs!$B$3)*Inputs!$B$4+Inputs!$B$3*Inputs!$B$5+Inputs!$B$6)*Inputs!$B$7*IF(B15=1,Inputs!$B$9,Inputs!$B$8)*(1+Inputs!$B$10)^(B15-1))</s:f>
        <s:v>918505.4690972976</s:v>
      </s:c>
      <s:c r="D15" s="6">
        <s:f>IF(B15&lt;1,Inputs!$B$32,SUM(Inputs!$B$33,Inputs!$B$34,Inputs!$B$35,Inputs!$B$36,Inputs!$B$37,Inputs!$B$38,Inputs!$B$39)*(1+Inputs!$B$11)^(B15-1))</s:f>
        <s:v>299155.7579786885</s:v>
      </s:c>
      <s:c r="E15" s="6">
        <s:f>C15*Inputs!$B$40</s:f>
        <s:v>36740.218763891906</s:v>
      </s:c>
      <s:c r="F15" s="6">
        <s:f>C15-D15-E15</s:f>
        <s:v>582609.4923547171</s:v>
      </s:c>
      <s:c r="G15" s="6">
        <s:f>IF(B15&lt;1,0,Inputs!$B$2*Inputs!$B$41*(1+Inputs!$B$11)^(B15-1))</s:f>
        <s:v>26241.73315602531</s:v>
      </s:c>
      <s:c r="H15" s="6">
        <s:f>L14</s:f>
        <s:v>3657910.846026222</s:v>
      </s:c>
      <s:c r="I15" s="6">
        <s:f>H15*Inputs!$B$30</s:f>
        <s:v>164605.98807118</s:v>
      </s:c>
      <s:c r="J15" s="6">
        <s:f>IF(B15&lt;1,0,MIN(H15,MAX(0,-PMT(Inputs!$B$30,Inputs!$B$31,Budget!B16)-I15)))</s:f>
        <s:v>193212.0068965255</s:v>
      </s:c>
      <s:c r="K15" s="6">
        <s:f>I15+J15</s:f>
        <s:v>357817.9949677055</s:v>
      </s:c>
      <s:c r="L15" s="6">
        <s:f>H15-J15</s:f>
        <s:v>3464698.8391296966</s:v>
      </s:c>
      <s:c r="M15" s="6">
        <s:f>IF(A15=21,((C15/IF(B15=1,Inputs!$B$9,Inputs!$B$8)*Inputs!$B$8*(1+Inputs!$B$10)*(1-Inputs!$B$40)-D15*(1+Inputs!$B$11))/Inputs!$B$14*(1-Inputs!$B$15),0)</s:f>
        <s:v>0</s:v>
      </s:c>
      <s:c r="N15" s="6">
        <s:f>F15-G15+M15</s:f>
        <s:v>556367.7591986918</s:v>
      </s:c>
      <s:c r="O15" s="6">
        <s:f>N15-K15-IF(A15=21,L15,0)</s:f>
        <s:v>198549.7642309863</s:v>
      </s:c>
      <s:c r="P15" s="10">
        <s:f>IF(B15&lt;1,"Construction",(F15-G15)/K15)</s:f>
        <s:v>1.5548903828855958</s:v>
      </s:c>
      <s:c r="Q15" s="6">
        <s:f>Q14+N15</s:f>
        <s:v>-4621078.96951959</s:v>
      </s:c>
      <s:c r="R15" s="6">
        <s:f>N15/(1+Inputs!$B$12)^A15</s:f>
        <s:v>230872.84001886786</s:v>
      </s:c>
      <s:c r="S15" s="6">
        <s:f>S14+R15</s:f>
        <s:v>-6983939.451624965</s:v>
      </s:c>
      <s:c r="T15" s="6">
        <s:f>SUM(O$2:O15)</s:f>
        <s:v>-3847855.9091320573</s:v>
      </s:c>
    </s:row>
    <s:row r="16">
      <s:c r="A16" s="8" t="n">
        <s:v>14</s:v>
      </s:c>
      <s:c r="B16" s="10">
        <s:f>A16-1</s:f>
        <s:v>13</s:v>
      </s:c>
      <s:c r="C16" s="6">
        <s:f>IF(B16&lt;1,0,Inputs!$B$2*((1-Inputs!$B$3)*Inputs!$B$4+Inputs!$B$3*Inputs!$B$5+Inputs!$B$6)*Inputs!$B$7*IF(B16=1,Inputs!$B$9,Inputs!$B$8)*(1+Inputs!$B$10)^(B16-1))</s:f>
        <s:v>936875.5784792436</s:v>
      </s:c>
      <s:c r="D16" s="6">
        <s:f>IF(B16&lt;1,Inputs!$B$32,SUM(Inputs!$B$33,Inputs!$B$34,Inputs!$B$35,Inputs!$B$36,Inputs!$B$37,Inputs!$B$38,Inputs!$B$39)*(1+Inputs!$B$11)^(B16-1))</s:f>
        <s:v>306634.65192815574</s:v>
      </s:c>
      <s:c r="E16" s="6">
        <s:f>C16*Inputs!$B$40</s:f>
        <s:v>37475.023139169745</s:v>
      </s:c>
      <s:c r="F16" s="6">
        <s:f>C16-D16-E16</s:f>
        <s:v>592765.9034119181</s:v>
      </s:c>
      <s:c r="G16" s="6">
        <s:f>IF(B16&lt;1,0,Inputs!$B$2*Inputs!$B$41*(1+Inputs!$B$11)^(B16-1))</s:f>
        <s:v>26897.77648492594</s:v>
      </s:c>
      <s:c r="H16" s="6">
        <s:f>L15</s:f>
        <s:v>3464698.8391296966</s:v>
      </s:c>
      <s:c r="I16" s="6">
        <s:f>H16*Inputs!$B$30</s:f>
        <s:v>155911.44776083634</s:v>
      </s:c>
      <s:c r="J16" s="6">
        <s:f>IF(B16&lt;1,0,MIN(H16,MAX(0,-PMT(Inputs!$B$30,Inputs!$B$31,Budget!B16)-I16)))</s:f>
        <s:v>201906.54720686917</s:v>
      </s:c>
      <s:c r="K16" s="6">
        <s:f>I16+J16</s:f>
        <s:v>357817.9949677055</s:v>
      </s:c>
      <s:c r="L16" s="6">
        <s:f>H16-J16</s:f>
        <s:v>3262792.2919228273</s:v>
      </s:c>
      <s:c r="M16" s="6">
        <s:f>IF(A16=21,((C16/IF(B16=1,Inputs!$B$9,Inputs!$B$8)*Inputs!$B$8*(1+Inputs!$B$10)*(1-Inputs!$B$40)-D16*(1+Inputs!$B$11))/Inputs!$B$14*(1-Inputs!$B$15),0)</s:f>
        <s:v>0</s:v>
      </s:c>
      <s:c r="N16" s="6">
        <s:f>F16-G16+M16</s:f>
        <s:v>565868.1269269921</s:v>
      </s:c>
      <s:c r="O16" s="6">
        <s:f>N16-K16-IF(A16=21,L16,0)</s:f>
        <s:v>208050.13195928658</s:v>
      </s:c>
      <s:c r="P16" s="10">
        <s:f>IF(B16&lt;1,"Construction",(F16-G16)/K16)</s:f>
        <s:v>1.5814412211942106</s:v>
      </s:c>
      <s:c r="Q16" s="6">
        <s:f>Q15+N16</s:f>
        <s:v>-4055210.842592598</s:v>
      </s:c>
      <s:c r="R16" s="6">
        <s:f>N16/(1+Inputs!$B$12)^A16</s:f>
        <s:v>219453.41576446733</s:v>
      </s:c>
      <s:c r="S16" s="6">
        <s:f>S15+R16</s:f>
        <s:v>-6764486.0358604975</s:v>
      </s:c>
      <s:c r="T16" s="6">
        <s:f>SUM(O$2:O16)</s:f>
        <s:v>-3639805.777172771</s:v>
      </s:c>
    </s:row>
    <s:row r="17">
      <s:c r="A17" s="8" t="n">
        <s:v>15</s:v>
      </s:c>
      <s:c r="B17" s="10">
        <s:f>A17-1</s:f>
        <s:v>14</s:v>
      </s:c>
      <s:c r="C17" s="6">
        <s:f>IF(B17&lt;1,0,Inputs!$B$2*((1-Inputs!$B$3)*Inputs!$B$4+Inputs!$B$3*Inputs!$B$5+Inputs!$B$6)*Inputs!$B$7*IF(B17=1,Inputs!$B$9,Inputs!$B$8)*(1+Inputs!$B$10)^(B17-1))</s:f>
        <s:v>955613.0900488286</s:v>
      </s:c>
      <s:c r="D17" s="6">
        <s:f>IF(B17&lt;1,Inputs!$B$32,SUM(Inputs!$B$33,Inputs!$B$34,Inputs!$B$35,Inputs!$B$36,Inputs!$B$37,Inputs!$B$38,Inputs!$B$39)*(1+Inputs!$B$11)^(B17-1))</s:f>
        <s:v>314300.51822635956</s:v>
      </s:c>
      <s:c r="E17" s="6">
        <s:f>C17*Inputs!$B$40</s:f>
        <s:v>38224.523601953144</s:v>
      </s:c>
      <s:c r="F17" s="6">
        <s:f>C17-D17-E17</s:f>
        <s:v>603088.048220516</s:v>
      </s:c>
      <s:c r="G17" s="6">
        <s:f>IF(B17&lt;1,0,Inputs!$B$2*Inputs!$B$41*(1+Inputs!$B$11)^(B17-1))</s:f>
        <s:v>27570.220897049086</s:v>
      </s:c>
      <s:c r="H17" s="6">
        <s:f>L16</s:f>
        <s:v>3262792.2919228273</s:v>
      </s:c>
      <s:c r="I17" s="6">
        <s:f>H17*Inputs!$B$30</s:f>
        <s:v>146825.65313652722</s:v>
      </s:c>
      <s:c r="J17" s="6">
        <s:f>IF(B17&lt;1,0,MIN(H17,MAX(0,-PMT(Inputs!$B$30,Inputs!$B$31,Budget!B16)-I17)))</s:f>
        <s:v>210992.3418311783</s:v>
      </s:c>
      <s:c r="K17" s="6">
        <s:f>I17+J17</s:f>
        <s:v>357817.9949677055</s:v>
      </s:c>
      <s:c r="L17" s="6">
        <s:f>H17-J17</s:f>
        <s:v>3051799.950091649</s:v>
      </s:c>
      <s:c r="M17" s="6">
        <s:f>IF(A17=21,((C17/IF(B17=1,Inputs!$B$9,Inputs!$B$8)*Inputs!$B$8*(1+Inputs!$B$10)*(1-Inputs!$B$40)-D17*(1+Inputs!$B$11))/Inputs!$B$14*(1-Inputs!$B$15),0)</s:f>
        <s:v>0</s:v>
      </s:c>
      <s:c r="N17" s="6">
        <s:f>F17-G17+M17</s:f>
        <s:v>575517.8273234669</s:v>
      </s:c>
      <s:c r="O17" s="6">
        <s:f>N17-K17-IF(A17=21,L17,0)</s:f>
        <s:v>217699.83235576138</s:v>
      </s:c>
      <s:c r="P17" s="10">
        <s:f>IF(B17&lt;1,"Construction",(F17-G17)/K17)</s:f>
        <s:v>1.6084094020352713</s:v>
      </s:c>
      <s:c r="Q17" s="6">
        <s:f>Q16+N17</s:f>
        <s:v>-3479693.015269131</s:v>
      </s:c>
      <s:c r="R17" s="6">
        <s:f>N17/(1+Inputs!$B$12)^A17</s:f>
        <s:v>208594.1457466093</s:v>
      </s:c>
      <s:c r="S17" s="6">
        <s:f>S16+R17</s:f>
        <s:v>-6555891.890113888</s:v>
      </s:c>
      <s:c r="T17" s="6">
        <s:f>SUM(O$2:O17)</s:f>
        <s:v>-3422105.9448170094</s:v>
      </s:c>
    </s:row>
    <s:row r="18">
      <s:c r="A18" s="8" t="n">
        <s:v>16</s:v>
      </s:c>
      <s:c r="B18" s="10">
        <s:f>A18-1</s:f>
        <s:v>15</s:v>
      </s:c>
      <s:c r="C18" s="6">
        <s:f>IF(B18&lt;1,0,Inputs!$B$2*((1-Inputs!$B$3)*Inputs!$B$4+Inputs!$B$3*Inputs!$B$5+Inputs!$B$6)*Inputs!$B$7*IF(B18=1,Inputs!$B$9,Inputs!$B$8)*(1+Inputs!$B$10)^(B18-1))</s:f>
        <s:v>974725.3518498051</s:v>
      </s:c>
      <s:c r="D18" s="6">
        <s:f>IF(B18&lt;1,Inputs!$B$32,SUM(Inputs!$B$33,Inputs!$B$34,Inputs!$B$35,Inputs!$B$36,Inputs!$B$37,Inputs!$B$38,Inputs!$B$39)*(1+Inputs!$B$11)^(B18-1))</s:f>
        <s:v>322158.0311820186</s:v>
      </s:c>
      <s:c r="E18" s="6">
        <s:f>C18*Inputs!$B$40</s:f>
        <s:v>38989.014073992206</s:v>
      </s:c>
      <s:c r="F18" s="6">
        <s:f>C18-D18-E18</s:f>
        <s:v>613578.3065937943</s:v>
      </s:c>
      <s:c r="G18" s="6">
        <s:f>IF(B18&lt;1,0,Inputs!$B$2*Inputs!$B$41*(1+Inputs!$B$11)^(B18-1))</s:f>
        <s:v>28259.476419475315</s:v>
      </s:c>
      <s:c r="H18" s="6">
        <s:f>L17</s:f>
        <s:v>3051799.950091649</s:v>
      </s:c>
      <s:c r="I18" s="6">
        <s:f>H18*Inputs!$B$30</s:f>
        <s:v>137330.9977541242</s:v>
      </s:c>
      <s:c r="J18" s="6">
        <s:f>IF(B18&lt;1,0,MIN(H18,MAX(0,-PMT(Inputs!$B$30,Inputs!$B$31,Budget!B16)-I18)))</s:f>
        <s:v>220486.99721358132</s:v>
      </s:c>
      <s:c r="K18" s="6">
        <s:f>I18+J18</s:f>
        <s:v>357817.9949677055</s:v>
      </s:c>
      <s:c r="L18" s="6">
        <s:f>H18-J18</s:f>
        <s:v>2831312.9528780677</s:v>
      </s:c>
      <s:c r="M18" s="6">
        <s:f>IF(A18=21,((C18/IF(B18=1,Inputs!$B$9,Inputs!$B$8)*Inputs!$B$8*(1+Inputs!$B$10)*(1-Inputs!$B$40)-D18*(1+Inputs!$B$11))/Inputs!$B$14*(1-Inputs!$B$15),0)</s:f>
        <s:v>0</s:v>
      </s:c>
      <s:c r="N18" s="6">
        <s:f>F18-G18+M18</s:f>
        <s:v>585318.830174319</s:v>
      </s:c>
      <s:c r="O18" s="6">
        <s:f>N18-K18-IF(A18=21,L18,0)</s:f>
        <s:v>227500.83520661347</s:v>
      </s:c>
      <s:c r="P18" s="10">
        <s:f>IF(B18&lt;1,"Construction",(F18-G18)/K18)</s:f>
        <s:v>1.6358004304035807</s:v>
      </s:c>
      <s:c r="Q18" s="6">
        <s:f>Q17+N18</s:f>
        <s:v>-2894374.185094812</s:v>
      </s:c>
      <s:c r="R18" s="6">
        <s:f>N18/(1+Inputs!$B$12)^A18</s:f>
        <s:v>198267.73852187293</s:v>
      </s:c>
      <s:c r="S18" s="6">
        <s:f>S17+R18</s:f>
        <s:v>-6357624.151592015</s:v>
      </s:c>
      <s:c r="T18" s="6">
        <s:f>SUM(O$2:O18)</s:f>
        <s:v>-3194605.109610396</s:v>
      </s:c>
    </s:row>
    <s:row r="19">
      <s:c r="A19" s="8" t="n">
        <s:v>17</s:v>
      </s:c>
      <s:c r="B19" s="10">
        <s:f>A19-1</s:f>
        <s:v>16</s:v>
      </s:c>
      <s:c r="C19" s="6">
        <s:f>IF(B19&lt;1,0,Inputs!$B$2*((1-Inputs!$B$3)*Inputs!$B$4+Inputs!$B$3*Inputs!$B$5+Inputs!$B$6)*Inputs!$B$7*IF(B19=1,Inputs!$B$9,Inputs!$B$8)*(1+Inputs!$B$10)^(B19-1))</s:f>
        <s:v>994219.8588868012</s:v>
      </s:c>
      <s:c r="D19" s="6">
        <s:f>IF(B19&lt;1,Inputs!$B$32,SUM(Inputs!$B$33,Inputs!$B$34,Inputs!$B$35,Inputs!$B$36,Inputs!$B$37,Inputs!$B$38,Inputs!$B$39)*(1+Inputs!$B$11)^(B19-1))</s:f>
        <s:v>330211.981961569</s:v>
      </s:c>
      <s:c r="E19" s="6">
        <s:f>C19*Inputs!$B$40</s:f>
        <s:v>39768.79435547205</s:v>
      </s:c>
      <s:c r="F19" s="6">
        <s:f>C19-D19-E19</s:f>
        <s:v>624239.08256976</s:v>
      </s:c>
      <s:c r="G19" s="6">
        <s:f>IF(B19&lt;1,0,Inputs!$B$2*Inputs!$B$41*(1+Inputs!$B$11)^(B19-1))</s:f>
        <s:v>28965.963329962193</s:v>
      </s:c>
      <s:c r="H19" s="6">
        <s:f>L18</s:f>
        <s:v>2831312.9528780677</s:v>
      </s:c>
      <s:c r="I19" s="6">
        <s:f>H19*Inputs!$B$30</s:f>
        <s:v>127409.08287951304</s:v>
      </s:c>
      <s:c r="J19" s="6">
        <s:f>IF(B19&lt;1,0,MIN(H19,MAX(0,-PMT(Inputs!$B$30,Inputs!$B$31,Budget!B16)-I19)))</s:f>
        <s:v>230408.91208819248</s:v>
      </s:c>
      <s:c r="K19" s="6">
        <s:f>I19+J19</s:f>
        <s:v>357817.9949677055</s:v>
      </s:c>
      <s:c r="L19" s="6">
        <s:f>H19-J19</s:f>
        <s:v>2600904.040789875</s:v>
      </s:c>
      <s:c r="M19" s="6">
        <s:f>IF(A19=21,((C19/IF(B19=1,Inputs!$B$9,Inputs!$B$8)*Inputs!$B$8*(1+Inputs!$B$10)*(1-Inputs!$B$40)-D19*(1+Inputs!$B$11))/Inputs!$B$14*(1-Inputs!$B$15),0)</s:f>
        <s:v>0</s:v>
      </s:c>
      <s:c r="N19" s="6">
        <s:f>F19-G19+M19</s:f>
        <s:v>595273.1192397978</s:v>
      </s:c>
      <s:c r="O19" s="6">
        <s:f>N19-K19-IF(A19=21,L19,0)</s:f>
        <s:v>237455.1242720923</s:v>
      </s:c>
      <s:c r="P19" s="10">
        <s:f>IF(B19&lt;1,"Construction",(F19-G19)/K19)</s:f>
        <s:v>1.663619850347447</s:v>
      </s:c>
      <s:c r="Q19" s="6">
        <s:f>Q18+N19</s:f>
        <s:v>-2299101.065855014</s:v>
      </s:c>
      <s:c r="R19" s="6">
        <s:f>N19/(1+Inputs!$B$12)^A19</s:f>
        <s:v>188448.2248830084</s:v>
      </s:c>
      <s:c r="S19" s="6">
        <s:f>S18+R19</s:f>
        <s:v>-6169175.926709007</s:v>
      </s:c>
      <s:c r="T19" s="6">
        <s:f>SUM(O$2:O19)</s:f>
        <s:v>-2957149.9853383037</s:v>
      </s:c>
    </s:row>
    <s:row r="20">
      <s:c r="A20" s="8" t="n">
        <s:v>18</s:v>
      </s:c>
      <s:c r="B20" s="10">
        <s:f>A20-1</s:f>
        <s:v>17</s:v>
      </s:c>
      <s:c r="C20" s="6">
        <s:f>IF(B20&lt;1,0,Inputs!$B$2*((1-Inputs!$B$3)*Inputs!$B$4+Inputs!$B$3*Inputs!$B$5+Inputs!$B$6)*Inputs!$B$7*IF(B20=1,Inputs!$B$9,Inputs!$B$8)*(1+Inputs!$B$10)^(B20-1))</s:f>
        <s:v>1014104.2560645372</s:v>
      </s:c>
      <s:c r="D20" s="6">
        <s:f>IF(B20&lt;1,Inputs!$B$32,SUM(Inputs!$B$33,Inputs!$B$34,Inputs!$B$35,Inputs!$B$36,Inputs!$B$37,Inputs!$B$38,Inputs!$B$39)*(1+Inputs!$B$11)^(B20-1))</s:f>
        <s:v>338467.2815106082</s:v>
      </s:c>
      <s:c r="E20" s="6">
        <s:f>C20*Inputs!$B$40</s:f>
        <s:v>40564.17024258149</s:v>
      </s:c>
      <s:c r="F20" s="6">
        <s:f>C20-D20-E20</s:f>
        <s:v>635072.8043113474</s:v>
      </s:c>
      <s:c r="G20" s="6">
        <s:f>IF(B20&lt;1,0,Inputs!$B$2*Inputs!$B$41*(1+Inputs!$B$11)^(B20-1))</s:f>
        <s:v>29690.112413211245</s:v>
      </s:c>
      <s:c r="H20" s="6">
        <s:f>L19</s:f>
        <s:v>2600904.040789875</s:v>
      </s:c>
      <s:c r="I20" s="6">
        <s:f>H20*Inputs!$B$30</s:f>
        <s:v>117040.68183554438</s:v>
      </s:c>
      <s:c r="J20" s="6">
        <s:f>IF(B20&lt;1,0,MIN(H20,MAX(0,-PMT(Inputs!$B$30,Inputs!$B$31,Budget!B16)-I20)))</s:f>
        <s:v>240777.31313216113</s:v>
      </s:c>
      <s:c r="K20" s="6">
        <s:f>I20+J20</s:f>
        <s:v>357817.9949677055</s:v>
      </s:c>
      <s:c r="L20" s="6">
        <s:f>H20-J20</s:f>
        <s:v>2360126.727657714</s:v>
      </s:c>
      <s:c r="M20" s="6">
        <s:f>IF(A20=21,((C20/IF(B20=1,Inputs!$B$9,Inputs!$B$8)*Inputs!$B$8*(1+Inputs!$B$10)*(1-Inputs!$B$40)-D20*(1+Inputs!$B$11))/Inputs!$B$14*(1-Inputs!$B$15),0)</s:f>
        <s:v>0</s:v>
      </s:c>
      <s:c r="N20" s="6">
        <s:f>F20-G20+M20</s:f>
        <s:v>605382.6918981362</s:v>
      </s:c>
      <s:c r="O20" s="6">
        <s:f>N20-K20-IF(A20=21,L20,0)</s:f>
        <s:v>247564.69693043065</s:v>
      </s:c>
      <s:c r="P20" s="10">
        <s:f>IF(B20&lt;1,"Construction",(F20-G20)/K20)</s:f>
        <s:v>1.691873243973586</s:v>
      </s:c>
      <s:c r="Q20" s="6">
        <s:f>Q19+N20</s:f>
        <s:v>-1693718.373956878</s:v>
      </s:c>
      <s:c r="R20" s="6">
        <s:f>N20/(1+Inputs!$B$12)^A20</s:f>
        <s:v>179110.8940982939</s:v>
      </s:c>
      <s:c r="S20" s="6">
        <s:f>S19+R20</s:f>
        <s:v>-5990065.032610713</s:v>
      </s:c>
      <s:c r="T20" s="6">
        <s:f>SUM(O$2:O20)</s:f>
        <s:v>-2709585.288407873</s:v>
      </s:c>
    </s:row>
    <s:row r="21">
      <s:c r="A21" s="8" t="n">
        <s:v>19</s:v>
      </s:c>
      <s:c r="B21" s="10">
        <s:f>A21-1</s:f>
        <s:v>18</s:v>
      </s:c>
      <s:c r="C21" s="6">
        <s:f>IF(B21&lt;1,0,Inputs!$B$2*((1-Inputs!$B$3)*Inputs!$B$4+Inputs!$B$3*Inputs!$B$5+Inputs!$B$6)*Inputs!$B$7*IF(B21=1,Inputs!$B$9,Inputs!$B$8)*(1+Inputs!$B$10)^(B21-1))</s:f>
        <s:v>1034386.3411858281</s:v>
      </s:c>
      <s:c r="D21" s="6">
        <s:f>IF(B21&lt;1,Inputs!$B$32,SUM(Inputs!$B$33,Inputs!$B$34,Inputs!$B$35,Inputs!$B$36,Inputs!$B$37,Inputs!$B$38,Inputs!$B$39)*(1+Inputs!$B$11)^(B21-1))</s:f>
        <s:v>346928.9635483734</s:v>
      </s:c>
      <s:c r="E21" s="6">
        <s:f>C21*Inputs!$B$40</s:f>
        <s:v>41375.453647433125</s:v>
      </s:c>
      <s:c r="F21" s="6">
        <s:f>C21-D21-E21</s:f>
        <s:v>646081.9239900215</s:v>
      </s:c>
      <s:c r="G21" s="6">
        <s:f>IF(B21&lt;1,0,Inputs!$B$2*Inputs!$B$41*(1+Inputs!$B$11)^(B21-1))</s:f>
        <s:v>30432.36522354152</s:v>
      </s:c>
      <s:c r="H21" s="6">
        <s:f>L20</s:f>
        <s:v>2360126.727657714</s:v>
      </s:c>
      <s:c r="I21" s="6">
        <s:f>H21*Inputs!$B$30</s:f>
        <s:v>106205.70274459712</s:v>
      </s:c>
      <s:c r="J21" s="6">
        <s:f>IF(B21&lt;1,0,MIN(H21,MAX(0,-PMT(Inputs!$B$30,Inputs!$B$31,Budget!B16)-I21)))</s:f>
        <s:v>251612.2922231084</s:v>
      </s:c>
      <s:c r="K21" s="6">
        <s:f>I21+J21</s:f>
        <s:v>357817.9949677055</s:v>
      </s:c>
      <s:c r="L21" s="6">
        <s:f>H21-J21</s:f>
        <s:v>2108514.4354346055</s:v>
      </s:c>
      <s:c r="M21" s="6">
        <s:f>IF(A21=21,((C21/IF(B21=1,Inputs!$B$9,Inputs!$B$8)*Inputs!$B$8*(1+Inputs!$B$10)*(1-Inputs!$B$40)-D21*(1+Inputs!$B$11))/Inputs!$B$14*(1-Inputs!$B$15),0)</s:f>
        <s:v>0</s:v>
      </s:c>
      <s:c r="N21" s="6">
        <s:f>F21-G21+M21</s:f>
        <s:v>615649.55876648</s:v>
      </s:c>
      <s:c r="O21" s="6">
        <s:f>N21-K21-IF(A21=21,L21,0)</s:f>
        <s:v>257831.56379877444</s:v>
      </s:c>
      <s:c r="P21" s="10">
        <s:f>IF(B21&lt;1,"Construction",(F21-G21)/K21)</s:f>
        <s:v>1.7205662303877276</s:v>
      </s:c>
      <s:c r="Q21" s="6">
        <s:f>Q20+N21</s:f>
        <s:v>-1078068.8151903981</s:v>
      </s:c>
      <s:c r="R21" s="6">
        <s:f>N21/(1+Inputs!$B$12)^A21</s:f>
        <s:v>170232.23321337806</s:v>
      </s:c>
      <s:c r="S21" s="6">
        <s:f>S20+R21</s:f>
        <s:v>-5819832.799397334</s:v>
      </s:c>
      <s:c r="T21" s="6">
        <s:f>SUM(O$2:O21)</s:f>
        <s:v>-2451753.7246090984</s:v>
      </s:c>
    </s:row>
    <s:row r="22">
      <s:c r="A22" s="8" t="n">
        <s:v>20</s:v>
      </s:c>
      <s:c r="B22" s="10">
        <s:f>A22-1</s:f>
        <s:v>19</s:v>
      </s:c>
      <s:c r="C22" s="6">
        <s:f>IF(B22&lt;1,0,Inputs!$B$2*((1-Inputs!$B$3)*Inputs!$B$4+Inputs!$B$3*Inputs!$B$5+Inputs!$B$6)*Inputs!$B$7*IF(B22=1,Inputs!$B$9,Inputs!$B$8)*(1+Inputs!$B$10)^(B22-1))</s:f>
        <s:v>1055074.0680095446</s:v>
      </s:c>
      <s:c r="D22" s="6">
        <s:f>IF(B22&lt;1,Inputs!$B$32,SUM(Inputs!$B$33,Inputs!$B$34,Inputs!$B$35,Inputs!$B$36,Inputs!$B$37,Inputs!$B$38,Inputs!$B$39)*(1+Inputs!$B$11)^(B22-1))</s:f>
        <s:v>355602.18763708265</s:v>
      </s:c>
      <s:c r="E22" s="6">
        <s:f>C22*Inputs!$B$40</s:f>
        <s:v>42202.96272038179</s:v>
      </s:c>
      <s:c r="F22" s="6">
        <s:f>C22-D22-E22</s:f>
        <s:v>657268.9176520802</s:v>
      </s:c>
      <s:c r="G22" s="6">
        <s:f>IF(B22&lt;1,0,Inputs!$B$2*Inputs!$B$41*(1+Inputs!$B$11)^(B22-1))</s:f>
        <s:v>31193.174354130057</s:v>
      </s:c>
      <s:c r="H22" s="6">
        <s:f>L21</s:f>
        <s:v>2108514.4354346055</s:v>
      </s:c>
      <s:c r="I22" s="6">
        <s:f>H22*Inputs!$B$30</s:f>
        <s:v>94883.14959455724</s:v>
      </s:c>
      <s:c r="J22" s="6">
        <s:f>IF(B22&lt;1,0,MIN(H22,MAX(0,-PMT(Inputs!$B$30,Inputs!$B$31,Budget!B16)-I22)))</s:f>
        <s:v>262934.8453731483</s:v>
      </s:c>
      <s:c r="K22" s="6">
        <s:f>I22+J22</s:f>
        <s:v>357817.9949677055</s:v>
      </s:c>
      <s:c r="L22" s="6">
        <s:f>H22-J22</s:f>
        <s:v>1845579.5900614571</s:v>
      </s:c>
      <s:c r="M22" s="6">
        <s:f>IF(A22=21,((C22/IF(B22=1,Inputs!$B$9,Inputs!$B$8)*Inputs!$B$8*(1+Inputs!$B$10)*(1-Inputs!$B$40)-D22*(1+Inputs!$B$11))/Inputs!$B$14*(1-Inputs!$B$15),0)</s:f>
        <s:v>0</s:v>
      </s:c>
      <s:c r="N22" s="6">
        <s:f>F22-G22+M22</s:f>
        <s:v>626075.7432979501</s:v>
      </s:c>
      <s:c r="O22" s="6">
        <s:f>N22-K22-IF(A22=21,L22,0)</s:f>
        <s:v>268257.7483302446</s:v>
      </s:c>
      <s:c r="P22" s="10">
        <s:f>IF(B22&lt;1,"Construction",(F22-G22)/K22)</s:f>
        <s:v>1.749704464568519</s:v>
      </s:c>
      <s:c r="Q22" s="6">
        <s:f>Q21+N22</s:f>
        <s:v>-451993.071892448</s:v>
      </s:c>
      <s:c r="R22" s="6">
        <s:f>N22/(1+Inputs!$B$12)^A22</s:f>
        <s:v>161789.86926900776</s:v>
      </s:c>
      <s:c r="S22" s="6">
        <s:f>S21+R22</s:f>
        <s:v>-5658042.930128327</s:v>
      </s:c>
      <s:c r="T22" s="6">
        <s:f>SUM(O$2:O22)</s:f>
        <s:v>-2183495.9762788536</s:v>
      </s:c>
    </s:row>
    <s:row r="23">
      <s:c r="A23" s="8" t="n">
        <s:v>21</s:v>
      </s:c>
      <s:c r="B23" s="10">
        <s:f>A23-1</s:f>
        <s:v>20</s:v>
      </s:c>
      <s:c r="C23" s="6">
        <s:f>IF(B23&lt;1,0,Inputs!$B$2*((1-Inputs!$B$3)*Inputs!$B$4+Inputs!$B$3*Inputs!$B$5+Inputs!$B$6)*Inputs!$B$7*IF(B23=1,Inputs!$B$9,Inputs!$B$8)*(1+Inputs!$B$10)^(B23-1))</s:f>
        <s:v>1076175.5493697354</s:v>
      </s:c>
      <s:c r="D23" s="6">
        <s:f>IF(B23&lt;1,Inputs!$B$32,SUM(Inputs!$B$33,Inputs!$B$34,Inputs!$B$35,Inputs!$B$36,Inputs!$B$37,Inputs!$B$38,Inputs!$B$39)*(1+Inputs!$B$11)^(B23-1))</s:f>
        <s:v>364492.2423280097</s:v>
      </s:c>
      <s:c r="E23" s="6">
        <s:f>C23*Inputs!$B$40</s:f>
        <s:v>43047.021974789415</s:v>
      </s:c>
      <s:c r="F23" s="6">
        <s:f>C23-D23-E23</s:f>
        <s:v>668636.2850669363</s:v>
      </s:c>
      <s:c r="G23" s="6">
        <s:f>IF(B23&lt;1,0,Inputs!$B$2*Inputs!$B$41*(1+Inputs!$B$11)^(B23-1))</s:f>
        <s:v>31973.003712983307</s:v>
      </s:c>
      <s:c r="H23" s="6">
        <s:f>L22</s:f>
        <s:v>1845579.5900614571</s:v>
      </s:c>
      <s:c r="I23" s="6">
        <s:f>H23*Inputs!$B$30</s:f>
        <s:v>83051.08155276556</s:v>
      </s:c>
      <s:c r="J23" s="6">
        <s:f>IF(B23&lt;1,0,MIN(H23,MAX(0,-PMT(Inputs!$B$30,Inputs!$B$31,Budget!B16)-I23)))</s:f>
        <s:v>274766.91341493995</s:v>
      </s:c>
      <s:c r="K23" s="6">
        <s:f>I23+J23</s:f>
        <s:v>357817.9949677055</s:v>
      </s:c>
      <s:c r="L23" s="6">
        <s:f>H23-J23</s:f>
        <s:v>1570812.6766465171</s:v>
      </s:c>
      <s:c r="M23" s="6">
        <s:f>IF(A23=21,((C23/IF(B23=1,Inputs!$B$9,Inputs!$B$8)*Inputs!$B$8*(1+Inputs!$B$10)*(1-Inputs!$B$40)-D23*(1+Inputs!$B$11))/Inputs!$B$14*(1-Inputs!$B$15),0)</s:f>
        <s:v>12119687.610281866</s:v>
      </s:c>
      <s:c r="N23" s="6">
        <s:f>F23-G23+M23</s:f>
        <s:v>12756350.891635818</s:v>
      </s:c>
      <s:c r="O23" s="6">
        <s:f>N23-K23-IF(A23=21,L23,0)</s:f>
        <s:v>10827720.220021596</s:v>
      </s:c>
      <s:c r="P23" s="10">
        <s:f>IF(B23&lt;1,"Construction",(F23-G23)/K23)</s:f>
        <s:v>1.779293636172251</s:v>
      </s:c>
      <s:c r="Q23" s="6">
        <s:f>Q22+N23</s:f>
        <s:v>12304357.81974337</s:v>
      </s:c>
      <s:c r="R23" s="6">
        <s:f>N23/(1+Inputs!$B$12)^A23</s:f>
        <s:v>3080825.6794021768</s:v>
      </s:c>
      <s:c r="S23" s="6">
        <s:f>S22+R23</s:f>
        <s:v>-2577217.25072615</s:v>
      </s:c>
      <s:c r="T23" s="6">
        <s:f>SUM(O$2:O23)</s:f>
        <s:v>8644224.243742742</s:v>
      </s:c>
    </s:row>
  </s:sheetData>
  <s:autoFilter ref="A1:T23"/>
  <s:pageMargins left="0.75" right="0.75" top="1" bottom="1" header="0.5" footer="0.5"/>
  <s:pageSetup orientation="landscape" paperSize="9" fitToHeight="0" fitToWidth="1"/>
</s:worksheet>
</file>

<file path=xl/worksheets/sheet5.xml><?xml version="1.0" encoding="utf-8"?>
<s:worksheet xmlns:s="http://schemas.openxmlformats.org/spreadsheetml/2006/main">
  <s:sheetPr>
    <s:outlinePr summaryBelow="1" summaryRight="1"/>
    <s:pageSetUpPr fitToPage="1"/>
  </s:sheetPr>
  <s:dimension ref="A1:C19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6" customWidth="1" min="1" max="1"/>
    <s:col width="19" customWidth="1" min="2" max="2"/>
    <s:col width="19" customWidth="1" min="3" max="3"/>
  </s:cols>
  <s:sheetData>
    <s:row r="1">
      <s:c r="A1" s="1" t="inlineStr">
        <s:is>
          <s:t>Investment KPI</s:t>
        </s:is>
      </s:c>
      <s:c r="B1" s="1" t="inlineStr">
        <s:is>
          <s:t>Base case</s:t>
        </s:is>
      </s:c>
      <s:c r="C1" s="1" t="inlineStr">
        <s:is>
          <s:t>Interpretation</s:t>
        </s:is>
      </s:c>
    </s:row>
    <s:row r="2">
      <s:c r="A2" s="2" t="inlineStr">
        <s:is>
          <s:t>Project NPV</s:t>
        </s:is>
      </s:c>
      <s:c r="B2" s="6">
        <s:f>NPV(Inputs!$B$12,'Cash Flow'!N3:N23)+'Cash Flow'!N2</s:f>
        <s:v>-2577217.25072615</s:v>
      </s:c>
      <s:c r="C2" s="2" t="inlineStr">
        <s:is>
          <s:t>Net cost incl grant; pre-tax, nominal 7% hurdle.</s:t>
        </s:is>
      </s:c>
    </s:row>
    <s:row r="3">
      <s:c r="A3" s="2" t="inlineStr">
        <s:is>
          <s:t>Project IRR</s:t>
        </s:is>
      </s:c>
      <s:c r="B3" s="11">
        <s:f>IRR('Cash Flow'!N2:N23)</s:f>
        <s:v>0.04959468693126212</s:v>
      </s:c>
      <s:c r="C3" s="2" t="inlineStr">
        <s:is>
          <s:t>Cash flows include Year 21 sale.</s:t>
        </s:is>
      </s:c>
    </s:row>
    <s:row r="4">
      <s:c r="A4" s="2" t="inlineStr">
        <s:is>
          <s:t>Equity NPV</s:t>
        </s:is>
      </s:c>
      <s:c r="B4" s="6">
        <s:f>NPV(Inputs!$B$13,'Cash Flow'!O3:O23)+'Cash Flow'!O2</s:f>
        <s:v>-2527187.7658824977</s:v>
      </s:c>
      <s:c r="C4" s="2" t="inlineStr">
        <s:is>
          <s:t>9% nominal equity hurdle; construction interest and debt payoff included.</s:t>
        </s:is>
      </s:c>
    </s:row>
    <s:row r="5">
      <s:c r="A5" s="2" t="inlineStr">
        <s:is>
          <s:t>Equity IRR</s:t>
        </s:is>
      </s:c>
      <s:c r="B5" s="11">
        <s:f>IRR('Cash Flow'!O2:O23)</s:f>
        <s:v>0.052157867155694704</s:v>
      </s:c>
      <s:c r="C5" s="2" t="inlineStr">
        <s:is>
          <s:t>Leverage can lower return if debt cost exceeds property return.</s:t>
        </s:is>
      </s:c>
    </s:row>
    <s:row r="6">
      <s:c r="A6" s="2" t="inlineStr">
        <s:is>
          <s:t>Gross development cost</s:t>
        </s:is>
      </s:c>
      <s:c r="B6" s="6">
        <s:f>Budget!B13</s:f>
        <s:v>10611600.0</s:v>
      </s:c>
      <s:c r="C6" s="2" t="inlineStr">
        <s:is>
          <s:t>Includes VAT and contingency; excludes construction-year holding/interest.</s:t>
        </s:is>
      </s:c>
    </s:row>
    <s:row r="7">
      <s:c r="A7" s="2" t="inlineStr">
        <s:is>
          <s:t>Stabilised NOI</s:t>
        </s:is>
      </s:c>
      <s:c r="B7" s="6">
        <s:f>'Cash Flow'!F5</s:f>
        <s:v>489654.62399999995</s:v>
      </s:c>
      <s:c r="C7" s="2" t="inlineStr">
        <s:is>
          <s:t>Second operating year; replacement reserve is below NOI.</s:t>
        </s:is>
      </s:c>
    </s:row>
    <s:row r="8">
      <s:c r="A8" s="2" t="inlineStr">
        <s:is>
          <s:t>Stabilised yield on gross cost</s:t>
        </s:is>
      </s:c>
      <s:c r="B8" s="11">
        <s:f>'Cash Flow'!F5/Budget!B13</s:f>
        <s:v>0.04614333597195521</s:v>
      </s:c>
      <s:c r="C8" s="2" t="inlineStr">
        <s:is>
          <s:t>Compare with cost of capital and exit yield.</s:t>
        </s:is>
      </s:c>
    </s:row>
    <s:row r="9">
      <s:c r="A9" s="2" t="inlineStr">
        <s:is>
          <s:t>Minimum operating cash DSCR</s:t>
        </s:is>
      </s:c>
      <s:c r="B9" s="10">
        <s:f>MIN('Cash Flow'!P4:P23)</s:f>
        <s:v>1.0802184502623606</s:v>
      </s:c>
      <s:c r="C9" s="2" t="inlineStr">
        <s:is>
          <s:t>NOI less replacement reserve / debt service; excludes construction.</s:t>
        </s:is>
      </s:c>
    </s:row>
    <s:row r="10">
      <s:c r="A10" s="2" t="inlineStr">
        <s:is>
          <s:t>Simple payback incl sale</s:t>
        </s:is>
      </s:c>
      <s:c r="B10" s="10">
        <s:f>IF(MAX('Cash Flow'!Q2:Q23)&lt;0,"Not reached",MATCH(TRUE,INDEX('Cash Flow'!Q2:Q23&gt;=0,0),0)-2-INDEX('Cash Flow'!Q2:Q23,MATCH(TRUE,INDEX('Cash Flow'!Q2:Q23&gt;=0,0),0)-1)/INDEX('Cash Flow'!N2:N23,MATCH(TRUE,INDEX('Cash Flow'!Q2:Q23&gt;=0,0),0)))</s:f>
        <s:v>20.035432787615527</s:v>
      </s:c>
      <s:c r="C10" s="2" t="inlineStr">
        <s:is>
          <s:t>Fractional annual cash-flow interpolation; exit-dependent.</s:t>
        </s:is>
      </s:c>
    </s:row>
    <s:row r="11">
      <s:c r="A11" s="2" t="inlineStr">
        <s:is>
          <s:t>Discounted payback incl sale</s:t>
        </s:is>
      </s:c>
      <s:c r="B11" s="10" t="str">
        <s:f>IF(MAX('Cash Flow'!S2:S23)&lt;0,"Not reached",MATCH(TRUE,INDEX('Cash Flow'!S2:S23&gt;=0,0),0)-2-INDEX('Cash Flow'!S2:S23,MATCH(TRUE,INDEX('Cash Flow'!S2:S23&gt;=0,0),0)-1)/INDEX('Cash Flow'!R2:R23,MATCH(TRUE,INDEX('Cash Flow'!S2:S23&gt;=0,0),0)))</s:f>
        <s:v>Not reached</s:v>
      </s:c>
      <s:c r="C11" s="2" t="inlineStr">
        <s:is>
          <s:t>Uses project discount rate.</s:t>
        </s:is>
      </s:c>
    </s:row>
    <s:row r="12">
      <s:c r="A12" s="2" t="inlineStr">
        <s:is>
          <s:t>Additional upfront grant for NPV=0</s:t>
        </s:is>
      </s:c>
      <s:c r="B12" s="6">
        <s:f>MAX(0,-B2)</s:f>
        <s:v>2577217.25072615</s:v>
      </s:c>
      <s:c r="C12" s="2" t="inlineStr">
        <s:is>
          <s:t>Minimum support at unchanged operation and terminal value; not committed.</s:t>
        </s:is>
      </s:c>
    </s:row>
    <s:row r="13">
      <s:c r="A13" s="2" t="inlineStr">
        <s:is>
          <s:t>Maximum gross cost at project hurdle</s:t>
        </s:is>
      </s:c>
      <s:c r="B13" s="6">
        <s:f>Budget!B13+B2</s:f>
        <s:v>8034382.74927385</s:v>
      </s:c>
      <s:c r="C13" s="2" t="inlineStr">
        <s:is>
          <s:t>Includes confirmed grants; assumes unchanged future cash flow.</s:t>
        </s:is>
      </s:c>
    </s:row>
    <s:row r="14">
      <s:c r="A14" s="2" t="inlineStr">
        <s:is>
          <s:t>Affordable rooms</s:t>
        </s:is>
      </s:c>
      <s:c r="B14" s="10">
        <s:f>Inputs!$B$2*Inputs!$B$3</s:f>
        <s:v>10.0</s:v>
      </s:c>
      <s:c r="C14" s="2" t="inlineStr">
        <s:is>
          <s:t>Same quality, income-targeted allocation.</s:t>
        </s:is>
      </s:c>
    </s:row>
    <s:row r="15">
      <s:c r="A15" s="2" t="inlineStr">
        <s:is>
          <s:t>Standard all-in monthly cost</s:t>
        </s:is>
      </s:c>
      <s:c r="B15" s="6">
        <s:f>Inputs!$B$4+Inputs!$B$6</s:f>
        <s:v>670</s:v>
      </s:c>
      <s:c r="C15" s="2" t="inlineStr">
        <s:is>
          <s:t>Bare rent plus services in first operating year.</s:t>
        </s:is>
      </s:c>
    </s:row>
    <s:row r="16">
      <s:c r="A16" s="2" t="inlineStr">
        <s:is>
          <s:t>Affordable all-in monthly cost</s:t>
        </s:is>
      </s:c>
      <s:c r="B16" s="6">
        <s:f>Inputs!$B$5+Inputs!$B$6</s:f>
        <s:v>450</s:v>
      </s:c>
      <s:c r="C16" s="2" t="inlineStr">
        <s:is>
          <s:t>Affordability judged on full cost of tenancy.</s:t>
        </s:is>
      </s:c>
    </s:row>
    <s:row r="17">
      <s:c r="A17" s="2" t="inlineStr">
        <s:is>
          <s:t>Annual affordable rent concession</s:t>
        </s:is>
      </s:c>
      <s:c r="B17" s="6">
        <s:f>Inputs!$B$2*Inputs!$B$3*(Inputs!$B$4-Inputs!$B$5)*Inputs!$B$7*Inputs!$B$8</s:f>
        <s:v>25080.0</s:v>
      </s:c>
      <s:c r="C17" s="2" t="inlineStr">
        <s:is>
          <s:t>Foregone gross rent vs all standard rooms at stabilised occupancy.</s:t>
        </s:is>
      </s:c>
    </s:row>
    <s:row r="18">
      <s:c r="A18" s="2" t="inlineStr">
        <s:is>
          <s:t>Peak cumulative equity committed</s:t>
        </s:is>
      </s:c>
      <s:c r="B18" s="6">
        <s:f>MAX(0,-MIN('Cash Flow'!T2:T23))</s:f>
        <s:v>5569561.0</s:v>
      </s:c>
      <s:c r="C18" s="2" t="inlineStr">
        <s:is>
          <s:t>Includes any subsequent operating funding shortfalls.</s:t>
        </s:is>
      </s:c>
    </s:row>
    <s:row r="19">
      <s:c r="A19" s="2" t="inlineStr">
        <s:is>
          <s:t>Operating-only payback</s:t>
        </s:is>
      </s:c>
      <s:c r="B19" s="10">
        <s:f>IF(SUM('Cash Flow'!N2:N23)-SUM('Cash Flow'!M2:M23)&lt;0,"Not reached","See Cash Flow")</s:f>
        <s:v>20.70994053706258</s:v>
      </s:c>
      <s:c r="C19" s="2" t="inlineStr">
        <s:is>
          <s:t>Excludes sale; do not confuse with exit-inclusive payback.</s:t>
        </s:is>
      </s:c>
    </s:row>
  </s:sheetData>
  <s:autoFilter ref="A1:C19"/>
  <s:pageMargins left="0.75" right="0.75" top="1" bottom="1" header="0.5" footer="0.5"/>
  <s:pageSetup orientation="landscape" paperSize="9" fitToHeight="0" fitToWidth="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2026-10-14T17:58:11Z</dcterms:created>
  <dcterms:modified xsi:type="dcterms:W3CDTF">2026-10-14T17:58:11Z</dcterms:modified>
</cp:coreProperties>
</file>