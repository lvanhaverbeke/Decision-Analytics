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3" autoFilterDateGrouping="1"/>
  </bookViews>
  <sheets>
    <sheet name="Read me" sheetId="1" state="visible" r:id="rId1"/>
    <sheet name="Inputs" sheetId="2" state="visible" r:id="rId2"/>
    <sheet name="Cash flow" sheetId="3" state="visible" r:id="rId3"/>
    <sheet name="Results" sheetId="4" state="visible" r:id="rId4"/>
    <sheet name="Sources" sheetId="5" state="visible" r:id="rId5"/>
    <sheet name="Prompt" sheetId="6" state="visible" r:id="rId6"/>
    <sheet name="Risks" sheetId="7" state="visible" r:id="rId7"/>
    <sheet name="Scenarios" sheetId="8" state="visible" r:id="rId8"/>
    <sheet name="S1 inputs" sheetId="9" state="hidden" r:id="rId9"/>
    <sheet name="S1 results" sheetId="10" state="hidden" r:id="rId10"/>
    <sheet name="S1 cash flow" sheetId="11" state="hidden" r:id="rId11"/>
    <sheet name="S2 inputs" sheetId="12" state="hidden" r:id="rId12"/>
    <sheet name="S2 results" sheetId="13" state="hidden" r:id="rId13"/>
    <sheet name="S2 cash flow" sheetId="14" state="hidden" r:id="rId14"/>
    <sheet name="S3 inputs" sheetId="15" state="hidden" r:id="rId15"/>
    <sheet name="S3 results" sheetId="16" state="hidden" r:id="rId16"/>
    <sheet name="S3 cash flow" sheetId="17" state="hidden" r:id="rId17"/>
  </sheets>
  <definedNames>
    <definedName name="_xlnm._FilterDatabase" localSheetId="0" hidden="1">'Read me'!$A$1:$B$9</definedName>
    <definedName name="_xlnm._FilterDatabase" localSheetId="1" hidden="1">'Inputs'!$A$1:$D$28</definedName>
    <definedName name="_xlnm._FilterDatabase" localSheetId="2" hidden="1">'Cash flow'!$A$1:$L$62</definedName>
    <definedName name="_xlnm._FilterDatabase" localSheetId="3" hidden="1">'Results'!$A$1:$C$17</definedName>
    <definedName name="_xlnm._FilterDatabase" localSheetId="4" hidden="1">'Sources'!$A$1:$D$5</definedName>
    <definedName name="_xlnm._FilterDatabase" localSheetId="5" hidden="1">'Prompt'!$A$1:$B$9</definedName>
    <definedName name="_xlnm._FilterDatabase" localSheetId="6" hidden="1">'Risks'!$A$1:$C$9</definedName>
    <definedName name="_xlnm._FilterDatabase" localSheetId="7" hidden="1">'Scenarios'!$A$1:$M$6</definedName>
  </definedNames>
  <calcPr calcId="124519" fullCalcOnLoad="1"/>
</workbook>
</file>

<file path=xl/styles.xml><?xml version="1.0" encoding="utf-8"?>
<styleSheet xmlns="http://schemas.openxmlformats.org/spreadsheetml/2006/main">
  <numFmts count="3">
    <numFmt numFmtId="164" formatCode="0.00% "/>
    <numFmt numFmtId="165" formatCode="#,##0.00;[Red](#,##0.00)"/>
    <numFmt numFmtId="166" formatCode="€ #,##0.00;[Red](€ #,##0.00)"/>
  </numFmts>
  <fonts count="4">
    <font>
      <name val="Calibri"/>
      <family val="2"/>
      <color theme="1"/>
      <sz val="11"/>
      <scheme val="minor"/>
    </font>
    <font>
      <b val="1"/>
      <color rgb="00FFFFFF"/>
    </font>
    <font>
      <color rgb="000070C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E7F1FB"/>
      </patternFill>
    </fill>
  </fills>
  <borders count="1">
    <border>
      <left/>
      <right/>
      <top/>
      <bottom/>
      <diagonal/>
    </border>
  </borders>
  <cellStyleXfs count="2">
    <xf numFmtId="0" fontId="0" fillId="0" borderId="0"/>
    <xf numFmtId="0" fontId="3" fillId="0" borderId="0"/>
  </cellStyleXfs>
  <cellXfs count="17">
    <xf numFmtId="0" fontId="0" fillId="0" borderId="0" pivotButton="0" quotePrefix="0" xfId="0"/>
    <xf numFmtId="0" fontId="1" fillId="2" borderId="0" pivotButton="0" quotePrefix="0" xfId="0"/>
    <xf numFmtId="0" fontId="0" fillId="0" borderId="0" applyAlignment="1" pivotButton="0" quotePrefix="0" xfId="0">
      <alignment vertical="top" wrapText="1"/>
    </xf>
    <xf numFmtId="4" fontId="2" fillId="3" borderId="0" applyAlignment="1" pivotButton="0" quotePrefix="0" xfId="0">
      <alignment vertical="top" wrapText="1"/>
    </xf>
    <xf numFmtId="164" fontId="2" fillId="3"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0" fontId="0" fillId="0" borderId="0" applyAlignment="1" pivotButton="0" quotePrefix="0" xfId="0">
      <alignment vertical="top" wrapText="1"/>
    </xf>
    <xf numFmtId="0" fontId="3" fillId="0" borderId="0" applyAlignment="1" pivotButton="0" quotePrefix="0" xfId="1">
      <alignment vertical="top" wrapText="1"/>
    </xf>
    <xf numFmtId="10" fontId="2" fillId="0" borderId="0" applyAlignment="1" pivotButton="0" quotePrefix="0" xfId="0">
      <alignment vertical="top" wrapText="1"/>
    </xf>
    <xf numFmtId="0" fontId="2" fillId="0" borderId="0" applyAlignment="1" pivotButton="0" quotePrefix="0" xfId="0">
      <alignment vertical="top" wrapText="1"/>
    </xf>
    <xf numFmtId="4" fontId="0" fillId="0" borderId="0" pivotButton="0" quotePrefix="0" xfId="0"/>
    <xf numFmtId="166" fontId="0" fillId="0" borderId="0" applyAlignment="1" pivotButton="0" quotePrefix="0" xfId="0">
      <alignment vertical="top" wrapText="1"/>
    </xf>
    <xf numFmtId="2" fontId="0" fillId="0" borderId="0" applyAlignment="1" pivotButton="0" quotePrefix="0" xfId="0">
      <alignment vertical="top" wrapText="1"/>
    </xf>
    <xf numFmtId="4" fontId="0" fillId="0" borderId="0" applyAlignment="1" pivotButton="0" quotePrefix="0" xfId="0">
      <alignment vertical="top" wrapText="1"/>
    </xf>
    <xf numFmtId="2" fontId="0" fillId="0" borderId="0" pivotButton="0" quotePrefix="0" xfId="0"/>
    <xf numFmtId="166" fontId="0" fillId="0" borderId="0" pivotButton="0" quotePrefix="0" xfId="0"/>
  </cellXfs>
  <cellStyles count="2">
    <cellStyle name="Normal" xfId="0" builtinId="0" hidden="0"/>
    <cellStyle name="Hyperlink" xfId="1" builtinId="8" hidden="0"/>
  </cellStyles>
  <dxfs count="2">
    <dxf>
      <fill>
        <patternFill patternType="solid">
          <fgColor rgb="00FCE4D6"/>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Cumulative operating cash (excluding sale)</a:t>
            </a:r>
          </a:p>
        </rich>
      </tx>
    </title>
    <plotArea>
      <lineChart>
        <grouping val="standard"/>
        <ser>
          <idx val="0"/>
          <order val="0"/>
          <tx>
            <strRef>
              <f>'Cash flow'!K1</f>
            </strRef>
          </tx>
          <spPr>
            <a:ln>
              <a:prstDash val="solid"/>
            </a:ln>
          </spPr>
          <marker>
            <symbol val="none"/>
            <spPr>
              <a:ln>
                <a:prstDash val="solid"/>
              </a:ln>
            </spPr>
          </marker>
          <cat>
            <numRef>
              <f>'Cash flow'!$A$2:$A$62</f>
            </numRef>
          </cat>
          <val>
            <numRef>
              <f>'Cash flow'!$K$2:$K$62</f>
            </numRef>
          </val>
        </ser>
        <axId val="10"/>
        <axId val="100"/>
      </lineChart>
      <catAx>
        <axId val="10"/>
        <scaling>
          <orientation val="minMax"/>
        </scaling>
        <axPos val="l"/>
        <title>
          <tx>
            <rich>
              <a:bodyPr/>
              <a:p>
                <a:pPr>
                  <a:defRPr/>
                </a:pPr>
                <a:r>
                  <a:t>Years from investment</a:t>
                </a:r>
              </a:p>
            </rich>
          </tx>
        </title>
        <majorTickMark val="none"/>
        <minorTickMark val="none"/>
        <crossAx val="100"/>
        <lblOffset val="100"/>
      </catAx>
      <valAx>
        <axId val="100"/>
        <scaling>
          <orientation val="minMax"/>
        </scaling>
        <axPos val="l"/>
        <majorGridlines/>
        <title>
          <tx>
            <rich>
              <a:bodyPr/>
              <a:p>
                <a:pPr>
                  <a:defRPr/>
                </a:pPr>
                <a:r>
                  <a:t>EUR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https://beecole.brussels/sites/default/files/documents/fr_monitoring_logement_etudiant_final2026.pdf" TargetMode="External" Id="rId1" /><Relationship Type="http://schemas.openxmlformats.org/officeDocument/2006/relationships/hyperlink" Target="https://be.brussels/fr/logement/location/les-differentes-etapes-de-la-location" TargetMode="External" Id="rId2" /><Relationship Type="http://schemas.openxmlformats.org/officeDocument/2006/relationships/hyperlink" Target="https://be.brussels/fr/logement/location/conformite-logement/label-logement-etudiant" TargetMode="External" Id="rId3" /></Relationships>
</file>

<file path=xl/worksheets/sheet1.xml><?xml version="1.0" encoding="utf-8"?>
<s:worksheet xmlns:s="http://schemas.openxmlformats.org/spreadsheetml/2006/main">
  <s:sheetPr>
    <s:outlinePr summaryBelow="1" summaryRight="1"/>
    <s:pageSetUpPr/>
  </s:sheetPr>
  <s:dimension ref="A1:B15"/>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9" customWidth="1" min="1" max="1"/>
    <s:col width="110"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BRUSSELS STUDENT HOUSING — DECISION MODEL</s:t>
        </s:is>
      </s:c>
      <s:c r="B1" s="1" t="n"/>
    </s:row>
    <s:row r="2" ht="48" customHeight="1">
      <s:c r="A2" s="2" t="inlineStr">
        <s:is>
          <s:t>Purpose</s:t>
        </s:is>
      </s:c>
      <s:c r="B2" s="2" t="inlineStr">
        <s:is>
          <s:t>Compare affordable student rent with investor project returns. All starting values are illustrative assumptions, not quotations.</s:t>
        </s:is>
      </s:c>
    </s:row>
    <s:row r="3" ht="48" customHeight="1">
      <s:c r="A3" s="2" t="inlineStr">
        <s:is>
          <s:t>Use</s:t>
        </s:is>
      </s:c>
      <s:c r="B3" s="2" t="inlineStr">
        <s:is>
          <s:t>Edit blue cells on Inputs. Read Results, then Cash flow. Monetary amounts are nominal EUR.</s:t>
        </s:is>
      </s:c>
    </s:row>
    <s:row r="4" ht="48" customHeight="1">
      <s:c r="A4" s="2" t="inlineStr">
        <s:is>
          <s:t>Scope</s:t>
        </s:is>
      </s:c>
      <s:c r="B4" s="2" t="inlineStr">
        <s:is>
          <s:t>Unlevered, pre-tax project cash flows. No debt, tax or depreciation. All investment paid at time 0, a conservative simplification.</s:t>
        </s:is>
      </s:c>
    </s:row>
    <s:row r="5" ht="48" customHeight="1">
      <s:c r="A5" s="2" t="inlineStr">
        <s:is>
          <s:t>Timing</s:t>
        </s:is>
      </s:c>
      <s:c r="B5" s="2" t="inlineStr">
        <s:is>
          <s:t>Construction months rounded UP to full years. First full rental year follows construction; no partial-year income.</s:t>
        </s:is>
      </s:c>
    </s:row>
    <s:row r="6" ht="48" customHeight="1">
      <s:c r="A6" s="2" t="inlineStr">
        <s:is>
          <s:t>Investment</s:t>
        </s:is>
      </s:c>
      <s:c r="B6" s="2" t="inlineStr">
        <s:is>
          <s:t>Includes land, construction, facilities, professional fees, contingency and explicit compliance cost. Subsidy is received at time 0.</s:t>
        </s:is>
      </s:c>
    </s:row>
    <s:row r="7" ht="48" customHeight="1">
      <s:c r="A7" s="2" t="inlineStr">
        <s:is>
          <s:t>Student price</s:t>
        </s:is>
      </s:c>
      <s:c r="B7" s="2" t="inlineStr">
        <s:is>
          <s:t>Monthly all-in rent: utilities included. Separate affordability cap is an editable policy target.</s:t>
        </s:is>
      </s:c>
    </s:row>
    <s:row r="8" ht="48" customHeight="1">
      <s:c r="A8" s="2" t="inlineStr">
        <s:is>
          <s:t>Return</s:t>
        </s:is>
      </s:c>
      <s:c r="B8" s="2" t="inlineStr">
        <s:is>
          <s:t>NPV at entered discount rate; IRR uses yearly project cash flows; PBP is simple payback from investment, excluding sale proceeds.</s:t>
        </s:is>
      </s:c>
    </s:row>
    <s:row r="9" ht="48" customHeight="1">
      <s:c r="A9" s="2" t="inlineStr">
        <s:is>
          <s:t>Risk</s:t>
        </s:is>
      </s:c>
      <s:c r="B9" s="2" t="inlineStr">
        <s:is>
          <s:t>Force-majeure contingency is a scenario allowance, not a probability forecast. Illegal payments are not budgeted; use compliance and delay scenarios.</s:t>
        </s:is>
      </s:c>
    </s:row>
    <s:row r="10" ht="48" customHeight="1">
      <s:c r="A10" t="inlineStr">
        <s:is>
          <s:t>Affordability over time</s:t>
        </s:is>
      </s:c>
      <s:c r="B10" t="inlineStr">
        <s:is>
          <s:t>Cap tests initial rent only. Annual escalated rent appears in Cash flow; recheck student budgets each year.</s:t>
        </s:is>
      </s:c>
    </s:row>
    <s:row r="11" ht="48" customHeight="1">
      <s:c r="A11" t="inlineStr">
        <s:is>
          <s:t>Optimization</s:t>
        </s:is>
      </s:c>
      <s:c r="B11" t="inlineStr">
        <s:is>
          <s:t>Exact analytical minimum rent at NPV = 0 for a fixed design. Minimum investment is meaningful only with room capacity, quality and useful-life constraints. No global construction optimum is claimed.</s:t>
        </s:is>
      </s:c>
    </s:row>
    <s:row r="12" ht="48" customHeight="1">
      <s:c r="A12" t="inlineStr">
        <s:is>
          <s:t>Model limits</s:t>
        </s:is>
      </s:c>
      <s:c r="B12" t="inlineStr">
        <s:is>
          <s:t>60-year annual horizon; construction &lt;=60 months and life &lt;=50 years. No financial close recommendation without local quotes, tax review and financing terms.</s:t>
        </s:is>
      </s:c>
    </s:row>
    <s:row r="13" ht="48" customHeight="1">
      <s:c r="A13" t="inlineStr">
        <s:is>
          <s:t>Double counting</s:t>
        </s:is>
      </s:c>
      <s:c r="B13" t="inlineStr">
        <s:is>
          <s:t>Maintenance is expensed cash each year; refurbishment is separate major work. Do not also count a funded reserve withdrawal as a new expense.</s:t>
        </s:is>
      </s:c>
    </s:row>
    <s:row r="14" ht="48" customHeight="1">
      <s:c r="A14" t="inlineStr">
        <s:is>
          <s:t>PBP limitation</s:t>
        </s:is>
      </s:c>
      <s:c r="B14" t="inlineStr">
        <s:is>
          <s:t>Annual interpolation approximates receipt timing. Terminal proceeds excluded. Late negative cash flows can reverse an earlier payback.</s:t>
        </s:is>
      </s:c>
    </s:row>
    <s:row r="15" ht="48" customHeight="1">
      <s:c r="A15" t="inlineStr">
        <s:is>
          <s:t>Workbook map</s:t>
        </s:is>
      </s:c>
      <s:c r="B15" t="inlineStr">
        <s:is>
          <s:t>Inputs → Results → Cash flow → Scenarios. Sources, Risks and Prompt explain evidence and next steps. Hidden scenario calculation sheets can be unhidden to audit.</s:t>
        </s:is>
      </s:c>
    </s:row>
  </s:sheetData>
  <s:autoFilter ref="A1:B9"/>
  <s:pageMargins left="0.75" right="0.75" top="1" bottom="1" header="0.5" footer="0.5"/>
</s:worksheet>
</file>

<file path=xl/worksheets/sheet2.xml><?xml version="1.0" encoding="utf-8"?>
<s:worksheet xmlns:s="http://schemas.openxmlformats.org/spreadsheetml/2006/main">
  <s:sheetPr>
    <s:outlinePr summaryBelow="1" summaryRight="1"/>
    <s:pageSetUpPr/>
  </s:sheetPr>
  <s:dimension ref="A1:D28"/>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9" customWidth="1" min="1" max="1"/>
    <s:col width="27"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Input</s:t>
        </s:is>
      </s:c>
      <s:c r="B1" s="1" t="inlineStr">
        <s:is>
          <s:t>Value</s:t>
        </s:is>
      </s:c>
      <s:c r="C1" s="1" t="inlineStr">
        <s:is>
          <s:t>Unit</s:t>
        </s:is>
      </s:c>
      <s:c r="D1" s="1" t="inlineStr">
        <s:is>
          <s:t>Basis / assumption</s:t>
        </s:is>
      </s:c>
    </s:row>
    <s:row r="2" ht="32" customHeight="1">
      <s:c r="A2" s="2" t="inlineStr">
        <s:is>
          <s:t>Rooms</s:t>
        </s:is>
      </s:c>
      <s:c r="B2" s="3" t="n">
        <s:v>100</s:v>
      </s:c>
      <s:c r="C2" s="2" t="inlineStr">
        <s:is>
          <s:t>rooms</s:t>
        </s:is>
      </s:c>
      <s:c r="D2" s="2" t="inlineStr">
        <s:is>
          <s:t>Illustrative project; minimum capacity constraint</s:t>
        </s:is>
      </s:c>
    </s:row>
    <s:row r="3" ht="32" customHeight="1">
      <s:c r="A3" s="2" t="inlineStr">
        <s:is>
          <s:t>Gross area per room</s:t>
        </s:is>
      </s:c>
      <s:c r="B3" s="3" t="n">
        <s:v>30</s:v>
      </s:c>
      <s:c r="C3" s="2" t="inlineStr">
        <s:is>
          <s:t>m²/room</s:t>
        </s:is>
      </s:c>
      <s:c r="D3" s="2" t="inlineStr">
        <s:is>
          <s:t>Includes allocation of common areas</s:t>
        </s:is>
      </s:c>
    </s:row>
    <s:row r="4" ht="32" customHeight="1">
      <s:c r="A4" s="2" t="inlineStr">
        <s:is>
          <s:t>Land / acquisition</s:t>
        </s:is>
      </s:c>
      <s:c r="B4" s="3" t="n">
        <s:v>1200000</s:v>
      </s:c>
      <s:c r="C4" s="2" t="inlineStr">
        <s:is>
          <s:t>EUR</s:t>
        </s:is>
      </s:c>
      <s:c r="D4" s="2" t="inlineStr">
        <s:is>
          <s:t>Site-specific quotation needed</s:t>
        </s:is>
      </s:c>
    </s:row>
    <s:row r="5" ht="32" customHeight="1">
      <s:c r="A5" s="2" t="inlineStr">
        <s:is>
          <s:t>Construction cost</s:t>
        </s:is>
      </s:c>
      <s:c r="B5" s="3" t="n">
        <s:v>2000</s:v>
      </s:c>
      <s:c r="C5" s="2" t="inlineStr">
        <s:is>
          <s:t>EUR/m²</s:t>
        </s:is>
      </s:c>
      <s:c r="D5" s="2" t="inlineStr">
        <s:is>
          <s:t>Illustrative; VAT inclusion must be checked</s:t>
        </s:is>
      </s:c>
    </s:row>
    <s:row r="6" ht="32" customHeight="1">
      <s:c r="A6" s="2" t="inlineStr">
        <s:is>
          <s:t>Facilities</s:t>
        </s:is>
      </s:c>
      <s:c r="B6" s="3" t="n">
        <s:v>400000</s:v>
      </s:c>
      <s:c r="C6" s="2" t="inlineStr">
        <s:is>
          <s:t>EUR</s:t>
        </s:is>
      </s:c>
      <s:c r="D6" s="2" t="inlineStr">
        <s:is>
          <s:t>Furniture and common equipment</s:t>
        </s:is>
      </s:c>
    </s:row>
    <s:row r="7" ht="32" customHeight="1">
      <s:c r="A7" s="2" t="inlineStr">
        <s:is>
          <s:t>Professional fees</s:t>
        </s:is>
      </s:c>
      <s:c r="B7" s="4" t="n">
        <s:v>0.1</s:v>
      </s:c>
      <s:c r="C7" s="2" t="inlineStr">
        <s:is>
          <s:t>share</s:t>
        </s:is>
      </s:c>
      <s:c r="D7" s="2" t="inlineStr">
        <s:is>
          <s:t>Of construction + facilities</s:t>
        </s:is>
      </s:c>
    </s:row>
    <s:row r="8" ht="32" customHeight="1">
      <s:c r="A8" s="2" t="inlineStr">
        <s:is>
          <s:t>Force-majeure contingency</s:t>
        </s:is>
      </s:c>
      <s:c r="B8" s="4" t="n">
        <s:v>0.1</s:v>
      </s:c>
      <s:c r="C8" s="2" t="inlineStr">
        <s:is>
          <s:t>share</s:t>
        </s:is>
      </s:c>
      <s:c r="D8" s="2" t="inlineStr">
        <s:is>
          <s:t>Of construction + facilities + fees</s:t>
        </s:is>
      </s:c>
    </s:row>
    <s:row r="9" ht="32" customHeight="1">
      <s:c r="A9" s="2" t="inlineStr">
        <s:is>
          <s:t>Compliance / audit cost</s:t>
        </s:is>
      </s:c>
      <s:c r="B9" s="3" t="n">
        <s:v>0</s:v>
      </s:c>
      <s:c r="C9" s="2" t="inlineStr">
        <s:is>
          <s:t>EUR</s:t>
        </s:is>
      </s:c>
      <s:c r="D9" s="2" t="inlineStr">
        <s:is>
          <s:t>Legal control costs; no unlawful payments</s:t>
        </s:is>
      </s:c>
    </s:row>
    <s:row r="10" ht="32" customHeight="1">
      <s:c r="A10" s="2" t="inlineStr">
        <s:is>
          <s:t>Initial subsidy</s:t>
        </s:is>
      </s:c>
      <s:c r="B10" s="3" t="n">
        <s:v>0</s:v>
      </s:c>
      <s:c r="C10" s="2" t="inlineStr">
        <s:is>
          <s:t>EUR</s:t>
        </s:is>
      </s:c>
      <s:c r="D10" s="2" t="inlineStr">
        <s:is>
          <s:t>Only committed funding should be used</s:t>
        </s:is>
      </s:c>
    </s:row>
    <s:row r="11" ht="32" customHeight="1">
      <s:c r="A11" s="2" t="inlineStr">
        <s:is>
          <s:t>Construction duration</s:t>
        </s:is>
      </s:c>
      <s:c r="B11" s="3" t="n">
        <s:v>18</s:v>
      </s:c>
      <s:c r="C11" s="2" t="inlineStr">
        <s:is>
          <s:t>months</s:t>
        </s:is>
      </s:c>
      <s:c r="D11" s="2" t="inlineStr">
        <s:is>
          <s:t>Illustrative, including permitting</s:t>
        </s:is>
      </s:c>
    </s:row>
    <s:row r="12" ht="32" customHeight="1">
      <s:c r="A12" s="2" t="inlineStr">
        <s:is>
          <s:t>Operating useful life</s:t>
        </s:is>
      </s:c>
      <s:c r="B12" s="3" t="n">
        <s:v>40</s:v>
      </s:c>
      <s:c r="C12" s="2" t="inlineStr">
        <s:is>
          <s:t>years</s:t>
        </s:is>
      </s:c>
      <s:c r="D12" s="2" t="inlineStr">
        <s:is>
          <s:t>Subject to engineering assessment and refurbishment</s:t>
        </s:is>
      </s:c>
    </s:row>
    <s:row r="13" ht="32" customHeight="1">
      <s:c r="A13" s="2" t="inlineStr">
        <s:is>
          <s:t>Discount rate</s:t>
        </s:is>
      </s:c>
      <s:c r="B13" s="4" t="n">
        <s:v>0.06</s:v>
      </s:c>
      <s:c r="C13" s="2" t="inlineStr">
        <s:is>
          <s:t>annual</s:t>
        </s:is>
      </s:c>
      <s:c r="D13" s="2" t="inlineStr">
        <s:is>
          <s:t>Nominal unlevered required return</s:t>
        </s:is>
      </s:c>
    </s:row>
    <s:row r="14" ht="32" customHeight="1">
      <s:c r="A14" s="2" t="inlineStr">
        <s:is>
          <s:t>Occupancy</s:t>
        </s:is>
      </s:c>
      <s:c r="B14" s="4" t="n">
        <s:v>0.95</s:v>
      </s:c>
      <s:c r="C14" s="2" t="inlineStr">
        <s:is>
          <s:t>share</s:t>
        </s:is>
      </s:c>
      <s:c r="D14" s="2" t="inlineStr">
        <s:is>
          <s:t>Average paying occupancy</s:t>
        </s:is>
      </s:c>
    </s:row>
    <s:row r="15" ht="32" customHeight="1">
      <s:c r="A15" s="2" t="inlineStr">
        <s:is>
          <s:t>Rent / billing months</s:t>
        </s:is>
      </s:c>
      <s:c r="B15" s="3" t="n">
        <s:v>12</s:v>
      </s:c>
      <s:c r="C15" s="2" t="inlineStr">
        <s:is>
          <s:t>months/year</s:t>
        </s:is>
      </s:c>
      <s:c r="D15" s="2" t="inlineStr">
        <s:is>
          <s:t>Check lease structure</s:t>
        </s:is>
      </s:c>
    </s:row>
    <s:row r="16" ht="32" customHeight="1">
      <s:c r="A16" s="2" t="inlineStr">
        <s:is>
          <s:t>Student monthly all-in rent</s:t>
        </s:is>
      </s:c>
      <s:c r="B16" s="3" t="n">
        <s:v>600</s:v>
      </s:c>
      <s:c r="C16" s="2" t="inlineStr">
        <s:is>
          <s:t>EUR/month</s:t>
        </s:is>
      </s:c>
      <s:c r="D16" s="2" t="inlineStr">
        <s:is>
          <s:t>Illustrative initial rent</s:t>
        </s:is>
      </s:c>
    </s:row>
    <s:row r="17" ht="32" customHeight="1">
      <s:c r="A17" s="2" t="inlineStr">
        <s:is>
          <s:t>Affordability cap</s:t>
        </s:is>
      </s:c>
      <s:c r="B17" s="3" t="n">
        <s:v>650</s:v>
      </s:c>
      <s:c r="C17" s="2" t="inlineStr">
        <s:is>
          <s:t>EUR/month</s:t>
        </s:is>
      </s:c>
      <s:c r="D17" s="2" t="inlineStr">
        <s:is>
          <s:t>Policy assumption; validate student budget</s:t>
        </s:is>
      </s:c>
    </s:row>
    <s:row r="18" ht="32" customHeight="1">
      <s:c r="A18" s="2" t="inlineStr">
        <s:is>
          <s:t>Rent escalation</s:t>
        </s:is>
      </s:c>
      <s:c r="B18" s="4" t="n">
        <s:v>0.02</s:v>
      </s:c>
      <s:c r="C18" s="2" t="inlineStr">
        <s:is>
          <s:t>annual</s:t>
        </s:is>
      </s:c>
      <s:c r="D18" s="2" t="inlineStr">
        <s:is>
          <s:t>Scenario assumption, not entitlement to index</s:t>
        </s:is>
      </s:c>
    </s:row>
    <s:row r="19" ht="32" customHeight="1">
      <s:c r="A19" s="2" t="inlineStr">
        <s:is>
          <s:t>Operating cost escalation</s:t>
        </s:is>
      </s:c>
      <s:c r="B19" s="4" t="n">
        <s:v>0.025</s:v>
      </s:c>
      <s:c r="C19" s="2" t="inlineStr">
        <s:is>
          <s:t>annual</s:t>
        </s:is>
      </s:c>
      <s:c r="D19" s="2" t="inlineStr">
        <s:is>
          <s:t>Nominal assumption</s:t>
        </s:is>
      </s:c>
    </s:row>
    <s:row r="20" ht="32" customHeight="1">
      <s:c r="A20" s="2" t="inlineStr">
        <s:is>
          <s:t>Fixed operations</s:t>
        </s:is>
      </s:c>
      <s:c r="B20" s="3" t="n">
        <s:v>30000</s:v>
      </s:c>
      <s:c r="C20" s="2" t="inlineStr">
        <s:is>
          <s:t>EUR/year</s:t>
        </s:is>
      </s:c>
      <s:c r="D20" s="2" t="inlineStr">
        <s:is>
          <s:t>Excludes wages, maintenance, utilities</s:t>
        </s:is>
      </s:c>
    </s:row>
    <s:row r="21" ht="32" customHeight="1">
      <s:c r="A21" s="2" t="inlineStr">
        <s:is>
          <s:t>Wages incl. employer costs</s:t>
        </s:is>
      </s:c>
      <s:c r="B21" s="3" t="n">
        <s:v>60000</s:v>
      </s:c>
      <s:c r="C21" s="2" t="inlineStr">
        <s:is>
          <s:t>EUR/year</s:t>
        </s:is>
      </s:c>
      <s:c r="D21" s="2" t="inlineStr">
        <s:is>
          <s:t>Illustrative annual staffing</s:t>
        </s:is>
      </s:c>
    </s:row>
    <s:row r="22" ht="32" customHeight="1">
      <s:c r="A22" s="2" t="inlineStr">
        <s:is>
          <s:t>Variable operations</s:t>
        </s:is>
      </s:c>
      <s:c r="B22" s="3" t="n">
        <s:v>300</s:v>
      </s:c>
      <s:c r="C22" s="2" t="inlineStr">
        <s:is>
          <s:t>EUR/occupied room/year</s:t>
        </s:is>
      </s:c>
      <s:c r="D22" s="2" t="inlineStr">
        <s:is>
          <s:t>Cleaning/administration, excludes utilities</s:t>
        </s:is>
      </s:c>
    </s:row>
    <s:row r="23" ht="32" customHeight="1">
      <s:c r="A23" s="2" t="inlineStr">
        <s:is>
          <s:t>Utilities</s:t>
        </s:is>
      </s:c>
      <s:c r="B23" s="3" t="n">
        <s:v>900</s:v>
      </s:c>
      <s:c r="C23" s="2" t="inlineStr">
        <s:is>
          <s:t>EUR/occupied room/year</s:t>
        </s:is>
      </s:c>
      <s:c r="D23" s="2" t="inlineStr">
        <s:is>
          <s:t>All-in rent model</s:t>
        </s:is>
      </s:c>
    </s:row>
    <s:row r="24" ht="32" customHeight="1">
      <s:c r="A24" s="2" t="inlineStr">
        <s:is>
          <s:t>Maintenance reserve</s:t>
        </s:is>
      </s:c>
      <s:c r="B24" s="4" t="n">
        <s:v>0.01</s:v>
      </s:c>
      <s:c r="C24" s="2" t="inlineStr">
        <s:is>
          <s:t>share/year</s:t>
        </s:is>
      </s:c>
      <s:c r="D24" s="2" t="inlineStr">
        <s:is>
          <s:t>Of construction + facilities; treated as annual cash expense</s:t>
        </s:is>
      </s:c>
    </s:row>
    <s:row r="25" ht="32" customHeight="1">
      <s:c r="A25" s="2" t="inlineStr">
        <s:is>
          <s:t>Refurbishment interval</s:t>
        </s:is>
      </s:c>
      <s:c r="B25" s="3" t="n">
        <s:v>15</s:v>
      </s:c>
      <s:c r="C25" s="2" t="inlineStr">
        <s:is>
          <s:t>operating years</s:t>
        </s:is>
      </s:c>
      <s:c r="D25" s="2" t="inlineStr">
        <s:is>
          <s:t>Every N years, before final operating year</s:t>
        </s:is>
      </s:c>
    </s:row>
    <s:row r="26" ht="32" customHeight="1">
      <s:c r="A26" s="2" t="inlineStr">
        <s:is>
          <s:t>Refurbishment cost</s:t>
        </s:is>
      </s:c>
      <s:c r="B26" s="3" t="n">
        <s:v>300000</s:v>
      </s:c>
      <s:c r="C26" s="2" t="inlineStr">
        <s:is>
          <s:t>EUR/event</s:t>
        </s:is>
      </s:c>
      <s:c r="D26" s="2" t="inlineStr">
        <s:is>
          <s:t>Today-price cost, escalates with operating costs</s:t>
        </s:is>
      </s:c>
    </s:row>
    <s:row r="27" ht="32" customHeight="1">
      <s:c r="A27" s="2" t="inlineStr">
        <s:is>
          <s:t>Terminal gross asset value</s:t>
        </s:is>
      </s:c>
      <s:c r="B27" s="3" t="n">
        <s:v>0</s:v>
      </s:c>
      <s:c r="C27" s="2" t="inlineStr">
        <s:is>
          <s:t>EUR at end</s:t>
        </s:is>
      </s:c>
      <s:c r="D27" s="2" t="inlineStr">
        <s:is>
          <s:t>Default zero; enter defensible net-of-tax valuation assumption</s:t>
        </s:is>
      </s:c>
    </s:row>
    <s:row r="28" ht="32" customHeight="1">
      <s:c r="A28" s="2" t="inlineStr">
        <s:is>
          <s:t>Sale costs</s:t>
        </s:is>
      </s:c>
      <s:c r="B28" s="4" t="n">
        <s:v>0.02</s:v>
      </s:c>
      <s:c r="C28" s="2" t="inlineStr">
        <s:is>
          <s:t>share</s:t>
        </s:is>
      </s:c>
      <s:c r="D28" s="2" t="inlineStr">
        <s:is>
          <s:t>Of gross terminal value</s:t>
        </s:is>
      </s:c>
    </s:row>
  </s:sheetData>
  <s:autoFilter ref="A1:D28"/>
  <s:dataValidations count="27">
    <s:dataValidation sqref="B2" showDropDown="0" showInputMessage="0" showErrorMessage="1" allowBlank="0" errorTitle="Input outside model range" error="Use a value within the permitted range." type="whole" errorStyle="stop" operator="between">
      <s:formula1>1</s:formula1>
      <s:formula2>1000</s:formula2>
    </s:dataValidation>
    <s:dataValidation sqref="B11" showDropDown="0" showInputMessage="0" showErrorMessage="1" allowBlank="0" errorTitle="Input outside model range" error="Use a value within the permitted range." type="whole" errorStyle="stop" operator="between">
      <s:formula1>1</s:formula1>
      <s:formula2>60</s:formula2>
    </s:dataValidation>
    <s:dataValidation sqref="B12" showDropDown="0" showInputMessage="0" showErrorMessage="1" allowBlank="0" errorTitle="Input outside model range" error="Use a value within the permitted range." type="whole" errorStyle="stop" operator="between">
      <s:formula1>1</s:formula1>
      <s:formula2>50</s:formula2>
    </s:dataValidation>
    <s:dataValidation sqref="B15" showDropDown="0" showInputMessage="0" showErrorMessage="1" allowBlank="0" errorTitle="Input outside model range" error="Use a value within the permitted range." type="whole" errorStyle="stop" operator="between">
      <s:formula1>1</s:formula1>
      <s:formula2>12</s:formula2>
    </s:dataValidation>
    <s:dataValidation sqref="B25" showDropDown="0" showInputMessage="0" showErrorMessage="1" allowBlank="0" errorTitle="Input outside model range" error="Use a value within the permitted range." type="whole" errorStyle="stop" operator="between">
      <s:formula1>1</s:formula1>
      <s:formula2>50</s:formula2>
    </s:dataValidation>
    <s:dataValidation sqref="B7" showDropDown="0" showInputMessage="0" showErrorMessage="1" allowBlank="0" type="decimal" errorStyle="stop" operator="between">
      <s:formula1>0</s:formula1>
      <s:formula2>1</s:formula2>
    </s:dataValidation>
    <s:dataValidation sqref="B8" showDropDown="0" showInputMessage="0" showErrorMessage="1" allowBlank="0" type="decimal" errorStyle="stop" operator="between">
      <s:formula1>0</s:formula1>
      <s:formula2>1</s:formula2>
    </s:dataValidation>
    <s:dataValidation sqref="B13" showDropDown="0" showInputMessage="0" showErrorMessage="1" allowBlank="0" type="decimal" errorStyle="stop" operator="between">
      <s:formula1>0</s:formula1>
      <s:formula2>1</s:formula2>
    </s:dataValidation>
    <s:dataValidation sqref="B14" showDropDown="0" showInputMessage="0" showErrorMessage="1" allowBlank="0" type="decimal" errorStyle="stop" operator="between">
      <s:formula1>0</s:formula1>
      <s:formula2>1</s:formula2>
    </s:dataValidation>
    <s:dataValidation sqref="B18" showDropDown="0" showInputMessage="0" showErrorMessage="1" allowBlank="0" type="decimal" errorStyle="stop" operator="between">
      <s:formula1>0</s:formula1>
      <s:formula2>1</s:formula2>
    </s:dataValidation>
    <s:dataValidation sqref="B19" showDropDown="0" showInputMessage="0" showErrorMessage="1" allowBlank="0" type="decimal" errorStyle="stop" operator="between">
      <s:formula1>0</s:formula1>
      <s:formula2>1</s:formula2>
    </s:dataValidation>
    <s:dataValidation sqref="B24" showDropDown="0" showInputMessage="0" showErrorMessage="1" allowBlank="0" type="decimal" errorStyle="stop" operator="between">
      <s:formula1>0</s:formula1>
      <s:formula2>1</s:formula2>
    </s:dataValidation>
    <s:dataValidation sqref="B28" showDropDown="0" showInputMessage="0" showErrorMessage="1" allowBlank="0" type="decimal" errorStyle="stop" operator="between">
      <s:formula1>0</s:formula1>
      <s:formula2>1</s:formula2>
    </s:dataValidation>
    <s:dataValidation sqref="B3" showDropDown="0" showInputMessage="0" showErrorMessage="1" allowBlank="0" type="decimal" errorStyle="stop" operator="greaterThanOrEqual">
      <s:formula1>0</s:formula1>
    </s:dataValidation>
    <s:dataValidation sqref="B4" showDropDown="0" showInputMessage="0" showErrorMessage="1" allowBlank="0" type="decimal" errorStyle="stop" operator="greaterThanOrEqual">
      <s:formula1>0</s:formula1>
    </s:dataValidation>
    <s:dataValidation sqref="B5" showDropDown="0" showInputMessage="0" showErrorMessage="1" allowBlank="0" type="decimal" errorStyle="stop" operator="greaterThanOrEqual">
      <s:formula1>0</s:formula1>
    </s:dataValidation>
    <s:dataValidation sqref="B6" showDropDown="0" showInputMessage="0" showErrorMessage="1" allowBlank="0" type="decimal" errorStyle="stop" operator="greaterThanOrEqual">
      <s:formula1>0</s:formula1>
    </s:dataValidation>
    <s:dataValidation sqref="B9" showDropDown="0" showInputMessage="0" showErrorMessage="1" allowBlank="0" type="decimal" errorStyle="stop" operator="greaterThanOrEqual">
      <s:formula1>0</s:formula1>
    </s:dataValidation>
    <s:dataValidation sqref="B10" showDropDown="0" showInputMessage="0" showErrorMessage="1" allowBlank="0" type="decimal" errorStyle="stop" operator="greaterThanOrEqual">
      <s:formula1>0</s:formula1>
    </s:dataValidation>
    <s:dataValidation sqref="B16" showDropDown="0" showInputMessage="0" showErrorMessage="1" allowBlank="0" type="decimal" errorStyle="stop" operator="greaterThanOrEqual">
      <s:formula1>0</s:formula1>
    </s:dataValidation>
    <s:dataValidation sqref="B17" showDropDown="0" showInputMessage="0" showErrorMessage="1" allowBlank="0" type="decimal" errorStyle="stop" operator="greaterThanOrEqual">
      <s:formula1>0</s:formula1>
    </s:dataValidation>
    <s:dataValidation sqref="B20" showDropDown="0" showInputMessage="0" showErrorMessage="1" allowBlank="0" type="decimal" errorStyle="stop" operator="greaterThanOrEqual">
      <s:formula1>0</s:formula1>
    </s:dataValidation>
    <s:dataValidation sqref="B21" showDropDown="0" showInputMessage="0" showErrorMessage="1" allowBlank="0" type="decimal" errorStyle="stop" operator="greaterThanOrEqual">
      <s:formula1>0</s:formula1>
    </s:dataValidation>
    <s:dataValidation sqref="B22" showDropDown="0" showInputMessage="0" showErrorMessage="1" allowBlank="0" type="decimal" errorStyle="stop" operator="greaterThanOrEqual">
      <s:formula1>0</s:formula1>
    </s:dataValidation>
    <s:dataValidation sqref="B23" showDropDown="0" showInputMessage="0" showErrorMessage="1" allowBlank="0" type="decimal" errorStyle="stop" operator="greaterThanOrEqual">
      <s:formula1>0</s:formula1>
    </s:dataValidation>
    <s:dataValidation sqref="B26" showDropDown="0" showInputMessage="0" showErrorMessage="1" allowBlank="0" type="decimal" errorStyle="stop" operator="greaterThanOrEqual">
      <s:formula1>0</s:formula1>
    </s:dataValidation>
    <s:dataValidation sqref="B27" showDropDown="0" showInputMessage="0" showErrorMessage="1" allowBlank="0" type="decimal" errorStyle="stop" operator="greaterThanOrEqual">
      <s:formula1>0</s:formula1>
    </s:dataValidation>
  </s:dataValidations>
  <s:pageMargins left="0.75" right="0.75" top="1" bottom="1" header="0.5" footer="0.5"/>
</s:worksheet>
</file>

<file path=xl/worksheets/sheet3.xml><?xml version="1.0" encoding="utf-8"?>
<s:worksheet xmlns:s="http://schemas.openxmlformats.org/spreadsheetml/2006/main">
  <s:sheetPr>
    <s:outlinePr summaryBelow="1" summaryRight="1"/>
    <s:pageSetUpPr/>
  </s:sheetPr>
  <s:dimension ref="A1:O62"/>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9" customWidth="1" min="1" max="1"/>
    <s:col width="23" customWidth="1" min="2" max="2"/>
    <s:col width="23" customWidth="1" min="3" max="3"/>
    <s:col width="23" customWidth="1" min="4" max="4"/>
    <s:col width="23" customWidth="1" min="5" max="5"/>
    <s:col width="23" customWidth="1" min="6" max="6"/>
    <s:col width="23" customWidth="1" min="7" max="7"/>
    <s:col width="23" customWidth="1" min="8" max="8"/>
    <s:col width="23" customWidth="1" min="9" max="9"/>
    <s:col width="23" customWidth="1" min="10" max="10"/>
    <s:col width="23" customWidth="1" min="11" max="11"/>
    <s:col width="23" customWidth="1" min="12" max="12"/>
    <s:col width="25" customWidth="1" min="13" max="13"/>
    <s:col width="25" customWidth="1" min="14" max="14"/>
    <s:col width="25" customWidth="1" min="15" max="15"/>
  </s:cols>
  <s:sheetData>
    <s:row r="1" ht="30" customHeight="1">
      <s:c r="A1" s="1" t="inlineStr">
        <s:is>
          <s:t>Year</s:t>
        </s:is>
      </s:c>
      <s:c r="B1" s="1" t="inlineStr">
        <s:is>
          <s:t>Operating year</s:t>
        </s:is>
      </s:c>
      <s:c r="C1" s="1" t="inlineStr">
        <s:is>
          <s:t>All-in rent / month</s:t>
        </s:is>
      </s:c>
      <s:c r="D1" s="1" t="inlineStr">
        <s:is>
          <s:t>Revenue</s:t>
        </s:is>
      </s:c>
      <s:c r="E1" s="1" t="inlineStr">
        <s:is>
          <s:t>Operating costs</s:t>
        </s:is>
      </s:c>
      <s:c r="F1" s="1" t="inlineStr">
        <s:is>
          <s:t>Refurbishment</s:t>
        </s:is>
      </s:c>
      <s:c r="G1" s="1" t="inlineStr">
        <s:is>
          <s:t>Terminal proceeds</s:t>
        </s:is>
      </s:c>
      <s:c r="H1" s="1" t="inlineStr">
        <s:is>
          <s:t>Net cash flow</s:t>
        </s:is>
      </s:c>
      <s:c r="I1" s="1" t="inlineStr">
        <s:is>
          <s:t>Discount factor</s:t>
        </s:is>
      </s:c>
      <s:c r="J1" s="1" t="inlineStr">
        <s:is>
          <s:t>PV cash flow</s:t>
        </s:is>
      </s:c>
      <s:c r="K1" s="1" t="inlineStr">
        <s:is>
          <s:t>Cumulative operating cash</s:t>
        </s:is>
      </s:c>
      <s:c r="L1" s="1" t="inlineStr">
        <s:is>
          <s:t>PV revenue per EUR rent</s:t>
        </s:is>
      </s:c>
      <s:c r="M1" t="inlineStr">
        <s:is>
          <s:t>Payback crossing year</s:t>
        </s:is>
      </s:c>
      <s:c r="N1" t="inlineStr">
        <s:is>
          <s:t>Cumulative discounted cash</s:t>
        </s:is>
      </s:c>
      <s:c r="O1" t="inlineStr">
        <s:is>
          <s:t>Discounted crossing year</s:t>
        </s:is>
      </s:c>
    </s:row>
    <s:row r="2" ht="20" customHeight="1">
      <s:c r="A2" s="2" t="n">
        <s:v>0</s:v>
      </s:c>
      <s:c r="B2" s="2">
        <s:f>IF(AND(A2&gt;Results!$B$4,A2&lt;=Results!$B$5),A2-Results!$B$4,0)</s:f>
        <s:v>0</s:v>
      </s:c>
      <s:c r="C2" s="5">
        <s:f>IF(B2&gt;0,Inputs!$B$16*(1+Inputs!$B$18)^(B2-1),0)</s:f>
        <s:v>0</s:v>
      </s:c>
      <s:c r="D2" s="5">
        <s:f>IF(B2&gt;0,Inputs!$B$2*Inputs!$B$14*Inputs!$B$15*C2,0)</s:f>
        <s:v>0</s:v>
      </s:c>
      <s:c r="E2" s="5">
        <s:f>IF(B2&gt;0,(Inputs!$B$20+Inputs!$B$21+Inputs!$B$2*Inputs!$B$14*(Inputs!$B$22+Inputs!$B$23)+(Inputs!$B$2*Inputs!$B$3*Inputs!$B$5+Inputs!$B$6)*Inputs!$B$24)*(1+Inputs!$B$19)^(B2-1),0)</s:f>
        <s:v>0</s:v>
      </s:c>
      <s:c r="F2" s="5">
        <s:f>IF(AND(B2&gt;0,B2&lt;Inputs!$B$12,MOD(B2,Inputs!$B$25)=0),Inputs!$B$26*(1+Inputs!$B$19)^(B2-1),0)</s:f>
        <s:v>0</s:v>
      </s:c>
      <s:c r="G2" s="5">
        <s:f>IF(A2=Results!$B$5,Inputs!$B$27*(1-Inputs!$B$28),0)</s:f>
        <s:v>0</s:v>
      </s:c>
      <s:c r="H2" s="5">
        <s:f> -Results!B3</s:f>
        <s:v>-8944000.000000002</s:v>
      </s:c>
      <s:c r="I2" s="5">
        <s:f>1/(1+Inputs!$B$13)^A2</s:f>
        <s:v>1.0</s:v>
      </s:c>
      <s:c r="J2" s="5">
        <s:f>H2*I2</s:f>
        <s:v>-8944000.000000002</s:v>
      </s:c>
      <s:c r="K2" s="5">
        <s:f>-Results!B3</s:f>
        <s:v>-8944000.000000002</s:v>
      </s:c>
      <s:c r="L2" s="5">
        <s:f>IF(B2&gt;0,Inputs!$B$2*Inputs!$B$14*Inputs!$B$15*(1+Inputs!$B$18)^(B2-1)*I2,0)</s:f>
        <s:v>0</s:v>
      </s:c>
      <s:c r="M2" s="11" t="inlineStr"/>
      <s:c r="N2" s="11">
        <s:f>J2</s:f>
        <s:v>-8944000.000000002</s:v>
      </s:c>
      <s:c r="O2" s="11" t="inlineStr"/>
    </s:row>
    <s:row r="3" ht="20" customHeight="1">
      <s:c r="A3" s="2" t="n">
        <s:v>1</s:v>
      </s:c>
      <s:c r="B3" s="2">
        <s:f>IF(AND(A3&gt;Results!$B$4,A3&lt;=Results!$B$5),A3-Results!$B$4,0)</s:f>
        <s:v>0</s:v>
      </s:c>
      <s:c r="C3" s="5">
        <s:f>IF(B3&gt;0,Inputs!$B$16*(1+Inputs!$B$18)^(B3-1),0)</s:f>
        <s:v>0</s:v>
      </s:c>
      <s:c r="D3" s="5">
        <s:f>IF(B3&gt;0,Inputs!$B$2*Inputs!$B$14*Inputs!$B$15*C3,0)</s:f>
        <s:v>0</s:v>
      </s:c>
      <s:c r="E3" s="5">
        <s:f>IF(B3&gt;0,(Inputs!$B$20+Inputs!$B$21+Inputs!$B$2*Inputs!$B$14*(Inputs!$B$22+Inputs!$B$23)+(Inputs!$B$2*Inputs!$B$3*Inputs!$B$5+Inputs!$B$6)*Inputs!$B$24)*(1+Inputs!$B$19)^(B3-1),0)</s:f>
        <s:v>0</s:v>
      </s:c>
      <s:c r="F3" s="5">
        <s:f>IF(AND(B3&gt;0,B3&lt;Inputs!$B$12,MOD(B3,Inputs!$B$25)=0),Inputs!$B$26*(1+Inputs!$B$19)^(B3-1),0)</s:f>
        <s:v>0</s:v>
      </s:c>
      <s:c r="G3" s="5">
        <s:f>IF(A3=Results!$B$5,Inputs!$B$27*(1-Inputs!$B$28),0)</s:f>
        <s:v>0</s:v>
      </s:c>
      <s:c r="H3" s="5">
        <s:f>D3-E3-F3+G3</s:f>
        <s:v>0</s:v>
      </s:c>
      <s:c r="I3" s="5">
        <s:f>1/(1+Inputs!$B$13)^A3</s:f>
        <s:v>0.9433962264150942</s:v>
      </s:c>
      <s:c r="J3" s="5">
        <s:f>H3*I3</s:f>
        <s:v>0.0</s:v>
      </s:c>
      <s:c r="K3" s="5">
        <s:f>K2+H3-G3</s:f>
        <s:v>-8944000.000000002</s:v>
      </s:c>
      <s:c r="L3" s="5">
        <s:f>IF(B3&gt;0,Inputs!$B$2*Inputs!$B$14*Inputs!$B$15*(1+Inputs!$B$18)^(B3-1)*I3,0)</s:f>
        <s:v>0</s:v>
      </s:c>
      <s:c r="M3" s="11" t="str">
        <s:f>IF(AND(K3&gt;=0,K2&lt;0),A3-1-K2/(H3-G3),"")</s:f>
        <s:v/>
      </s:c>
      <s:c r="N3" s="11">
        <s:f>N2+J3-G3*I3</s:f>
        <s:v>-8944000.000000002</s:v>
      </s:c>
      <s:c r="O3" s="11" t="str">
        <s:f>IF(AND(N3&gt;=0,N2&lt;0),A3-1-N2/((H3-G3)*I3),"")</s:f>
        <s:v/>
      </s:c>
    </s:row>
    <s:row r="4" ht="20" customHeight="1">
      <s:c r="A4" s="2" t="n">
        <s:v>2</s:v>
      </s:c>
      <s:c r="B4" s="2">
        <s:f>IF(AND(A4&gt;Results!$B$4,A4&lt;=Results!$B$5),A4-Results!$B$4,0)</s:f>
        <s:v>0</s:v>
      </s:c>
      <s:c r="C4" s="5">
        <s:f>IF(B4&gt;0,Inputs!$B$16*(1+Inputs!$B$18)^(B4-1),0)</s:f>
        <s:v>0</s:v>
      </s:c>
      <s:c r="D4" s="5">
        <s:f>IF(B4&gt;0,Inputs!$B$2*Inputs!$B$14*Inputs!$B$15*C4,0)</s:f>
        <s:v>0</s:v>
      </s:c>
      <s:c r="E4" s="5">
        <s:f>IF(B4&gt;0,(Inputs!$B$20+Inputs!$B$21+Inputs!$B$2*Inputs!$B$14*(Inputs!$B$22+Inputs!$B$23)+(Inputs!$B$2*Inputs!$B$3*Inputs!$B$5+Inputs!$B$6)*Inputs!$B$24)*(1+Inputs!$B$19)^(B4-1),0)</s:f>
        <s:v>0</s:v>
      </s:c>
      <s:c r="F4" s="5">
        <s:f>IF(AND(B4&gt;0,B4&lt;Inputs!$B$12,MOD(B4,Inputs!$B$25)=0),Inputs!$B$26*(1+Inputs!$B$19)^(B4-1),0)</s:f>
        <s:v>0</s:v>
      </s:c>
      <s:c r="G4" s="5">
        <s:f>IF(A4=Results!$B$5,Inputs!$B$27*(1-Inputs!$B$28),0)</s:f>
        <s:v>0</s:v>
      </s:c>
      <s:c r="H4" s="5">
        <s:f>D4-E4-F4+G4</s:f>
        <s:v>0</s:v>
      </s:c>
      <s:c r="I4" s="5">
        <s:f>1/(1+Inputs!$B$13)^A4</s:f>
        <s:v>0.8899964400142398</s:v>
      </s:c>
      <s:c r="J4" s="5">
        <s:f>H4*I4</s:f>
        <s:v>0.0</s:v>
      </s:c>
      <s:c r="K4" s="5">
        <s:f>K3+H4-G4</s:f>
        <s:v>-8944000.000000002</s:v>
      </s:c>
      <s:c r="L4" s="5">
        <s:f>IF(B4&gt;0,Inputs!$B$2*Inputs!$B$14*Inputs!$B$15*(1+Inputs!$B$18)^(B4-1)*I4,0)</s:f>
        <s:v>0</s:v>
      </s:c>
      <s:c r="M4" s="11" t="str">
        <s:f>IF(AND(K4&gt;=0,K3&lt;0),A4-1-K3/(H4-G4),"")</s:f>
        <s:v/>
      </s:c>
      <s:c r="N4" s="11">
        <s:f>N3+J4-G4*I4</s:f>
        <s:v>-8944000.000000002</s:v>
      </s:c>
      <s:c r="O4" s="11" t="str">
        <s:f>IF(AND(N4&gt;=0,N3&lt;0),A4-1-N3/((H4-G4)*I4),"")</s:f>
        <s:v/>
      </s:c>
    </s:row>
    <s:row r="5" ht="20" customHeight="1">
      <s:c r="A5" s="2" t="n">
        <s:v>3</s:v>
      </s:c>
      <s:c r="B5" s="2">
        <s:f>IF(AND(A5&gt;Results!$B$4,A5&lt;=Results!$B$5),A5-Results!$B$4,0)</s:f>
        <s:v>1</s:v>
      </s:c>
      <s:c r="C5" s="5">
        <s:f>IF(B5&gt;0,Inputs!$B$16*(1+Inputs!$B$18)^(B5-1),0)</s:f>
        <s:v>600.0</s:v>
      </s:c>
      <s:c r="D5" s="5">
        <s:f>IF(B5&gt;0,Inputs!$B$2*Inputs!$B$14*Inputs!$B$15*C5,0)</s:f>
        <s:v>684000.0</s:v>
      </s:c>
      <s:c r="E5" s="5">
        <s:f>IF(B5&gt;0,(Inputs!$B$20+Inputs!$B$21+Inputs!$B$2*Inputs!$B$14*(Inputs!$B$22+Inputs!$B$23)+(Inputs!$B$2*Inputs!$B$3*Inputs!$B$5+Inputs!$B$6)*Inputs!$B$24)*(1+Inputs!$B$19)^(B5-1),0)</s:f>
        <s:v>268000.0</s:v>
      </s:c>
      <s:c r="F5" s="5">
        <s:f>IF(AND(B5&gt;0,B5&lt;Inputs!$B$12,MOD(B5,Inputs!$B$25)=0),Inputs!$B$26*(1+Inputs!$B$19)^(B5-1),0)</s:f>
        <s:v>0</s:v>
      </s:c>
      <s:c r="G5" s="5">
        <s:f>IF(A5=Results!$B$5,Inputs!$B$27*(1-Inputs!$B$28),0)</s:f>
        <s:v>0</s:v>
      </s:c>
      <s:c r="H5" s="5">
        <s:f>D5-E5-F5+G5</s:f>
        <s:v>416000.0</s:v>
      </s:c>
      <s:c r="I5" s="5">
        <s:f>1/(1+Inputs!$B$13)^A5</s:f>
        <s:v>0.8396192830323018</s:v>
      </s:c>
      <s:c r="J5" s="5">
        <s:f>H5*I5</s:f>
        <s:v>349281.6217414376</s:v>
      </s:c>
      <s:c r="K5" s="5">
        <s:f>K4+H5-G5</s:f>
        <s:v>-8528000.000000002</s:v>
      </s:c>
      <s:c r="L5" s="5">
        <s:f>IF(B5&gt;0,Inputs!$B$2*Inputs!$B$14*Inputs!$B$15*(1+Inputs!$B$18)^(B5-1)*I5,0)</s:f>
        <s:v>957.1659826568241</s:v>
      </s:c>
      <s:c r="M5" s="11" t="str">
        <s:f>IF(AND(K5&gt;=0,K4&lt;0),A5-1-K4/(H5-G5),"")</s:f>
        <s:v/>
      </s:c>
      <s:c r="N5" s="11">
        <s:f>N4+J5-G5*I5</s:f>
        <s:v>-8594718.378258564</s:v>
      </s:c>
      <s:c r="O5" s="11" t="str">
        <s:f>IF(AND(N5&gt;=0,N4&lt;0),A5-1-N4/((H5-G5)*I5),"")</s:f>
        <s:v/>
      </s:c>
    </s:row>
    <s:row r="6" ht="20" customHeight="1">
      <s:c r="A6" s="2" t="n">
        <s:v>4</s:v>
      </s:c>
      <s:c r="B6" s="2">
        <s:f>IF(AND(A6&gt;Results!$B$4,A6&lt;=Results!$B$5),A6-Results!$B$4,0)</s:f>
        <s:v>2</s:v>
      </s:c>
      <s:c r="C6" s="5">
        <s:f>IF(B6&gt;0,Inputs!$B$16*(1+Inputs!$B$18)^(B6-1),0)</s:f>
        <s:v>612.0</s:v>
      </s:c>
      <s:c r="D6" s="5">
        <s:f>IF(B6&gt;0,Inputs!$B$2*Inputs!$B$14*Inputs!$B$15*C6,0)</s:f>
        <s:v>697680.0</s:v>
      </s:c>
      <s:c r="E6" s="5">
        <s:f>IF(B6&gt;0,(Inputs!$B$20+Inputs!$B$21+Inputs!$B$2*Inputs!$B$14*(Inputs!$B$22+Inputs!$B$23)+(Inputs!$B$2*Inputs!$B$3*Inputs!$B$5+Inputs!$B$6)*Inputs!$B$24)*(1+Inputs!$B$19)^(B6-1),0)</s:f>
        <s:v>274700.0</s:v>
      </s:c>
      <s:c r="F6" s="5">
        <s:f>IF(AND(B6&gt;0,B6&lt;Inputs!$B$12,MOD(B6,Inputs!$B$25)=0),Inputs!$B$26*(1+Inputs!$B$19)^(B6-1),0)</s:f>
        <s:v>0</s:v>
      </s:c>
      <s:c r="G6" s="5">
        <s:f>IF(A6=Results!$B$5,Inputs!$B$27*(1-Inputs!$B$28),0)</s:f>
        <s:v>0</s:v>
      </s:c>
      <s:c r="H6" s="5">
        <s:f>D6-E6-F6+G6</s:f>
        <s:v>422980.0</s:v>
      </s:c>
      <s:c r="I6" s="5">
        <s:f>1/(1+Inputs!$B$13)^A6</s:f>
        <s:v>0.7920936632380204</s:v>
      </s:c>
      <s:c r="J6" s="5">
        <s:f>H6*I6</s:f>
        <s:v>335039.7776764179</s:v>
      </s:c>
      <s:c r="K6" s="5">
        <s:f>K5+H6-G6</s:f>
        <s:v>-8105020.000000002</s:v>
      </s:c>
      <s:c r="L6" s="5">
        <s:f>IF(B6&gt;0,Inputs!$B$2*Inputs!$B$14*Inputs!$B$15*(1+Inputs!$B$18)^(B6-1)*I6,0)</s:f>
        <s:v>921.0465116131701</s:v>
      </s:c>
      <s:c r="M6" s="11" t="str">
        <s:f>IF(AND(K6&gt;=0,K5&lt;0),A6-1-K5/(H6-G6),"")</s:f>
        <s:v/>
      </s:c>
      <s:c r="N6" s="11">
        <s:f>N5+J6-G6*I6</s:f>
        <s:v>-8259678.600582146</s:v>
      </s:c>
      <s:c r="O6" s="11" t="str">
        <s:f>IF(AND(N6&gt;=0,N5&lt;0),A6-1-N5/((H6-G6)*I6),"")</s:f>
        <s:v/>
      </s:c>
    </s:row>
    <s:row r="7" ht="20" customHeight="1">
      <s:c r="A7" s="2" t="n">
        <s:v>5</s:v>
      </s:c>
      <s:c r="B7" s="2">
        <s:f>IF(AND(A7&gt;Results!$B$4,A7&lt;=Results!$B$5),A7-Results!$B$4,0)</s:f>
        <s:v>3</s:v>
      </s:c>
      <s:c r="C7" s="5">
        <s:f>IF(B7&gt;0,Inputs!$B$16*(1+Inputs!$B$18)^(B7-1),0)</s:f>
        <s:v>624.24</s:v>
      </s:c>
      <s:c r="D7" s="5">
        <s:f>IF(B7&gt;0,Inputs!$B$2*Inputs!$B$14*Inputs!$B$15*C7,0)</s:f>
        <s:v>711633.6</s:v>
      </s:c>
      <s:c r="E7" s="5">
        <s:f>IF(B7&gt;0,(Inputs!$B$20+Inputs!$B$21+Inputs!$B$2*Inputs!$B$14*(Inputs!$B$22+Inputs!$B$23)+(Inputs!$B$2*Inputs!$B$3*Inputs!$B$5+Inputs!$B$6)*Inputs!$B$24)*(1+Inputs!$B$19)^(B7-1),0)</s:f>
        <s:v>281567.5</s:v>
      </s:c>
      <s:c r="F7" s="5">
        <s:f>IF(AND(B7&gt;0,B7&lt;Inputs!$B$12,MOD(B7,Inputs!$B$25)=0),Inputs!$B$26*(1+Inputs!$B$19)^(B7-1),0)</s:f>
        <s:v>0</s:v>
      </s:c>
      <s:c r="G7" s="5">
        <s:f>IF(A7=Results!$B$5,Inputs!$B$27*(1-Inputs!$B$28),0)</s:f>
        <s:v>0</s:v>
      </s:c>
      <s:c r="H7" s="5">
        <s:f>D7-E7-F7+G7</s:f>
        <s:v>430066.1</s:v>
      </s:c>
      <s:c r="I7" s="5">
        <s:f>1/(1+Inputs!$B$13)^A7</s:f>
        <s:v>0.747258172866057</s:v>
      </s:c>
      <s:c r="J7" s="5">
        <s:f>H7*I7</s:f>
        <s:v>321370.40809763095</s:v>
      </s:c>
      <s:c r="K7" s="5">
        <s:f>K6+H7-G7</s:f>
        <s:v>-7674953.900000002</s:v>
      </s:c>
      <s:c r="L7" s="5">
        <s:f>IF(B7&gt;0,Inputs!$B$2*Inputs!$B$14*Inputs!$B$15*(1+Inputs!$B$18)^(B7-1)*I7,0)</s:f>
        <s:v>886.2900394768242</s:v>
      </s:c>
      <s:c r="M7" s="11" t="str">
        <s:f>IF(AND(K7&gt;=0,K6&lt;0),A7-1-K6/(H7-G7),"")</s:f>
        <s:v/>
      </s:c>
      <s:c r="N7" s="11">
        <s:f>N6+J7-G7*I7</s:f>
        <s:v>-7938308.192484515</s:v>
      </s:c>
      <s:c r="O7" s="11" t="str">
        <s:f>IF(AND(N7&gt;=0,N6&lt;0),A7-1-N6/((H7-G7)*I7),"")</s:f>
        <s:v/>
      </s:c>
    </s:row>
    <s:row r="8" ht="20" customHeight="1">
      <s:c r="A8" s="2" t="n">
        <s:v>6</s:v>
      </s:c>
      <s:c r="B8" s="2">
        <s:f>IF(AND(A8&gt;Results!$B$4,A8&lt;=Results!$B$5),A8-Results!$B$4,0)</s:f>
        <s:v>4</s:v>
      </s:c>
      <s:c r="C8" s="5">
        <s:f>IF(B8&gt;0,Inputs!$B$16*(1+Inputs!$B$18)^(B8-1),0)</s:f>
        <s:v>636.7248000000001</s:v>
      </s:c>
      <s:c r="D8" s="5">
        <s:f>IF(B8&gt;0,Inputs!$B$2*Inputs!$B$14*Inputs!$B$15*C8,0)</s:f>
        <s:v>725866.2720000001</s:v>
      </s:c>
      <s:c r="E8" s="5">
        <s:f>IF(B8&gt;0,(Inputs!$B$20+Inputs!$B$21+Inputs!$B$2*Inputs!$B$14*(Inputs!$B$22+Inputs!$B$23)+(Inputs!$B$2*Inputs!$B$3*Inputs!$B$5+Inputs!$B$6)*Inputs!$B$24)*(1+Inputs!$B$19)^(B8-1),0)</s:f>
        <s:v>288606.6874999999</s:v>
      </s:c>
      <s:c r="F8" s="5">
        <s:f>IF(AND(B8&gt;0,B8&lt;Inputs!$B$12,MOD(B8,Inputs!$B$25)=0),Inputs!$B$26*(1+Inputs!$B$19)^(B8-1),0)</s:f>
        <s:v>0</s:v>
      </s:c>
      <s:c r="G8" s="5">
        <s:f>IF(A8=Results!$B$5,Inputs!$B$27*(1-Inputs!$B$28),0)</s:f>
        <s:v>0</s:v>
      </s:c>
      <s:c r="H8" s="5">
        <s:f>D8-E8-F8+G8</s:f>
        <s:v>437259.58450000023</s:v>
      </s:c>
      <s:c r="I8" s="5">
        <s:f>1/(1+Inputs!$B$13)^A8</s:f>
        <s:v>0.7049605404396764</s:v>
      </s:c>
      <s:c r="J8" s="5">
        <s:f>H8*I8</s:f>
        <s:v>308250.7530015485</s:v>
      </s:c>
      <s:c r="K8" s="5">
        <s:f>K7+H8-G8</s:f>
        <s:v>-7237694.315500002</s:v>
      </s:c>
      <s:c r="L8" s="5">
        <s:f>IF(B8&gt;0,Inputs!$B$2*Inputs!$B$14*Inputs!$B$15*(1+Inputs!$B$18)^(B8-1)*I8,0)</s:f>
        <s:v>852.8451323267553</s:v>
      </s:c>
      <s:c r="M8" s="11" t="str">
        <s:f>IF(AND(K8&gt;=0,K7&lt;0),A8-1-K7/(H8-G8),"")</s:f>
        <s:v/>
      </s:c>
      <s:c r="N8" s="11">
        <s:f>N7+J8-G8*I8</s:f>
        <s:v>-7630057.439482966</s:v>
      </s:c>
      <s:c r="O8" s="11" t="str">
        <s:f>IF(AND(N8&gt;=0,N7&lt;0),A8-1-N7/((H8-G8)*I8),"")</s:f>
        <s:v/>
      </s:c>
    </s:row>
    <s:row r="9" ht="20" customHeight="1">
      <s:c r="A9" s="2" t="n">
        <s:v>7</s:v>
      </s:c>
      <s:c r="B9" s="2">
        <s:f>IF(AND(A9&gt;Results!$B$4,A9&lt;=Results!$B$5),A9-Results!$B$4,0)</s:f>
        <s:v>5</s:v>
      </s:c>
      <s:c r="C9" s="5">
        <s:f>IF(B9&gt;0,Inputs!$B$16*(1+Inputs!$B$18)^(B9-1),0)</s:f>
        <s:v>649.459296</s:v>
      </s:c>
      <s:c r="D9" s="5">
        <s:f>IF(B9&gt;0,Inputs!$B$2*Inputs!$B$14*Inputs!$B$15*C9,0)</s:f>
        <s:v>740383.59744</s:v>
      </s:c>
      <s:c r="E9" s="5">
        <s:f>IF(B9&gt;0,(Inputs!$B$20+Inputs!$B$21+Inputs!$B$2*Inputs!$B$14*(Inputs!$B$22+Inputs!$B$23)+(Inputs!$B$2*Inputs!$B$3*Inputs!$B$5+Inputs!$B$6)*Inputs!$B$24)*(1+Inputs!$B$19)^(B9-1),0)</s:f>
        <s:v>295821.8546874999</s:v>
      </s:c>
      <s:c r="F9" s="5">
        <s:f>IF(AND(B9&gt;0,B9&lt;Inputs!$B$12,MOD(B9,Inputs!$B$25)=0),Inputs!$B$26*(1+Inputs!$B$19)^(B9-1),0)</s:f>
        <s:v>0</s:v>
      </s:c>
      <s:c r="G9" s="5">
        <s:f>IF(A9=Results!$B$5,Inputs!$B$27*(1-Inputs!$B$28),0)</s:f>
        <s:v>0</s:v>
      </s:c>
      <s:c r="H9" s="5">
        <s:f>D9-E9-F9+G9</s:f>
        <s:v>444561.74275250017</s:v>
      </s:c>
      <s:c r="I9" s="5">
        <s:f>1/(1+Inputs!$B$13)^A9</s:f>
        <s:v>0.6650571136223361</s:v>
      </s:c>
      <s:c r="J9" s="5">
        <s:f>H9*I9</s:f>
        <s:v>295658.94946189324</s:v>
      </s:c>
      <s:c r="K9" s="5">
        <s:f>K8+H9-G9</s:f>
        <s:v>-6793132.5727475025</s:v>
      </s:c>
      <s:c r="L9" s="5">
        <s:f>IF(B9&gt;0,Inputs!$B$2*Inputs!$B$14*Inputs!$B$15*(1+Inputs!$B$18)^(B9-1)*I9,0)</s:f>
        <s:v>820.6622971446134</s:v>
      </s:c>
      <s:c r="M9" s="11" t="str">
        <s:f>IF(AND(K9&gt;=0,K8&lt;0),A9-1-K8/(H9-G9),"")</s:f>
        <s:v/>
      </s:c>
      <s:c r="N9" s="11">
        <s:f>N8+J9-G9*I9</s:f>
        <s:v>-7334398.490021073</s:v>
      </s:c>
      <s:c r="O9" s="11" t="str">
        <s:f>IF(AND(N9&gt;=0,N8&lt;0),A9-1-N8/((H9-G9)*I9),"")</s:f>
        <s:v/>
      </s:c>
    </s:row>
    <s:row r="10" ht="20" customHeight="1">
      <s:c r="A10" s="2" t="n">
        <s:v>8</s:v>
      </s:c>
      <s:c r="B10" s="2">
        <s:f>IF(AND(A10&gt;Results!$B$4,A10&lt;=Results!$B$5),A10-Results!$B$4,0)</s:f>
        <s:v>6</s:v>
      </s:c>
      <s:c r="C10" s="5">
        <s:f>IF(B10&gt;0,Inputs!$B$16*(1+Inputs!$B$18)^(B10-1),0)</s:f>
        <s:v>662.4484819200001</s:v>
      </s:c>
      <s:c r="D10" s="5">
        <s:f>IF(B10&gt;0,Inputs!$B$2*Inputs!$B$14*Inputs!$B$15*C10,0)</s:f>
        <s:v>755191.2693888</s:v>
      </s:c>
      <s:c r="E10" s="5">
        <s:f>IF(B10&gt;0,(Inputs!$B$20+Inputs!$B$21+Inputs!$B$2*Inputs!$B$14*(Inputs!$B$22+Inputs!$B$23)+(Inputs!$B$2*Inputs!$B$3*Inputs!$B$5+Inputs!$B$6)*Inputs!$B$24)*(1+Inputs!$B$19)^(B10-1),0)</s:f>
        <s:v>303217.40105468733</s:v>
      </s:c>
      <s:c r="F10" s="5">
        <s:f>IF(AND(B10&gt;0,B10&lt;Inputs!$B$12,MOD(B10,Inputs!$B$25)=0),Inputs!$B$26*(1+Inputs!$B$19)^(B10-1),0)</s:f>
        <s:v>0</s:v>
      </s:c>
      <s:c r="G10" s="5">
        <s:f>IF(A10=Results!$B$5,Inputs!$B$27*(1-Inputs!$B$28),0)</s:f>
        <s:v>0</s:v>
      </s:c>
      <s:c r="H10" s="5">
        <s:f>D10-E10-F10+G10</s:f>
        <s:v>451973.8683341127</s:v>
      </s:c>
      <s:c r="I10" s="5">
        <s:f>1/(1+Inputs!$B$13)^A10</s:f>
        <s:v>0.6274123713418265</s:v>
      </s:c>
      <s:c r="J10" s="5">
        <s:f>H10*I10</s:f>
        <s:v>283573.9965160441</s:v>
      </s:c>
      <s:c r="K10" s="5">
        <s:f>K9+H10-G10</s:f>
        <s:v>-6341158.70441339</s:v>
      </s:c>
      <s:c r="L10" s="5">
        <s:f>IF(B10&gt;0,Inputs!$B$2*Inputs!$B$14*Inputs!$B$15*(1+Inputs!$B$18)^(B10-1)*I10,0)</s:f>
        <s:v>789.6939085731185</s:v>
      </s:c>
      <s:c r="M10" s="11" t="str">
        <s:f>IF(AND(K10&gt;=0,K9&lt;0),A10-1-K9/(H10-G10),"")</s:f>
        <s:v/>
      </s:c>
      <s:c r="N10" s="11">
        <s:f>N9+J10-G10*I10</s:f>
        <s:v>-7050824.493505029</s:v>
      </s:c>
      <s:c r="O10" s="11" t="str">
        <s:f>IF(AND(N10&gt;=0,N9&lt;0),A10-1-N9/((H10-G10)*I10),"")</s:f>
        <s:v/>
      </s:c>
    </s:row>
    <s:row r="11" ht="20" customHeight="1">
      <s:c r="A11" s="2" t="n">
        <s:v>9</s:v>
      </s:c>
      <s:c r="B11" s="2">
        <s:f>IF(AND(A11&gt;Results!$B$4,A11&lt;=Results!$B$5),A11-Results!$B$4,0)</s:f>
        <s:v>7</s:v>
      </s:c>
      <s:c r="C11" s="5">
        <s:f>IF(B11&gt;0,Inputs!$B$16*(1+Inputs!$B$18)^(B11-1),0)</s:f>
        <s:v>675.6974515584001</s:v>
      </s:c>
      <s:c r="D11" s="5">
        <s:f>IF(B11&gt;0,Inputs!$B$2*Inputs!$B$14*Inputs!$B$15*C11,0)</s:f>
        <s:v>770295.094776576</s:v>
      </s:c>
      <s:c r="E11" s="5">
        <s:f>IF(B11&gt;0,(Inputs!$B$20+Inputs!$B$21+Inputs!$B$2*Inputs!$B$14*(Inputs!$B$22+Inputs!$B$23)+(Inputs!$B$2*Inputs!$B$3*Inputs!$B$5+Inputs!$B$6)*Inputs!$B$24)*(1+Inputs!$B$19)^(B11-1),0)</s:f>
        <s:v>310797.8360810545</s:v>
      </s:c>
      <s:c r="F11" s="5">
        <s:f>IF(AND(B11&gt;0,B11&lt;Inputs!$B$12,MOD(B11,Inputs!$B$25)=0),Inputs!$B$26*(1+Inputs!$B$19)^(B11-1),0)</s:f>
        <s:v>0</s:v>
      </s:c>
      <s:c r="G11" s="5">
        <s:f>IF(A11=Results!$B$5,Inputs!$B$27*(1-Inputs!$B$28),0)</s:f>
        <s:v>0</s:v>
      </s:c>
      <s:c r="H11" s="5">
        <s:f>D11-E11-F11+G11</s:f>
        <s:v>459497.2586955215</s:v>
      </s:c>
      <s:c r="I11" s="5">
        <s:f>1/(1+Inputs!$B$13)^A11</s:f>
        <s:v>0.591898463530025</s:v>
      </s:c>
      <s:c r="J11" s="5">
        <s:f>H11*I11</s:f>
        <s:v>271975.7214181376</s:v>
      </s:c>
      <s:c r="K11" s="5">
        <s:f>K10+H11-G11</s:f>
        <s:v>-5881661.445717868</s:v>
      </s:c>
      <s:c r="L11" s="5">
        <s:f>IF(B11&gt;0,Inputs!$B$2*Inputs!$B$14*Inputs!$B$15*(1+Inputs!$B$18)^(B11-1)*I11,0)</s:f>
        <s:v>759.8941384382838</s:v>
      </s:c>
      <s:c r="M11" s="11" t="str">
        <s:f>IF(AND(K11&gt;=0,K10&lt;0),A11-1-K10/(H11-G11),"")</s:f>
        <s:v/>
      </s:c>
      <s:c r="N11" s="11">
        <s:f>N10+J11-G11*I11</s:f>
        <s:v>-6778848.772086891</s:v>
      </s:c>
      <s:c r="O11" s="11" t="str">
        <s:f>IF(AND(N11&gt;=0,N10&lt;0),A11-1-N10/((H11-G11)*I11),"")</s:f>
        <s:v/>
      </s:c>
    </s:row>
    <s:row r="12" ht="20" customHeight="1">
      <s:c r="A12" s="2" t="n">
        <s:v>10</s:v>
      </s:c>
      <s:c r="B12" s="2">
        <s:f>IF(AND(A12&gt;Results!$B$4,A12&lt;=Results!$B$5),A12-Results!$B$4,0)</s:f>
        <s:v>8</s:v>
      </s:c>
      <s:c r="C12" s="5">
        <s:f>IF(B12&gt;0,Inputs!$B$16*(1+Inputs!$B$18)^(B12-1),0)</s:f>
        <s:v>689.211400589568</s:v>
      </s:c>
      <s:c r="D12" s="5">
        <s:f>IF(B12&gt;0,Inputs!$B$2*Inputs!$B$14*Inputs!$B$15*C12,0)</s:f>
        <s:v>785700.9966721076</s:v>
      </s:c>
      <s:c r="E12" s="5">
        <s:f>IF(B12&gt;0,(Inputs!$B$20+Inputs!$B$21+Inputs!$B$2*Inputs!$B$14*(Inputs!$B$22+Inputs!$B$23)+(Inputs!$B$2*Inputs!$B$3*Inputs!$B$5+Inputs!$B$6)*Inputs!$B$24)*(1+Inputs!$B$19)^(B12-1),0)</s:f>
        <s:v>318567.7819830809</s:v>
      </s:c>
      <s:c r="F12" s="5">
        <s:f>IF(AND(B12&gt;0,B12&lt;Inputs!$B$12,MOD(B12,Inputs!$B$25)=0),Inputs!$B$26*(1+Inputs!$B$19)^(B12-1),0)</s:f>
        <s:v>0</s:v>
      </s:c>
      <s:c r="G12" s="5">
        <s:f>IF(A12=Results!$B$5,Inputs!$B$27*(1-Inputs!$B$28),0)</s:f>
        <s:v>0</s:v>
      </s:c>
      <s:c r="H12" s="5">
        <s:f>D12-E12-F12+G12</s:f>
        <s:v>467133.2146890267</s:v>
      </s:c>
      <s:c r="I12" s="5">
        <s:f>1/(1+Inputs!$B$13)^A12</s:f>
        <s:v>0.5583947769151179</s:v>
      </s:c>
      <s:c r="J12" s="5">
        <s:f>H12*I12</s:f>
        <s:v>260844.74720592092</s:v>
      </s:c>
      <s:c r="K12" s="5">
        <s:f>K11+H12-G12</s:f>
        <s:v>-5414528.231028842</s:v>
      </s:c>
      <s:c r="L12" s="5">
        <s:f>IF(B12&gt;0,Inputs!$B$2*Inputs!$B$14*Inputs!$B$15*(1+Inputs!$B$18)^(B12-1)*I12,0)</s:f>
        <s:v>731.2188879311788</s:v>
      </s:c>
      <s:c r="M12" s="11" t="str">
        <s:f>IF(AND(K12&gt;=0,K11&lt;0),A12-1-K11/(H12-G12),"")</s:f>
        <s:v/>
      </s:c>
      <s:c r="N12" s="11">
        <s:f>N11+J12-G12*I12</s:f>
        <s:v>-6518004.024880971</s:v>
      </s:c>
      <s:c r="O12" s="11" t="str">
        <s:f>IF(AND(N12&gt;=0,N11&lt;0),A12-1-N11/((H12-G12)*I12),"")</s:f>
        <s:v/>
      </s:c>
    </s:row>
    <s:row r="13" ht="20" customHeight="1">
      <s:c r="A13" s="2" t="n">
        <s:v>11</s:v>
      </s:c>
      <s:c r="B13" s="2">
        <s:f>IF(AND(A13&gt;Results!$B$4,A13&lt;=Results!$B$5),A13-Results!$B$4,0)</s:f>
        <s:v>9</s:v>
      </s:c>
      <s:c r="C13" s="5">
        <s:f>IF(B13&gt;0,Inputs!$B$16*(1+Inputs!$B$18)^(B13-1),0)</s:f>
        <s:v>702.9956286013595</s:v>
      </s:c>
      <s:c r="D13" s="5">
        <s:f>IF(B13&gt;0,Inputs!$B$2*Inputs!$B$14*Inputs!$B$15*C13,0)</s:f>
        <s:v>801415.0166055498</s:v>
      </s:c>
      <s:c r="E13" s="5">
        <s:f>IF(B13&gt;0,(Inputs!$B$20+Inputs!$B$21+Inputs!$B$2*Inputs!$B$14*(Inputs!$B$22+Inputs!$B$23)+(Inputs!$B$2*Inputs!$B$3*Inputs!$B$5+Inputs!$B$6)*Inputs!$B$24)*(1+Inputs!$B$19)^(B13-1),0)</s:f>
        <s:v>326531.9765326578</s:v>
      </s:c>
      <s:c r="F13" s="5">
        <s:f>IF(AND(B13&gt;0,B13&lt;Inputs!$B$12,MOD(B13,Inputs!$B$25)=0),Inputs!$B$26*(1+Inputs!$B$19)^(B13-1),0)</s:f>
        <s:v>0</s:v>
      </s:c>
      <s:c r="G13" s="5">
        <s:f>IF(A13=Results!$B$5,Inputs!$B$27*(1-Inputs!$B$28),0)</s:f>
        <s:v>0</s:v>
      </s:c>
      <s:c r="H13" s="5">
        <s:f>D13-E13-F13+G13</s:f>
        <s:v>474883.04007289204</s:v>
      </s:c>
      <s:c r="I13" s="5">
        <s:f>1/(1+Inputs!$B$13)^A13</s:f>
        <s:v>0.5267875253916207</s:v>
      </s:c>
      <s:c r="J13" s="5">
        <s:f>H13*I13</s:f>
        <s:v>250162.46153044864</s:v>
      </s:c>
      <s:c r="K13" s="5">
        <s:f>K12+H13-G13</s:f>
        <s:v>-4939645.19095595</s:v>
      </s:c>
      <s:c r="L13" s="5">
        <s:f>IF(B13&gt;0,Inputs!$B$2*Inputs!$B$14*Inputs!$B$15*(1+Inputs!$B$18)^(B13-1)*I13,0)</s:f>
        <s:v>703.6257223488702</s:v>
      </s:c>
      <s:c r="M13" s="11" t="str">
        <s:f>IF(AND(K13&gt;=0,K12&lt;0),A13-1-K12/(H13-G13),"")</s:f>
        <s:v/>
      </s:c>
      <s:c r="N13" s="11">
        <s:f>N12+J13-G13*I13</s:f>
        <s:v>-6267841.563350522</s:v>
      </s:c>
      <s:c r="O13" s="11" t="str">
        <s:f>IF(AND(N13&gt;=0,N12&lt;0),A13-1-N12/((H13-G13)*I13),"")</s:f>
        <s:v/>
      </s:c>
    </s:row>
    <s:row r="14" ht="20" customHeight="1">
      <s:c r="A14" s="2" t="n">
        <s:v>12</s:v>
      </s:c>
      <s:c r="B14" s="2">
        <s:f>IF(AND(A14&gt;Results!$B$4,A14&lt;=Results!$B$5),A14-Results!$B$4,0)</s:f>
        <s:v>10</s:v>
      </s:c>
      <s:c r="C14" s="5">
        <s:f>IF(B14&gt;0,Inputs!$B$16*(1+Inputs!$B$18)^(B14-1),0)</s:f>
        <s:v>717.0555411733866</s:v>
      </s:c>
      <s:c r="D14" s="5">
        <s:f>IF(B14&gt;0,Inputs!$B$2*Inputs!$B$14*Inputs!$B$15*C14,0)</s:f>
        <s:v>817443.3169376607</s:v>
      </s:c>
      <s:c r="E14" s="5">
        <s:f>IF(B14&gt;0,(Inputs!$B$20+Inputs!$B$21+Inputs!$B$2*Inputs!$B$14*(Inputs!$B$22+Inputs!$B$23)+(Inputs!$B$2*Inputs!$B$3*Inputs!$B$5+Inputs!$B$6)*Inputs!$B$24)*(1+Inputs!$B$19)^(B14-1),0)</s:f>
        <s:v>334695.2759459743</s:v>
      </s:c>
      <s:c r="F14" s="5">
        <s:f>IF(AND(B14&gt;0,B14&lt;Inputs!$B$12,MOD(B14,Inputs!$B$25)=0),Inputs!$B$26*(1+Inputs!$B$19)^(B14-1),0)</s:f>
        <s:v>0</s:v>
      </s:c>
      <s:c r="G14" s="5">
        <s:f>IF(A14=Results!$B$5,Inputs!$B$27*(1-Inputs!$B$28),0)</s:f>
        <s:v>0</s:v>
      </s:c>
      <s:c r="H14" s="5">
        <s:f>D14-E14-F14+G14</s:f>
        <s:v>482748.0409916864</s:v>
      </s:c>
      <s:c r="I14" s="5">
        <s:f>1/(1+Inputs!$B$13)^A14</s:f>
        <s:v>0.4969693635770006</s:v>
      </s:c>
      <s:c r="J14" s="5">
        <s:f>H14*I14</s:f>
        <s:v>239910.9866996822</s:v>
      </s:c>
      <s:c r="K14" s="5">
        <s:f>K13+H14-G14</s:f>
        <s:v>-4456897.149964264</s:v>
      </s:c>
      <s:c r="L14" s="5">
        <s:f>IF(B14&gt;0,Inputs!$B$2*Inputs!$B$14*Inputs!$B$15*(1+Inputs!$B$18)^(B14-1)*I14,0)</s:f>
        <s:v>677.0738082979694</s:v>
      </s:c>
      <s:c r="M14" s="11" t="str">
        <s:f>IF(AND(K14&gt;=0,K13&lt;0),A14-1-K13/(H14-G14),"")</s:f>
        <s:v/>
      </s:c>
      <s:c r="N14" s="11">
        <s:f>N13+J14-G14*I14</s:f>
        <s:v>-6027930.576650839</s:v>
      </s:c>
      <s:c r="O14" s="11" t="str">
        <s:f>IF(AND(N14&gt;=0,N13&lt;0),A14-1-N13/((H14-G14)*I14),"")</s:f>
        <s:v/>
      </s:c>
    </s:row>
    <s:row r="15" ht="20" customHeight="1">
      <s:c r="A15" s="2" t="n">
        <s:v>13</s:v>
      </s:c>
      <s:c r="B15" s="2">
        <s:f>IF(AND(A15&gt;Results!$B$4,A15&lt;=Results!$B$5),A15-Results!$B$4,0)</s:f>
        <s:v>11</s:v>
      </s:c>
      <s:c r="C15" s="5">
        <s:f>IF(B15&gt;0,Inputs!$B$16*(1+Inputs!$B$18)^(B15-1),0)</s:f>
        <s:v>731.3966519968544</s:v>
      </s:c>
      <s:c r="D15" s="5">
        <s:f>IF(B15&gt;0,Inputs!$B$2*Inputs!$B$14*Inputs!$B$15*C15,0)</s:f>
        <s:v>833792.183276414</s:v>
      </s:c>
      <s:c r="E15" s="5">
        <s:f>IF(B15&gt;0,(Inputs!$B$20+Inputs!$B$21+Inputs!$B$2*Inputs!$B$14*(Inputs!$B$22+Inputs!$B$23)+(Inputs!$B$2*Inputs!$B$3*Inputs!$B$5+Inputs!$B$6)*Inputs!$B$24)*(1+Inputs!$B$19)^(B15-1),0)</s:f>
        <s:v>343062.6578446236</s:v>
      </s:c>
      <s:c r="F15" s="5">
        <s:f>IF(AND(B15&gt;0,B15&lt;Inputs!$B$12,MOD(B15,Inputs!$B$25)=0),Inputs!$B$26*(1+Inputs!$B$19)^(B15-1),0)</s:f>
        <s:v>0</s:v>
      </s:c>
      <s:c r="G15" s="5">
        <s:f>IF(A15=Results!$B$5,Inputs!$B$27*(1-Inputs!$B$28),0)</s:f>
        <s:v>0</s:v>
      </s:c>
      <s:c r="H15" s="5">
        <s:f>D15-E15-F15+G15</s:f>
        <s:v>490729.52543179045</s:v>
      </s:c>
      <s:c r="I15" s="5">
        <s:f>1/(1+Inputs!$B$13)^A15</s:f>
        <s:v>0.46883902224245333</s:v>
      </s:c>
      <s:c r="J15" s="5">
        <s:f>H15*I15</s:f>
        <s:v>230073.15088894378</s:v>
      </s:c>
      <s:c r="K15" s="5">
        <s:f>K14+H15-G15</s:f>
        <s:v>-3966167.6245324733</s:v>
      </s:c>
      <s:c r="L15" s="5">
        <s:f>IF(B15&gt;0,Inputs!$B$2*Inputs!$B$14*Inputs!$B$15*(1+Inputs!$B$18)^(B15-1)*I15,0)</s:f>
        <s:v>651.5238532678574</s:v>
      </s:c>
      <s:c r="M15" s="11" t="str">
        <s:f>IF(AND(K15&gt;=0,K14&lt;0),A15-1-K14/(H15-G15),"")</s:f>
        <s:v/>
      </s:c>
      <s:c r="N15" s="11">
        <s:f>N14+J15-G15*I15</s:f>
        <s:v>-5797857.425761895</s:v>
      </s:c>
      <s:c r="O15" s="11" t="str">
        <s:f>IF(AND(N15&gt;=0,N14&lt;0),A15-1-N14/((H15-G15)*I15),"")</s:f>
        <s:v/>
      </s:c>
    </s:row>
    <s:row r="16" ht="20" customHeight="1">
      <s:c r="A16" s="2" t="n">
        <s:v>14</s:v>
      </s:c>
      <s:c r="B16" s="2">
        <s:f>IF(AND(A16&gt;Results!$B$4,A16&lt;=Results!$B$5),A16-Results!$B$4,0)</s:f>
        <s:v>12</s:v>
      </s:c>
      <s:c r="C16" s="5">
        <s:f>IF(B16&gt;0,Inputs!$B$16*(1+Inputs!$B$18)^(B16-1),0)</s:f>
        <s:v>746.0245850367914</s:v>
      </s:c>
      <s:c r="D16" s="5">
        <s:f>IF(B16&gt;0,Inputs!$B$2*Inputs!$B$14*Inputs!$B$15*C16,0)</s:f>
        <s:v>850468.0269419423</s:v>
      </s:c>
      <s:c r="E16" s="5">
        <s:f>IF(B16&gt;0,(Inputs!$B$20+Inputs!$B$21+Inputs!$B$2*Inputs!$B$14*(Inputs!$B$22+Inputs!$B$23)+(Inputs!$B$2*Inputs!$B$3*Inputs!$B$5+Inputs!$B$6)*Inputs!$B$24)*(1+Inputs!$B$19)^(B16-1),0)</s:f>
        <s:v>351639.22429073916</s:v>
      </s:c>
      <s:c r="F16" s="5">
        <s:f>IF(AND(B16&gt;0,B16&lt;Inputs!$B$12,MOD(B16,Inputs!$B$25)=0),Inputs!$B$26*(1+Inputs!$B$19)^(B16-1),0)</s:f>
        <s:v>0</s:v>
      </s:c>
      <s:c r="G16" s="5">
        <s:f>IF(A16=Results!$B$5,Inputs!$B$27*(1-Inputs!$B$28),0)</s:f>
        <s:v>0</s:v>
      </s:c>
      <s:c r="H16" s="5">
        <s:f>D16-E16-F16+G16</s:f>
        <s:v>498828.8026512031</s:v>
      </s:c>
      <s:c r="I16" s="5">
        <s:f>1/(1+Inputs!$B$13)^A16</s:f>
        <s:v>0.4423009643796729</s:v>
      </s:c>
      <s:c r="J16" s="5">
        <s:f>H16*I16</s:f>
        <s:v>220632.46047298468</s:v>
      </s:c>
      <s:c r="K16" s="5">
        <s:f>K15+H16-G16</s:f>
        <s:v>-3467338.82188127</s:v>
      </s:c>
      <s:c r="L16" s="5">
        <s:f>IF(B16&gt;0,Inputs!$B$2*Inputs!$B$14*Inputs!$B$15*(1+Inputs!$B$18)^(B16-1)*I16,0)</s:f>
        <s:v>626.9380474841645</s:v>
      </s:c>
      <s:c r="M16" s="11" t="str">
        <s:f>IF(AND(K16&gt;=0,K15&lt;0),A16-1-K15/(H16-G16),"")</s:f>
        <s:v/>
      </s:c>
      <s:c r="N16" s="11">
        <s:f>N15+J16-G16*I16</s:f>
        <s:v>-5577224.965288911</s:v>
      </s:c>
      <s:c r="O16" s="11" t="str">
        <s:f>IF(AND(N16&gt;=0,N15&lt;0),A16-1-N15/((H16-G16)*I16),"")</s:f>
        <s:v/>
      </s:c>
    </s:row>
    <s:row r="17" ht="20" customHeight="1">
      <s:c r="A17" s="2" t="n">
        <s:v>15</s:v>
      </s:c>
      <s:c r="B17" s="2">
        <s:f>IF(AND(A17&gt;Results!$B$4,A17&lt;=Results!$B$5),A17-Results!$B$4,0)</s:f>
        <s:v>13</s:v>
      </s:c>
      <s:c r="C17" s="5">
        <s:f>IF(B17&gt;0,Inputs!$B$16*(1+Inputs!$B$18)^(B17-1),0)</s:f>
        <s:v>760.9450767375273</s:v>
      </s:c>
      <s:c r="D17" s="5">
        <s:f>IF(B17&gt;0,Inputs!$B$2*Inputs!$B$14*Inputs!$B$15*C17,0)</s:f>
        <s:v>867477.3874807812</s:v>
      </s:c>
      <s:c r="E17" s="5">
        <s:f>IF(B17&gt;0,(Inputs!$B$20+Inputs!$B$21+Inputs!$B$2*Inputs!$B$14*(Inputs!$B$22+Inputs!$B$23)+(Inputs!$B$2*Inputs!$B$3*Inputs!$B$5+Inputs!$B$6)*Inputs!$B$24)*(1+Inputs!$B$19)^(B17-1),0)</s:f>
        <s:v>360430.2048980076</s:v>
      </s:c>
      <s:c r="F17" s="5">
        <s:f>IF(AND(B17&gt;0,B17&lt;Inputs!$B$12,MOD(B17,Inputs!$B$25)=0),Inputs!$B$26*(1+Inputs!$B$19)^(B17-1),0)</s:f>
        <s:v>0</s:v>
      </s:c>
      <s:c r="G17" s="5">
        <s:f>IF(A17=Results!$B$5,Inputs!$B$27*(1-Inputs!$B$28),0)</s:f>
        <s:v>0</s:v>
      </s:c>
      <s:c r="H17" s="5">
        <s:f>D17-E17-F17+G17</s:f>
        <s:v>507047.18258277356</s:v>
      </s:c>
      <s:c r="I17" s="5">
        <s:f>1/(1+Inputs!$B$13)^A17</s:f>
        <s:v>0.4172650607355405</s:v>
      </s:c>
      <s:c r="J17" s="5">
        <s:f>H17*I17</s:f>
        <s:v>211573.0734361857</s:v>
      </s:c>
      <s:c r="K17" s="5">
        <s:f>K16+H17-G17</s:f>
        <s:v>-2960291.6392984963</s:v>
      </s:c>
      <s:c r="L17" s="5">
        <s:f>IF(B17&gt;0,Inputs!$B$2*Inputs!$B$14*Inputs!$B$15*(1+Inputs!$B$18)^(B17-1)*I17,0)</s:f>
        <s:v>603.2800079564602</s:v>
      </s:c>
      <s:c r="M17" s="11" t="str">
        <s:f>IF(AND(K17&gt;=0,K16&lt;0),A17-1-K16/(H17-G17),"")</s:f>
        <s:v/>
      </s:c>
      <s:c r="N17" s="11">
        <s:f>N16+J17-G17*I17</s:f>
        <s:v>-5365651.891852725</s:v>
      </s:c>
      <s:c r="O17" s="11" t="str">
        <s:f>IF(AND(N17&gt;=0,N16&lt;0),A17-1-N16/((H17-G17)*I17),"")</s:f>
        <s:v/>
      </s:c>
    </s:row>
    <s:row r="18" ht="20" customHeight="1">
      <s:c r="A18" s="2" t="n">
        <s:v>16</s:v>
      </s:c>
      <s:c r="B18" s="2">
        <s:f>IF(AND(A18&gt;Results!$B$4,A18&lt;=Results!$B$5),A18-Results!$B$4,0)</s:f>
        <s:v>14</s:v>
      </s:c>
      <s:c r="C18" s="5">
        <s:f>IF(B18&gt;0,Inputs!$B$16*(1+Inputs!$B$18)^(B18-1),0)</s:f>
        <s:v>776.163978272278</s:v>
      </s:c>
      <s:c r="D18" s="5">
        <s:f>IF(B18&gt;0,Inputs!$B$2*Inputs!$B$14*Inputs!$B$15*C18,0)</s:f>
        <s:v>884826.9352303969</s:v>
      </s:c>
      <s:c r="E18" s="5">
        <s:f>IF(B18&gt;0,(Inputs!$B$20+Inputs!$B$21+Inputs!$B$2*Inputs!$B$14*(Inputs!$B$22+Inputs!$B$23)+(Inputs!$B$2*Inputs!$B$3*Inputs!$B$5+Inputs!$B$6)*Inputs!$B$24)*(1+Inputs!$B$19)^(B18-1),0)</s:f>
        <s:v>369440.96002045774</s:v>
      </s:c>
      <s:c r="F18" s="5">
        <s:f>IF(AND(B18&gt;0,B18&lt;Inputs!$B$12,MOD(B18,Inputs!$B$25)=0),Inputs!$B$26*(1+Inputs!$B$19)^(B18-1),0)</s:f>
        <s:v>0</s:v>
      </s:c>
      <s:c r="G18" s="5">
        <s:f>IF(A18=Results!$B$5,Inputs!$B$27*(1-Inputs!$B$28),0)</s:f>
        <s:v>0</s:v>
      </s:c>
      <s:c r="H18" s="5">
        <s:f>D18-E18-F18+G18</s:f>
        <s:v>515385.9752099392</s:v>
      </s:c>
      <s:c r="I18" s="5">
        <s:f>1/(1+Inputs!$B$13)^A18</s:f>
        <s:v>0.39364628371277405</s:v>
      </s:c>
      <s:c r="J18" s="5">
        <s:f>H18*I18</s:f>
        <s:v>202879.77381907645</s:v>
      </s:c>
      <s:c r="K18" s="5">
        <s:f>K17+H18-G18</s:f>
        <s:v>-2444905.664088557</s:v>
      </s:c>
      <s:c r="L18" s="5">
        <s:f>IF(B18&gt;0,Inputs!$B$2*Inputs!$B$14*Inputs!$B$15*(1+Inputs!$B$18)^(B18-1)*I18,0)</s:f>
        <s:v>580.5147246373485</s:v>
      </s:c>
      <s:c r="M18" s="11" t="str">
        <s:f>IF(AND(K18&gt;=0,K17&lt;0),A18-1-K17/(H18-G18),"")</s:f>
        <s:v/>
      </s:c>
      <s:c r="N18" s="11">
        <s:f>N17+J18-G18*I18</s:f>
        <s:v>-5162772.1180336485</s:v>
      </s:c>
      <s:c r="O18" s="11" t="str">
        <s:f>IF(AND(N18&gt;=0,N17&lt;0),A18-1-N17/((H18-G18)*I18),"")</s:f>
        <s:v/>
      </s:c>
    </s:row>
    <s:row r="19" ht="20" customHeight="1">
      <s:c r="A19" s="2" t="n">
        <s:v>17</s:v>
      </s:c>
      <s:c r="B19" s="2">
        <s:f>IF(AND(A19&gt;Results!$B$4,A19&lt;=Results!$B$5),A19-Results!$B$4,0)</s:f>
        <s:v>15</s:v>
      </s:c>
      <s:c r="C19" s="5">
        <s:f>IF(B19&gt;0,Inputs!$B$16*(1+Inputs!$B$18)^(B19-1),0)</s:f>
        <s:v>791.6872578377235</s:v>
      </s:c>
      <s:c r="D19" s="5">
        <s:f>IF(B19&gt;0,Inputs!$B$2*Inputs!$B$14*Inputs!$B$15*C19,0)</s:f>
        <s:v>902523.4739350048</s:v>
      </s:c>
      <s:c r="E19" s="5">
        <s:f>IF(B19&gt;0,(Inputs!$B$20+Inputs!$B$21+Inputs!$B$2*Inputs!$B$14*(Inputs!$B$22+Inputs!$B$23)+(Inputs!$B$2*Inputs!$B$3*Inputs!$B$5+Inputs!$B$6)*Inputs!$B$24)*(1+Inputs!$B$19)^(B19-1),0)</s:f>
        <s:v>378676.9840209692</s:v>
      </s:c>
      <s:c r="F19" s="5">
        <s:f>IF(AND(B19&gt;0,B19&lt;Inputs!$B$12,MOD(B19,Inputs!$B$25)=0),Inputs!$B$26*(1+Inputs!$B$19)^(B19-1),0)</s:f>
        <s:v>423892.1462921297</s:v>
      </s:c>
      <s:c r="G19" s="5">
        <s:f>IF(A19=Results!$B$5,Inputs!$B$27*(1-Inputs!$B$28),0)</s:f>
        <s:v>0</s:v>
      </s:c>
      <s:c r="H19" s="5">
        <s:f>D19-E19-F19+G19</s:f>
        <s:v>99954.3436219059</s:v>
      </s:c>
      <s:c r="I19" s="5">
        <s:f>1/(1+Inputs!$B$13)^A19</s:f>
        <s:v>0.3713644185969566</s:v>
      </s:c>
      <s:c r="J19" s="5">
        <s:f>H19*I19</s:f>
        <s:v>37119.4867053895</s:v>
      </s:c>
      <s:c r="K19" s="5">
        <s:f>K18+H19-G19</s:f>
        <s:v>-2344951.320466651</s:v>
      </s:c>
      <s:c r="L19" s="5">
        <s:f>IF(B19&gt;0,Inputs!$B$2*Inputs!$B$14*Inputs!$B$15*(1+Inputs!$B$18)^(B19-1)*I19,0)</s:f>
        <s:v>558.6085086132977</s:v>
      </s:c>
      <s:c r="M19" s="11" t="str">
        <s:f>IF(AND(K19&gt;=0,K18&lt;0),A19-1-K18/(H19-G19),"")</s:f>
        <s:v/>
      </s:c>
      <s:c r="N19" s="11">
        <s:f>N18+J19-G19*I19</s:f>
        <s:v>-5125652.631328259</s:v>
      </s:c>
      <s:c r="O19" s="11" t="str">
        <s:f>IF(AND(N19&gt;=0,N18&lt;0),A19-1-N18/((H19-G19)*I19),"")</s:f>
        <s:v/>
      </s:c>
    </s:row>
    <s:row r="20" ht="20" customHeight="1">
      <s:c r="A20" s="2" t="n">
        <s:v>18</s:v>
      </s:c>
      <s:c r="B20" s="2">
        <s:f>IF(AND(A20&gt;Results!$B$4,A20&lt;=Results!$B$5),A20-Results!$B$4,0)</s:f>
        <s:v>16</s:v>
      </s:c>
      <s:c r="C20" s="5">
        <s:f>IF(B20&gt;0,Inputs!$B$16*(1+Inputs!$B$18)^(B20-1),0)</s:f>
        <s:v>807.521002994478</s:v>
      </s:c>
      <s:c r="D20" s="5">
        <s:f>IF(B20&gt;0,Inputs!$B$2*Inputs!$B$14*Inputs!$B$15*C20,0)</s:f>
        <s:v>920573.9434137049</s:v>
      </s:c>
      <s:c r="E20" s="5">
        <s:f>IF(B20&gt;0,(Inputs!$B$20+Inputs!$B$21+Inputs!$B$2*Inputs!$B$14*(Inputs!$B$22+Inputs!$B$23)+(Inputs!$B$2*Inputs!$B$3*Inputs!$B$5+Inputs!$B$6)*Inputs!$B$24)*(1+Inputs!$B$19)^(B20-1),0)</s:f>
        <s:v>388143.9086214934</s:v>
      </s:c>
      <s:c r="F20" s="5">
        <s:f>IF(AND(B20&gt;0,B20&lt;Inputs!$B$12,MOD(B20,Inputs!$B$25)=0),Inputs!$B$26*(1+Inputs!$B$19)^(B20-1),0)</s:f>
        <s:v>0</s:v>
      </s:c>
      <s:c r="G20" s="5">
        <s:f>IF(A20=Results!$B$5,Inputs!$B$27*(1-Inputs!$B$28),0)</s:f>
        <s:v>0</s:v>
      </s:c>
      <s:c r="H20" s="5">
        <s:f>D20-E20-F20+G20</s:f>
        <s:v>532430.0347922115</s:v>
      </s:c>
      <s:c r="I20" s="5">
        <s:f>1/(1+Inputs!$B$13)^A20</s:f>
        <s:v>0.35034379112920433</s:v>
      </s:c>
      <s:c r="J20" s="5">
        <s:f>H20*I20</s:f>
        <s:v>186533.55690015753</s:v>
      </s:c>
      <s:c r="K20" s="5">
        <s:f>K19+H20-G20</s:f>
        <s:v>-1812521.2856744397</s:v>
      </s:c>
      <s:c r="L20" s="5">
        <s:f>IF(B20&gt;0,Inputs!$B$2*Inputs!$B$14*Inputs!$B$15*(1+Inputs!$B$18)^(B20-1)*I20,0)</s:f>
        <s:v>537.5289422505316</s:v>
      </s:c>
      <s:c r="M20" s="11" t="str">
        <s:f>IF(AND(K20&gt;=0,K19&lt;0),A20-1-K19/(H20-G20),"")</s:f>
        <s:v/>
      </s:c>
      <s:c r="N20" s="11">
        <s:f>N19+J20-G20*I20</s:f>
        <s:v>-4939119.074428101</s:v>
      </s:c>
      <s:c r="O20" s="11" t="str">
        <s:f>IF(AND(N20&gt;=0,N19&lt;0),A20-1-N19/((H20-G20)*I20),"")</s:f>
        <s:v/>
      </s:c>
    </s:row>
    <s:row r="21" ht="20" customHeight="1">
      <s:c r="A21" s="2" t="n">
        <s:v>19</s:v>
      </s:c>
      <s:c r="B21" s="2">
        <s:f>IF(AND(A21&gt;Results!$B$4,A21&lt;=Results!$B$5),A21-Results!$B$4,0)</s:f>
        <s:v>17</s:v>
      </s:c>
      <s:c r="C21" s="5">
        <s:f>IF(B21&gt;0,Inputs!$B$16*(1+Inputs!$B$18)^(B21-1),0)</s:f>
        <s:v>823.6714230543674</s:v>
      </s:c>
      <s:c r="D21" s="5">
        <s:f>IF(B21&gt;0,Inputs!$B$2*Inputs!$B$14*Inputs!$B$15*C21,0)</s:f>
        <s:v>938985.4222819789</s:v>
      </s:c>
      <s:c r="E21" s="5">
        <s:f>IF(B21&gt;0,(Inputs!$B$20+Inputs!$B$21+Inputs!$B$2*Inputs!$B$14*(Inputs!$B$22+Inputs!$B$23)+(Inputs!$B$2*Inputs!$B$3*Inputs!$B$5+Inputs!$B$6)*Inputs!$B$24)*(1+Inputs!$B$19)^(B21-1),0)</s:f>
        <s:v>397847.5063370307</s:v>
      </s:c>
      <s:c r="F21" s="5">
        <s:f>IF(AND(B21&gt;0,B21&lt;Inputs!$B$12,MOD(B21,Inputs!$B$25)=0),Inputs!$B$26*(1+Inputs!$B$19)^(B21-1),0)</s:f>
        <s:v>0</s:v>
      </s:c>
      <s:c r="G21" s="5">
        <s:f>IF(A21=Results!$B$5,Inputs!$B$27*(1-Inputs!$B$28),0)</s:f>
        <s:v>0</s:v>
      </s:c>
      <s:c r="H21" s="5">
        <s:f>D21-E21-F21+G21</s:f>
        <s:v>541137.9159449482</s:v>
      </s:c>
      <s:c r="I21" s="5">
        <s:f>1/(1+Inputs!$B$13)^A21</s:f>
        <s:v>0.33051301049924936</s:v>
      </s:c>
      <s:c r="J21" s="5">
        <s:f>H21*I21</s:f>
        <s:v>178853.12169425457</s:v>
      </s:c>
      <s:c r="K21" s="5">
        <s:f>K20+H21-G21</s:f>
        <s:v>-1271383.3697294914</s:v>
      </s:c>
      <s:c r="L21" s="5">
        <s:f>IF(B21&gt;0,Inputs!$B$2*Inputs!$B$14*Inputs!$B$15*(1+Inputs!$B$18)^(B21-1)*I21,0)</s:f>
        <s:v>517.2448312222097</s:v>
      </s:c>
      <s:c r="M21" s="11" t="str">
        <s:f>IF(AND(K21&gt;=0,K20&lt;0),A21-1-K20/(H21-G21),"")</s:f>
        <s:v/>
      </s:c>
      <s:c r="N21" s="11">
        <s:f>N20+J21-G21*I21</s:f>
        <s:v>-4760265.952733846</s:v>
      </s:c>
      <s:c r="O21" s="11" t="str">
        <s:f>IF(AND(N21&gt;=0,N20&lt;0),A21-1-N20/((H21-G21)*I21),"")</s:f>
        <s:v/>
      </s:c>
    </s:row>
    <s:row r="22" ht="20" customHeight="1">
      <s:c r="A22" s="2" t="n">
        <s:v>20</s:v>
      </s:c>
      <s:c r="B22" s="2">
        <s:f>IF(AND(A22&gt;Results!$B$4,A22&lt;=Results!$B$5),A22-Results!$B$4,0)</s:f>
        <s:v>18</s:v>
      </s:c>
      <s:c r="C22" s="5">
        <s:f>IF(B22&gt;0,Inputs!$B$16*(1+Inputs!$B$18)^(B22-1),0)</s:f>
        <s:v>840.1448515154549</s:v>
      </s:c>
      <s:c r="D22" s="5">
        <s:f>IF(B22&gt;0,Inputs!$B$2*Inputs!$B$14*Inputs!$B$15*C22,0)</s:f>
        <s:v>957765.1307276186</s:v>
      </s:c>
      <s:c r="E22" s="5">
        <s:f>IF(B22&gt;0,(Inputs!$B$20+Inputs!$B$21+Inputs!$B$2*Inputs!$B$14*(Inputs!$B$22+Inputs!$B$23)+(Inputs!$B$2*Inputs!$B$3*Inputs!$B$5+Inputs!$B$6)*Inputs!$B$24)*(1+Inputs!$B$19)^(B22-1),0)</s:f>
        <s:v>407793.6939954564</s:v>
      </s:c>
      <s:c r="F22" s="5">
        <s:f>IF(AND(B22&gt;0,B22&lt;Inputs!$B$12,MOD(B22,Inputs!$B$25)=0),Inputs!$B$26*(1+Inputs!$B$19)^(B22-1),0)</s:f>
        <s:v>0</s:v>
      </s:c>
      <s:c r="G22" s="5">
        <s:f>IF(A22=Results!$B$5,Inputs!$B$27*(1-Inputs!$B$28),0)</s:f>
        <s:v>0</s:v>
      </s:c>
      <s:c r="H22" s="5">
        <s:f>D22-E22-F22+G22</s:f>
        <s:v>549971.4367321623</s:v>
      </s:c>
      <s:c r="I22" s="5">
        <s:f>1/(1+Inputs!$B$13)^A22</s:f>
        <s:v>0.3118047268860843</s:v>
      </s:c>
      <s:c r="J22" s="5">
        <s:f>H22*I22</s:f>
        <s:v>171483.69362541923</s:v>
      </s:c>
      <s:c r="K22" s="5">
        <s:f>K21+H22-G22</s:f>
        <s:v>-721411.9329973292</s:v>
      </s:c>
      <s:c r="L22" s="5">
        <s:f>IF(B22&gt;0,Inputs!$B$2*Inputs!$B$14*Inputs!$B$15*(1+Inputs!$B$18)^(B22-1)*I22,0)</s:f>
        <s:v>497.72615834589993</s:v>
      </s:c>
      <s:c r="M22" s="11" t="str">
        <s:f>IF(AND(K22&gt;=0,K21&lt;0),A22-1-K21/(H22-G22),"")</s:f>
        <s:v/>
      </s:c>
      <s:c r="N22" s="11">
        <s:f>N21+J22-G22*I22</s:f>
        <s:v>-4588782.259108427</s:v>
      </s:c>
      <s:c r="O22" s="11" t="str">
        <s:f>IF(AND(N22&gt;=0,N21&lt;0),A22-1-N21/((H22-G22)*I22),"")</s:f>
        <s:v/>
      </s:c>
    </s:row>
    <s:row r="23" ht="20" customHeight="1">
      <s:c r="A23" s="2" t="n">
        <s:v>21</s:v>
      </s:c>
      <s:c r="B23" s="2">
        <s:f>IF(AND(A23&gt;Results!$B$4,A23&lt;=Results!$B$5),A23-Results!$B$4,0)</s:f>
        <s:v>19</s:v>
      </s:c>
      <s:c r="C23" s="5">
        <s:f>IF(B23&gt;0,Inputs!$B$16*(1+Inputs!$B$18)^(B23-1),0)</s:f>
        <s:v>856.9477485457641</s:v>
      </s:c>
      <s:c r="D23" s="5">
        <s:f>IF(B23&gt;0,Inputs!$B$2*Inputs!$B$14*Inputs!$B$15*C23,0)</s:f>
        <s:v>976920.433342171</s:v>
      </s:c>
      <s:c r="E23" s="5">
        <s:f>IF(B23&gt;0,(Inputs!$B$20+Inputs!$B$21+Inputs!$B$2*Inputs!$B$14*(Inputs!$B$22+Inputs!$B$23)+(Inputs!$B$2*Inputs!$B$3*Inputs!$B$5+Inputs!$B$6)*Inputs!$B$24)*(1+Inputs!$B$19)^(B23-1),0)</s:f>
        <s:v>417988.53634534276</s:v>
      </s:c>
      <s:c r="F23" s="5">
        <s:f>IF(AND(B23&gt;0,B23&lt;Inputs!$B$12,MOD(B23,Inputs!$B$25)=0),Inputs!$B$26*(1+Inputs!$B$19)^(B23-1),0)</s:f>
        <s:v>0</s:v>
      </s:c>
      <s:c r="G23" s="5">
        <s:f>IF(A23=Results!$B$5,Inputs!$B$27*(1-Inputs!$B$28),0)</s:f>
        <s:v>0</s:v>
      </s:c>
      <s:c r="H23" s="5">
        <s:f>D23-E23-F23+G23</s:f>
        <s:v>558931.8969968283</s:v>
      </s:c>
      <s:c r="I23" s="5">
        <s:f>1/(1+Inputs!$B$13)^A23</s:f>
        <s:v>0.294155402722721</s:v>
      </s:c>
      <s:c r="J23" s="5">
        <s:f>H23*I23</s:f>
        <s:v>164412.83725567642</s:v>
      </s:c>
      <s:c r="K23" s="5">
        <s:f>K22+H23-G23</s:f>
        <s:v>-162480.0360005009</s:v>
      </s:c>
      <s:c r="L23" s="5">
        <s:f>IF(B23&gt;0,Inputs!$B$2*Inputs!$B$14*Inputs!$B$15*(1+Inputs!$B$18)^(B23-1)*I23,0)</s:f>
        <s:v>478.9440391630357</s:v>
      </s:c>
      <s:c r="M23" s="11" t="str">
        <s:f>IF(AND(K23&gt;=0,K22&lt;0),A23-1-K22/(H23-G23),"")</s:f>
        <s:v/>
      </s:c>
      <s:c r="N23" s="11">
        <s:f>N22+J23-G23*I23</s:f>
        <s:v>-4424369.421852751</s:v>
      </s:c>
      <s:c r="O23" s="11" t="str">
        <s:f>IF(AND(N23&gt;=0,N22&lt;0),A23-1-N22/((H23-G23)*I23),"")</s:f>
        <s:v/>
      </s:c>
    </s:row>
    <s:row r="24" ht="20" customHeight="1">
      <s:c r="A24" s="2" t="n">
        <s:v>22</s:v>
      </s:c>
      <s:c r="B24" s="2">
        <s:f>IF(AND(A24&gt;Results!$B$4,A24&lt;=Results!$B$5),A24-Results!$B$4,0)</s:f>
        <s:v>20</s:v>
      </s:c>
      <s:c r="C24" s="5">
        <s:f>IF(B24&gt;0,Inputs!$B$16*(1+Inputs!$B$18)^(B24-1),0)</s:f>
        <s:v>874.0867035166792</s:v>
      </s:c>
      <s:c r="D24" s="5">
        <s:f>IF(B24&gt;0,Inputs!$B$2*Inputs!$B$14*Inputs!$B$15*C24,0)</s:f>
        <s:v>996458.8420090143</s:v>
      </s:c>
      <s:c r="E24" s="5">
        <s:f>IF(B24&gt;0,(Inputs!$B$20+Inputs!$B$21+Inputs!$B$2*Inputs!$B$14*(Inputs!$B$22+Inputs!$B$23)+(Inputs!$B$2*Inputs!$B$3*Inputs!$B$5+Inputs!$B$6)*Inputs!$B$24)*(1+Inputs!$B$19)^(B24-1),0)</s:f>
        <s:v>428438.2497539763</s:v>
      </s:c>
      <s:c r="F24" s="5">
        <s:f>IF(AND(B24&gt;0,B24&lt;Inputs!$B$12,MOD(B24,Inputs!$B$25)=0),Inputs!$B$26*(1+Inputs!$B$19)^(B24-1),0)</s:f>
        <s:v>0</s:v>
      </s:c>
      <s:c r="G24" s="5">
        <s:f>IF(A24=Results!$B$5,Inputs!$B$27*(1-Inputs!$B$28),0)</s:f>
        <s:v>0</s:v>
      </s:c>
      <s:c r="H24" s="5">
        <s:f>D24-E24-F24+G24</s:f>
        <s:v>568020.592255038</s:v>
      </s:c>
      <s:c r="I24" s="5">
        <s:f>1/(1+Inputs!$B$13)^A24</s:f>
        <s:v>0.27750509690822733</s:v>
      </s:c>
      <s:c r="J24" s="5">
        <s:f>H24*I24</s:f>
        <s:v>157628.609499603</s:v>
      </s:c>
      <s:c r="K24" s="5">
        <s:f>K23+H24-G24</s:f>
        <s:v>405540.5562545371</s:v>
      </s:c>
      <s:c r="L24" s="5">
        <s:f>IF(B24&gt;0,Inputs!$B$2*Inputs!$B$14*Inputs!$B$15*(1+Inputs!$B$18)^(B24-1)*I24,0)</s:f>
        <s:v>460.87067919461924</s:v>
      </s:c>
      <s:c r="M24" s="11">
        <s:f>IF(AND(K24&gt;=0,K23&lt;0),A24-1-K23/(H24-G24),"")</s:f>
        <s:v>21.286046031105062</s:v>
      </s:c>
      <s:c r="N24" s="11">
        <s:f>N23+J24-G24*I24</s:f>
        <s:v>-4266740.812353148</s:v>
      </s:c>
      <s:c r="O24" s="11" t="str">
        <s:f>IF(AND(N24&gt;=0,N23&lt;0),A24-1-N23/((H24-G24)*I24),"")</s:f>
        <s:v/>
      </s:c>
    </s:row>
    <s:row r="25" ht="20" customHeight="1">
      <s:c r="A25" s="2" t="n">
        <s:v>23</s:v>
      </s:c>
      <s:c r="B25" s="2">
        <s:f>IF(AND(A25&gt;Results!$B$4,A25&lt;=Results!$B$5),A25-Results!$B$4,0)</s:f>
        <s:v>21</s:v>
      </s:c>
      <s:c r="C25" s="5">
        <s:f>IF(B25&gt;0,Inputs!$B$16*(1+Inputs!$B$18)^(B25-1),0)</s:f>
        <s:v>891.5684375870129</s:v>
      </s:c>
      <s:c r="D25" s="5">
        <s:f>IF(B25&gt;0,Inputs!$B$2*Inputs!$B$14*Inputs!$B$15*C25,0)</s:f>
        <s:v>1016388.0188491947</s:v>
      </s:c>
      <s:c r="E25" s="5">
        <s:f>IF(B25&gt;0,(Inputs!$B$20+Inputs!$B$21+Inputs!$B$2*Inputs!$B$14*(Inputs!$B$22+Inputs!$B$23)+(Inputs!$B$2*Inputs!$B$3*Inputs!$B$5+Inputs!$B$6)*Inputs!$B$24)*(1+Inputs!$B$19)^(B25-1),0)</s:f>
        <s:v>439149.20599782566</s:v>
      </s:c>
      <s:c r="F25" s="5">
        <s:f>IF(AND(B25&gt;0,B25&lt;Inputs!$B$12,MOD(B25,Inputs!$B$25)=0),Inputs!$B$26*(1+Inputs!$B$19)^(B25-1),0)</s:f>
        <s:v>0</s:v>
      </s:c>
      <s:c r="G25" s="5">
        <s:f>IF(A25=Results!$B$5,Inputs!$B$27*(1-Inputs!$B$28),0)</s:f>
        <s:v>0</s:v>
      </s:c>
      <s:c r="H25" s="5">
        <s:f>D25-E25-F25+G25</s:f>
        <s:v>577238.8128513691</s:v>
      </s:c>
      <s:c r="I25" s="5">
        <s:f>1/(1+Inputs!$B$13)^A25</s:f>
        <s:v>0.26179726123417674</s:v>
      </s:c>
      <s:c r="J25" s="5">
        <s:f>H25*I25</s:f>
        <s:v>151119.54028255594</s:v>
      </s:c>
      <s:c r="K25" s="5">
        <s:f>K24+H25-G25</s:f>
        <s:v>982779.3691059062</s:v>
      </s:c>
      <s:c r="L25" s="5">
        <s:f>IF(B25&gt;0,Inputs!$B$2*Inputs!$B$14*Inputs!$B$15*(1+Inputs!$B$18)^(B25-1)*I25,0)</s:f>
        <s:v>443.4793328099167</s:v>
      </s:c>
      <s:c r="M25" s="11" t="str">
        <s:f>IF(AND(K25&gt;=0,K24&lt;0),A25-1-K24/(H25-G25),"")</s:f>
        <s:v/>
      </s:c>
      <s:c r="N25" s="11">
        <s:f>N24+J25-G25*I25</s:f>
        <s:v>-4115621.2720705923</s:v>
      </s:c>
      <s:c r="O25" s="11" t="str">
        <s:f>IF(AND(N25&gt;=0,N24&lt;0),A25-1-N24/((H25-G25)*I25),"")</s:f>
        <s:v/>
      </s:c>
    </s:row>
    <s:row r="26" ht="20" customHeight="1">
      <s:c r="A26" s="2" t="n">
        <s:v>24</s:v>
      </s:c>
      <s:c r="B26" s="2">
        <s:f>IF(AND(A26&gt;Results!$B$4,A26&lt;=Results!$B$5),A26-Results!$B$4,0)</s:f>
        <s:v>22</s:v>
      </s:c>
      <s:c r="C26" s="5">
        <s:f>IF(B26&gt;0,Inputs!$B$16*(1+Inputs!$B$18)^(B26-1),0)</s:f>
        <s:v>909.3998063387531</s:v>
      </s:c>
      <s:c r="D26" s="5">
        <s:f>IF(B26&gt;0,Inputs!$B$2*Inputs!$B$14*Inputs!$B$15*C26,0)</s:f>
        <s:v>1036715.7792261785</s:v>
      </s:c>
      <s:c r="E26" s="5">
        <s:f>IF(B26&gt;0,(Inputs!$B$20+Inputs!$B$21+Inputs!$B$2*Inputs!$B$14*(Inputs!$B$22+Inputs!$B$23)+(Inputs!$B$2*Inputs!$B$3*Inputs!$B$5+Inputs!$B$6)*Inputs!$B$24)*(1+Inputs!$B$19)^(B26-1),0)</s:f>
        <s:v>450127.9361477713</s:v>
      </s:c>
      <s:c r="F26" s="5">
        <s:f>IF(AND(B26&gt;0,B26&lt;Inputs!$B$12,MOD(B26,Inputs!$B$25)=0),Inputs!$B$26*(1+Inputs!$B$19)^(B26-1),0)</s:f>
        <s:v>0</s:v>
      </s:c>
      <s:c r="G26" s="5">
        <s:f>IF(A26=Results!$B$5,Inputs!$B$27*(1-Inputs!$B$28),0)</s:f>
        <s:v>0</s:v>
      </s:c>
      <s:c r="H26" s="5">
        <s:f>D26-E26-F26+G26</s:f>
        <s:v>586587.8430784072</s:v>
      </s:c>
      <s:c r="I26" s="5">
        <s:f>1/(1+Inputs!$B$13)^A26</s:f>
        <s:v>0.24697854833412897</s:v>
      </s:c>
      <s:c r="J26" s="5">
        <s:f>H26*I26</s:f>
        <s:v>144874.61395395285</s:v>
      </s:c>
      <s:c r="K26" s="5">
        <s:f>K25+H26-G26</s:f>
        <s:v>1569367.2121843135</s:v>
      </s:c>
      <s:c r="L26" s="5">
        <s:f>IF(B26&gt;0,Inputs!$B$2*Inputs!$B$14*Inputs!$B$15*(1+Inputs!$B$18)^(B26-1)*I26,0)</s:f>
        <s:v>426.74426364727816</s:v>
      </s:c>
      <s:c r="M26" s="11" t="str">
        <s:f>IF(AND(K26&gt;=0,K25&lt;0),A26-1-K25/(H26-G26),"")</s:f>
        <s:v/>
      </s:c>
      <s:c r="N26" s="11">
        <s:f>N25+J26-G26*I26</s:f>
        <s:v>-3970746.6581166396</s:v>
      </s:c>
      <s:c r="O26" s="11" t="str">
        <s:f>IF(AND(N26&gt;=0,N25&lt;0),A26-1-N25/((H26-G26)*I26),"")</s:f>
        <s:v/>
      </s:c>
    </s:row>
    <s:row r="27" ht="20" customHeight="1">
      <s:c r="A27" s="2" t="n">
        <s:v>25</s:v>
      </s:c>
      <s:c r="B27" s="2">
        <s:f>IF(AND(A27&gt;Results!$B$4,A27&lt;=Results!$B$5),A27-Results!$B$4,0)</s:f>
        <s:v>23</s:v>
      </s:c>
      <s:c r="C27" s="5">
        <s:f>IF(B27&gt;0,Inputs!$B$16*(1+Inputs!$B$18)^(B27-1),0)</s:f>
        <s:v>927.5878024655283</s:v>
      </s:c>
      <s:c r="D27" s="5">
        <s:f>IF(B27&gt;0,Inputs!$B$2*Inputs!$B$14*Inputs!$B$15*C27,0)</s:f>
        <s:v>1057450.0948107021</s:v>
      </s:c>
      <s:c r="E27" s="5">
        <s:f>IF(B27&gt;0,(Inputs!$B$20+Inputs!$B$21+Inputs!$B$2*Inputs!$B$14*(Inputs!$B$22+Inputs!$B$23)+(Inputs!$B$2*Inputs!$B$3*Inputs!$B$5+Inputs!$B$6)*Inputs!$B$24)*(1+Inputs!$B$19)^(B27-1),0)</s:f>
        <s:v>461381.1345514655</s:v>
      </s:c>
      <s:c r="F27" s="5">
        <s:f>IF(AND(B27&gt;0,B27&lt;Inputs!$B$12,MOD(B27,Inputs!$B$25)=0),Inputs!$B$26*(1+Inputs!$B$19)^(B27-1),0)</s:f>
        <s:v>0</s:v>
      </s:c>
      <s:c r="G27" s="5">
        <s:f>IF(A27=Results!$B$5,Inputs!$B$27*(1-Inputs!$B$28),0)</s:f>
        <s:v>0</s:v>
      </s:c>
      <s:c r="H27" s="5">
        <s:f>D27-E27-F27+G27</s:f>
        <s:v>596068.9602592366</s:v>
      </s:c>
      <s:c r="I27" s="5">
        <s:f>1/(1+Inputs!$B$13)^A27</s:f>
        <s:v>0.23299863050389524</s:v>
      </s:c>
      <s:c r="J27" s="5">
        <s:f>H27*I27</s:f>
        <s:v>138883.2514262829</s:v>
      </s:c>
      <s:c r="K27" s="5">
        <s:f>K26+H27-G27</s:f>
        <s:v>2165436.17244355</s:v>
      </s:c>
      <s:c r="L27" s="5">
        <s:f>IF(B27&gt;0,Inputs!$B$2*Inputs!$B$14*Inputs!$B$15*(1+Inputs!$B$18)^(B27-1)*I27,0)</s:f>
        <s:v>410.64070652851296</s:v>
      </s:c>
      <s:c r="M27" s="11" t="str">
        <s:f>IF(AND(K27&gt;=0,K26&lt;0),A27-1-K26/(H27-G27),"")</s:f>
        <s:v/>
      </s:c>
      <s:c r="N27" s="11">
        <s:f>N26+J27-G27*I27</s:f>
        <s:v>-3831863.406690357</s:v>
      </s:c>
      <s:c r="O27" s="11" t="str">
        <s:f>IF(AND(N27&gt;=0,N26&lt;0),A27-1-N26/((H27-G27)*I27),"")</s:f>
        <s:v/>
      </s:c>
    </s:row>
    <s:row r="28" ht="20" customHeight="1">
      <s:c r="A28" s="2" t="n">
        <s:v>26</s:v>
      </s:c>
      <s:c r="B28" s="2">
        <s:f>IF(AND(A28&gt;Results!$B$4,A28&lt;=Results!$B$5),A28-Results!$B$4,0)</s:f>
        <s:v>24</s:v>
      </s:c>
      <s:c r="C28" s="5">
        <s:f>IF(B28&gt;0,Inputs!$B$16*(1+Inputs!$B$18)^(B28-1),0)</s:f>
        <s:v>946.1395585148389</s:v>
      </s:c>
      <s:c r="D28" s="5">
        <s:f>IF(B28&gt;0,Inputs!$B$2*Inputs!$B$14*Inputs!$B$15*C28,0)</s:f>
        <s:v>1078599.0967069163</s:v>
      </s:c>
      <s:c r="E28" s="5">
        <s:f>IF(B28&gt;0,(Inputs!$B$20+Inputs!$B$21+Inputs!$B$2*Inputs!$B$14*(Inputs!$B$22+Inputs!$B$23)+(Inputs!$B$2*Inputs!$B$3*Inputs!$B$5+Inputs!$B$6)*Inputs!$B$24)*(1+Inputs!$B$19)^(B28-1),0)</s:f>
        <s:v>472915.66291525215</s:v>
      </s:c>
      <s:c r="F28" s="5">
        <s:f>IF(AND(B28&gt;0,B28&lt;Inputs!$B$12,MOD(B28,Inputs!$B$25)=0),Inputs!$B$26*(1+Inputs!$B$19)^(B28-1),0)</s:f>
        <s:v>0</s:v>
      </s:c>
      <s:c r="G28" s="5">
        <s:f>IF(A28=Results!$B$5,Inputs!$B$27*(1-Inputs!$B$28),0)</s:f>
        <s:v>0</s:v>
      </s:c>
      <s:c r="H28" s="5">
        <s:f>D28-E28-F28+G28</s:f>
        <s:v>605683.4337916642</s:v>
      </s:c>
      <s:c r="I28" s="5">
        <s:f>1/(1+Inputs!$B$13)^A28</s:f>
        <s:v>0.21981002877725966</s:v>
      </s:c>
      <s:c r="J28" s="5">
        <s:f>H28*I28</s:f>
        <s:v>133135.29301165516</s:v>
      </s:c>
      <s:c r="K28" s="5">
        <s:f>K27+H28-G28</s:f>
        <s:v>2771119.6062352145</s:v>
      </s:c>
      <s:c r="L28" s="5">
        <s:f>IF(B28&gt;0,Inputs!$B$2*Inputs!$B$14*Inputs!$B$15*(1+Inputs!$B$18)^(B28-1)*I28,0)</s:f>
        <s:v>395.1448308104559</s:v>
      </s:c>
      <s:c r="M28" s="11" t="str">
        <s:f>IF(AND(K28&gt;=0,K27&lt;0),A28-1-K27/(H28-G28),"")</s:f>
        <s:v/>
      </s:c>
      <s:c r="N28" s="11">
        <s:f>N27+J28-G28*I28</s:f>
        <s:v>-3698728.1136787017</s:v>
      </s:c>
      <s:c r="O28" s="11" t="str">
        <s:f>IF(AND(N28&gt;=0,N27&lt;0),A28-1-N27/((H28-G28)*I28),"")</s:f>
        <s:v/>
      </s:c>
    </s:row>
    <s:row r="29" ht="20" customHeight="1">
      <s:c r="A29" s="2" t="n">
        <s:v>27</s:v>
      </s:c>
      <s:c r="B29" s="2">
        <s:f>IF(AND(A29&gt;Results!$B$4,A29&lt;=Results!$B$5),A29-Results!$B$4,0)</s:f>
        <s:v>25</s:v>
      </s:c>
      <s:c r="C29" s="5">
        <s:f>IF(B29&gt;0,Inputs!$B$16*(1+Inputs!$B$18)^(B29-1),0)</s:f>
        <s:v>965.0623496851357</s:v>
      </s:c>
      <s:c r="D29" s="5">
        <s:f>IF(B29&gt;0,Inputs!$B$2*Inputs!$B$14*Inputs!$B$15*C29,0)</s:f>
        <s:v>1100171.0786410547</s:v>
      </s:c>
      <s:c r="E29" s="5">
        <s:f>IF(B29&gt;0,(Inputs!$B$20+Inputs!$B$21+Inputs!$B$2*Inputs!$B$14*(Inputs!$B$22+Inputs!$B$23)+(Inputs!$B$2*Inputs!$B$3*Inputs!$B$5+Inputs!$B$6)*Inputs!$B$24)*(1+Inputs!$B$19)^(B29-1),0)</s:f>
        <s:v>484738.55448813335</s:v>
      </s:c>
      <s:c r="F29" s="5">
        <s:f>IF(AND(B29&gt;0,B29&lt;Inputs!$B$12,MOD(B29,Inputs!$B$25)=0),Inputs!$B$26*(1+Inputs!$B$19)^(B29-1),0)</s:f>
        <s:v>0</s:v>
      </s:c>
      <s:c r="G29" s="5">
        <s:f>IF(A29=Results!$B$5,Inputs!$B$27*(1-Inputs!$B$28),0)</s:f>
        <s:v>0</s:v>
      </s:c>
      <s:c r="H29" s="5">
        <s:f>D29-E29-F29+G29</s:f>
        <s:v>615432.5241529213</s:v>
      </s:c>
      <s:c r="I29" s="5">
        <s:f>1/(1+Inputs!$B$13)^A29</s:f>
        <s:v>0.20736795167666006</s:v>
      </s:c>
      <s:c r="J29" s="5">
        <s:f>H29*I29</s:f>
        <s:v>127620.9819287879</s:v>
      </s:c>
      <s:c r="K29" s="5">
        <s:f>K28+H29-G29</s:f>
        <s:v>3386552.130388136</s:v>
      </s:c>
      <s:c r="L29" s="5">
        <s:f>IF(B29&gt;0,Inputs!$B$2*Inputs!$B$14*Inputs!$B$15*(1+Inputs!$B$18)^(B29-1)*I29,0)</s:f>
        <s:v>380.2337051194953</s:v>
      </s:c>
      <s:c r="M29" s="11" t="str">
        <s:f>IF(AND(K29&gt;=0,K28&lt;0),A29-1-K28/(H29-G29),"")</s:f>
        <s:v/>
      </s:c>
      <s:c r="N29" s="11">
        <s:f>N28+J29-G29*I29</s:f>
        <s:v>-3571107.1317499136</s:v>
      </s:c>
      <s:c r="O29" s="11" t="str">
        <s:f>IF(AND(N29&gt;=0,N28&lt;0),A29-1-N28/((H29-G29)*I29),"")</s:f>
        <s:v/>
      </s:c>
    </s:row>
    <s:row r="30" ht="20" customHeight="1">
      <s:c r="A30" s="2" t="n">
        <s:v>28</s:v>
      </s:c>
      <s:c r="B30" s="2">
        <s:f>IF(AND(A30&gt;Results!$B$4,A30&lt;=Results!$B$5),A30-Results!$B$4,0)</s:f>
        <s:v>26</s:v>
      </s:c>
      <s:c r="C30" s="5">
        <s:f>IF(B30&gt;0,Inputs!$B$16*(1+Inputs!$B$18)^(B30-1),0)</s:f>
        <s:v>984.3635966788383</s:v>
      </s:c>
      <s:c r="D30" s="5">
        <s:f>IF(B30&gt;0,Inputs!$B$2*Inputs!$B$14*Inputs!$B$15*C30,0)</s:f>
        <s:v>1122174.5002138757</s:v>
      </s:c>
      <s:c r="E30" s="5">
        <s:f>IF(B30&gt;0,(Inputs!$B$20+Inputs!$B$21+Inputs!$B$2*Inputs!$B$14*(Inputs!$B$22+Inputs!$B$23)+(Inputs!$B$2*Inputs!$B$3*Inputs!$B$5+Inputs!$B$6)*Inputs!$B$24)*(1+Inputs!$B$19)^(B30-1),0)</s:f>
        <s:v>496857.0183503367</s:v>
      </s:c>
      <s:c r="F30" s="5">
        <s:f>IF(AND(B30&gt;0,B30&lt;Inputs!$B$12,MOD(B30,Inputs!$B$25)=0),Inputs!$B$26*(1+Inputs!$B$19)^(B30-1),0)</s:f>
        <s:v>0</s:v>
      </s:c>
      <s:c r="G30" s="5">
        <s:f>IF(A30=Results!$B$5,Inputs!$B$27*(1-Inputs!$B$28),0)</s:f>
        <s:v>0</s:v>
      </s:c>
      <s:c r="H30" s="5">
        <s:f>D30-E30-F30+G30</s:f>
        <s:v>625317.481863539</s:v>
      </s:c>
      <s:c r="I30" s="5">
        <s:f>1/(1+Inputs!$B$13)^A30</s:f>
        <s:v>0.19563014309118873</s:v>
      </s:c>
      <s:c r="J30" s="5">
        <s:f>H30*I30</s:f>
        <s:v>122330.94845438594</s:v>
      </s:c>
      <s:c r="K30" s="5">
        <s:f>K29+H30-G30</s:f>
        <s:v>4011869.6122516748</s:v>
      </s:c>
      <s:c r="L30" s="5">
        <s:f>IF(B30&gt;0,Inputs!$B$2*Inputs!$B$14*Inputs!$B$15*(1+Inputs!$B$18)^(B30-1)*I30,0)</s:f>
        <s:v>365.8852634168728</s:v>
      </s:c>
      <s:c r="M30" s="11" t="str">
        <s:f>IF(AND(K30&gt;=0,K29&lt;0),A30-1-K29/(H30-G30),"")</s:f>
        <s:v/>
      </s:c>
      <s:c r="N30" s="11">
        <s:f>N29+J30-G30*I30</s:f>
        <s:v>-3448776.1832955275</s:v>
      </s:c>
      <s:c r="O30" s="11" t="str">
        <s:f>IF(AND(N30&gt;=0,N29&lt;0),A30-1-N29/((H30-G30)*I30),"")</s:f>
        <s:v/>
      </s:c>
    </s:row>
    <s:row r="31" ht="20" customHeight="1">
      <s:c r="A31" s="2" t="n">
        <s:v>29</s:v>
      </s:c>
      <s:c r="B31" s="2">
        <s:f>IF(AND(A31&gt;Results!$B$4,A31&lt;=Results!$B$5),A31-Results!$B$4,0)</s:f>
        <s:v>27</s:v>
      </s:c>
      <s:c r="C31" s="5">
        <s:f>IF(B31&gt;0,Inputs!$B$16*(1+Inputs!$B$18)^(B31-1),0)</s:f>
        <s:v>1004.0508686124151</s:v>
      </s:c>
      <s:c r="D31" s="5">
        <s:f>IF(B31&gt;0,Inputs!$B$2*Inputs!$B$14*Inputs!$B$15*C31,0)</s:f>
        <s:v>1144617.9902181532</s:v>
      </s:c>
      <s:c r="E31" s="5">
        <s:f>IF(B31&gt;0,(Inputs!$B$20+Inputs!$B$21+Inputs!$B$2*Inputs!$B$14*(Inputs!$B$22+Inputs!$B$23)+(Inputs!$B$2*Inputs!$B$3*Inputs!$B$5+Inputs!$B$6)*Inputs!$B$24)*(1+Inputs!$B$19)^(B31-1),0)</s:f>
        <s:v>509278.443809095</s:v>
      </s:c>
      <s:c r="F31" s="5">
        <s:f>IF(AND(B31&gt;0,B31&lt;Inputs!$B$12,MOD(B31,Inputs!$B$25)=0),Inputs!$B$26*(1+Inputs!$B$19)^(B31-1),0)</s:f>
        <s:v>0</s:v>
      </s:c>
      <s:c r="G31" s="5">
        <s:f>IF(A31=Results!$B$5,Inputs!$B$27*(1-Inputs!$B$28),0)</s:f>
        <s:v>0</s:v>
      </s:c>
      <s:c r="H31" s="5">
        <s:f>D31-E31-F31+G31</s:f>
        <s:v>635339.5464090582</s:v>
      </s:c>
      <s:c r="I31" s="5">
        <s:f>1/(1+Inputs!$B$13)^A31</s:f>
        <s:v>0.18455673876527237</s:v>
      </s:c>
      <s:c r="J31" s="5">
        <s:f>H31*I31</s:f>
        <s:v>117256.19469386319</s:v>
      </s:c>
      <s:c r="K31" s="5">
        <s:f>K30+H31-G31</s:f>
        <s:v>4647209.158660733</s:v>
      </s:c>
      <s:c r="L31" s="5">
        <s:f>IF(B31&gt;0,Inputs!$B$2*Inputs!$B$14*Inputs!$B$15*(1+Inputs!$B$18)^(B31-1)*I31,0)</s:f>
        <s:v>352.078272344538</s:v>
      </s:c>
      <s:c r="M31" s="11" t="str">
        <s:f>IF(AND(K31&gt;=0,K30&lt;0),A31-1-K30/(H31-G31),"")</s:f>
        <s:v/>
      </s:c>
      <s:c r="N31" s="11">
        <s:f>N30+J31-G31*I31</s:f>
        <s:v>-3331519.988601664</s:v>
      </s:c>
      <s:c r="O31" s="11" t="str">
        <s:f>IF(AND(N31&gt;=0,N30&lt;0),A31-1-N30/((H31-G31)*I31),"")</s:f>
        <s:v/>
      </s:c>
    </s:row>
    <s:row r="32" ht="20" customHeight="1">
      <s:c r="A32" s="2" t="n">
        <s:v>30</s:v>
      </s:c>
      <s:c r="B32" s="2">
        <s:f>IF(AND(A32&gt;Results!$B$4,A32&lt;=Results!$B$5),A32-Results!$B$4,0)</s:f>
        <s:v>28</s:v>
      </s:c>
      <s:c r="C32" s="5">
        <s:f>IF(B32&gt;0,Inputs!$B$16*(1+Inputs!$B$18)^(B32-1),0)</s:f>
        <s:v>1024.1318859846635</s:v>
      </s:c>
      <s:c r="D32" s="5">
        <s:f>IF(B32&gt;0,Inputs!$B$2*Inputs!$B$14*Inputs!$B$15*C32,0)</s:f>
        <s:v>1167510.3500225164</s:v>
      </s:c>
      <s:c r="E32" s="5">
        <s:f>IF(B32&gt;0,(Inputs!$B$20+Inputs!$B$21+Inputs!$B$2*Inputs!$B$14*(Inputs!$B$22+Inputs!$B$23)+(Inputs!$B$2*Inputs!$B$3*Inputs!$B$5+Inputs!$B$6)*Inputs!$B$24)*(1+Inputs!$B$19)^(B32-1),0)</s:f>
        <s:v>522010.4049043224</s:v>
      </s:c>
      <s:c r="F32" s="5">
        <s:f>IF(AND(B32&gt;0,B32&lt;Inputs!$B$12,MOD(B32,Inputs!$B$25)=0),Inputs!$B$26*(1+Inputs!$B$19)^(B32-1),0)</s:f>
        <s:v>0</s:v>
      </s:c>
      <s:c r="G32" s="5">
        <s:f>IF(A32=Results!$B$5,Inputs!$B$27*(1-Inputs!$B$28),0)</s:f>
        <s:v>0</s:v>
      </s:c>
      <s:c r="H32" s="5">
        <s:f>D32-E32-F32+G32</s:f>
        <s:v>645499.945118194</s:v>
      </s:c>
      <s:c r="I32" s="5">
        <s:f>1/(1+Inputs!$B$13)^A32</s:f>
        <s:v>0.1741101309106343</s:v>
      </s:c>
      <s:c r="J32" s="5">
        <s:f>H32*I32</s:f>
        <s:v>112388.07994733601</s:v>
      </s:c>
      <s:c r="K32" s="5">
        <s:f>K31+H32-G32</s:f>
        <s:v>5292709.103778927</s:v>
      </s:c>
      <s:c r="L32" s="5">
        <s:f>IF(B32&gt;0,Inputs!$B$2*Inputs!$B$14*Inputs!$B$15*(1+Inputs!$B$18)^(B32-1)*I32,0)</s:f>
        <s:v>338.79229980323464</s:v>
      </s:c>
      <s:c r="M32" s="11" t="str">
        <s:f>IF(AND(K32&gt;=0,K31&lt;0),A32-1-K31/(H32-G32),"")</s:f>
        <s:v/>
      </s:c>
      <s:c r="N32" s="11">
        <s:f>N31+J32-G32*I32</s:f>
        <s:v>-3219131.908654328</s:v>
      </s:c>
      <s:c r="O32" s="11" t="str">
        <s:f>IF(AND(N32&gt;=0,N31&lt;0),A32-1-N31/((H32-G32)*I32),"")</s:f>
        <s:v/>
      </s:c>
    </s:row>
    <s:row r="33" ht="20" customHeight="1">
      <s:c r="A33" s="2" t="n">
        <s:v>31</s:v>
      </s:c>
      <s:c r="B33" s="2">
        <s:f>IF(AND(A33&gt;Results!$B$4,A33&lt;=Results!$B$5),A33-Results!$B$4,0)</s:f>
        <s:v>29</s:v>
      </s:c>
      <s:c r="C33" s="5">
        <s:f>IF(B33&gt;0,Inputs!$B$16*(1+Inputs!$B$18)^(B33-1),0)</s:f>
        <s:v>1044.6145237043568</s:v>
      </s:c>
      <s:c r="D33" s="5">
        <s:f>IF(B33&gt;0,Inputs!$B$2*Inputs!$B$14*Inputs!$B$15*C33,0)</s:f>
        <s:v>1190860.5570229667</s:v>
      </s:c>
      <s:c r="E33" s="5">
        <s:f>IF(B33&gt;0,(Inputs!$B$20+Inputs!$B$21+Inputs!$B$2*Inputs!$B$14*(Inputs!$B$22+Inputs!$B$23)+(Inputs!$B$2*Inputs!$B$3*Inputs!$B$5+Inputs!$B$6)*Inputs!$B$24)*(1+Inputs!$B$19)^(B33-1),0)</s:f>
        <s:v>535060.6650269304</s:v>
      </s:c>
      <s:c r="F33" s="5">
        <s:f>IF(AND(B33&gt;0,B33&lt;Inputs!$B$12,MOD(B33,Inputs!$B$25)=0),Inputs!$B$26*(1+Inputs!$B$19)^(B33-1),0)</s:f>
        <s:v>0</s:v>
      </s:c>
      <s:c r="G33" s="5">
        <s:f>IF(A33=Results!$B$5,Inputs!$B$27*(1-Inputs!$B$28),0)</s:f>
        <s:v>0</s:v>
      </s:c>
      <s:c r="H33" s="5">
        <s:f>D33-E33-F33+G33</s:f>
        <s:v>655799.8919960363</s:v>
      </s:c>
      <s:c r="I33" s="5">
        <s:f>1/(1+Inputs!$B$13)^A33</s:f>
        <s:v>0.16425484048173045</s:v>
      </s:c>
      <s:c r="J33" s="5">
        <s:f>H33*I33</s:f>
        <s:v>107718.30664774499</s:v>
      </s:c>
      <s:c r="K33" s="5">
        <s:f>K32+H33-G33</s:f>
        <s:v>5948508.995774963</s:v>
      </s:c>
      <s:c r="L33" s="5">
        <s:f>IF(B33&gt;0,Inputs!$B$2*Inputs!$B$14*Inputs!$B$15*(1+Inputs!$B$18)^(B33-1)*I33,0)</s:f>
        <s:v>326.0076847163201</s:v>
      </s:c>
      <s:c r="M33" s="11" t="str">
        <s:f>IF(AND(K33&gt;=0,K32&lt;0),A33-1-K32/(H33-G33),"")</s:f>
        <s:v/>
      </s:c>
      <s:c r="N33" s="11">
        <s:f>N32+J33-G33*I33</s:f>
        <s:v>-3111413.602006583</s:v>
      </s:c>
      <s:c r="O33" s="11" t="str">
        <s:f>IF(AND(N33&gt;=0,N32&lt;0),A33-1-N32/((H33-G33)*I33),"")</s:f>
        <s:v/>
      </s:c>
    </s:row>
    <s:row r="34" ht="20" customHeight="1">
      <s:c r="A34" s="2" t="n">
        <s:v>32</s:v>
      </s:c>
      <s:c r="B34" s="2">
        <s:f>IF(AND(A34&gt;Results!$B$4,A34&lt;=Results!$B$5),A34-Results!$B$4,0)</s:f>
        <s:v>30</s:v>
      </s:c>
      <s:c r="C34" s="5">
        <s:f>IF(B34&gt;0,Inputs!$B$16*(1+Inputs!$B$18)^(B34-1),0)</s:f>
        <s:v>1065.5068141784438</s:v>
      </s:c>
      <s:c r="D34" s="5">
        <s:f>IF(B34&gt;0,Inputs!$B$2*Inputs!$B$14*Inputs!$B$15*C34,0)</s:f>
        <s:v>1214677.768163426</s:v>
      </s:c>
      <s:c r="E34" s="5">
        <s:f>IF(B34&gt;0,(Inputs!$B$20+Inputs!$B$21+Inputs!$B$2*Inputs!$B$14*(Inputs!$B$22+Inputs!$B$23)+(Inputs!$B$2*Inputs!$B$3*Inputs!$B$5+Inputs!$B$6)*Inputs!$B$24)*(1+Inputs!$B$19)^(B34-1),0)</s:f>
        <s:v>548437.1816526037</s:v>
      </s:c>
      <s:c r="F34" s="5">
        <s:f>IF(AND(B34&gt;0,B34&lt;Inputs!$B$12,MOD(B34,Inputs!$B$25)=0),Inputs!$B$26*(1+Inputs!$B$19)^(B34-1),0)</s:f>
        <s:v>613922.2182678399</s:v>
      </s:c>
      <s:c r="G34" s="5">
        <s:f>IF(A34=Results!$B$5,Inputs!$B$27*(1-Inputs!$B$28),0)</s:f>
        <s:v>0</s:v>
      </s:c>
      <s:c r="H34" s="5">
        <s:f>D34-E34-F34+G34</s:f>
        <s:v>52318.36824298254</s:v>
      </s:c>
      <s:c r="I34" s="5">
        <s:f>1/(1+Inputs!$B$13)^A34</s:f>
        <s:v>0.15495739668087777</s:v>
      </s:c>
      <s:c r="J34" s="5">
        <s:f>H34*I34</s:f>
        <s:v>8107.1181415240835</s:v>
      </s:c>
      <s:c r="K34" s="5">
        <s:f>K33+H34-G34</s:f>
        <s:v>6000827.364017946</s:v>
      </s:c>
      <s:c r="L34" s="5">
        <s:f>IF(B34&gt;0,Inputs!$B$2*Inputs!$B$14*Inputs!$B$15*(1+Inputs!$B$18)^(B34-1)*I34,0)</s:f>
        <s:v>313.70550793457215</s:v>
      </s:c>
      <s:c r="M34" s="11" t="str">
        <s:f>IF(AND(K34&gt;=0,K33&lt;0),A34-1-K33/(H34-G34),"")</s:f>
        <s:v/>
      </s:c>
      <s:c r="N34" s="11">
        <s:f>N33+J34-G34*I34</s:f>
        <s:v>-3103306.483865059</s:v>
      </s:c>
      <s:c r="O34" s="11" t="str">
        <s:f>IF(AND(N34&gt;=0,N33&lt;0),A34-1-N33/((H34-G34)*I34),"")</s:f>
        <s:v/>
      </s:c>
    </s:row>
    <s:row r="35" ht="20" customHeight="1">
      <s:c r="A35" s="2" t="n">
        <s:v>33</s:v>
      </s:c>
      <s:c r="B35" s="2">
        <s:f>IF(AND(A35&gt;Results!$B$4,A35&lt;=Results!$B$5),A35-Results!$B$4,0)</s:f>
        <s:v>31</s:v>
      </s:c>
      <s:c r="C35" s="5">
        <s:f>IF(B35&gt;0,Inputs!$B$16*(1+Inputs!$B$18)^(B35-1),0)</s:f>
        <s:v>1086.816950462013</s:v>
      </s:c>
      <s:c r="D35" s="5">
        <s:f>IF(B35&gt;0,Inputs!$B$2*Inputs!$B$14*Inputs!$B$15*C35,0)</s:f>
        <s:v>1238971.323526695</s:v>
      </s:c>
      <s:c r="E35" s="5">
        <s:f>IF(B35&gt;0,(Inputs!$B$20+Inputs!$B$21+Inputs!$B$2*Inputs!$B$14*(Inputs!$B$22+Inputs!$B$23)+(Inputs!$B$2*Inputs!$B$3*Inputs!$B$5+Inputs!$B$6)*Inputs!$B$24)*(1+Inputs!$B$19)^(B35-1),0)</s:f>
        <s:v>562148.1111939186</s:v>
      </s:c>
      <s:c r="F35" s="5">
        <s:f>IF(AND(B35&gt;0,B35&lt;Inputs!$B$12,MOD(B35,Inputs!$B$25)=0),Inputs!$B$26*(1+Inputs!$B$19)^(B35-1),0)</s:f>
        <s:v>0</s:v>
      </s:c>
      <s:c r="G35" s="5">
        <s:f>IF(A35=Results!$B$5,Inputs!$B$27*(1-Inputs!$B$28),0)</s:f>
        <s:v>0</s:v>
      </s:c>
      <s:c r="H35" s="5">
        <s:f>D35-E35-F35+G35</s:f>
        <s:v>676823.2123327763</s:v>
      </s:c>
      <s:c r="I35" s="5">
        <s:f>1/(1+Inputs!$B$13)^A35</s:f>
        <s:v>0.14618622328384695</s:v>
      </s:c>
      <s:c r="J35" s="5">
        <s:f>H35*I35</s:f>
        <s:v>98942.22924176979</s:v>
      </s:c>
      <s:c r="K35" s="5">
        <s:f>K34+H35-G35</s:f>
        <s:v>6677650.576350722</s:v>
      </s:c>
      <s:c r="L35" s="5">
        <s:f>IF(B35&gt;0,Inputs!$B$2*Inputs!$B$14*Inputs!$B$15*(1+Inputs!$B$18)^(B35-1)*I35,0)</s:f>
        <s:v>301.8675642389279</s:v>
      </s:c>
      <s:c r="M35" s="11" t="str">
        <s:f>IF(AND(K35&gt;=0,K34&lt;0),A35-1-K34/(H35-G35),"")</s:f>
        <s:v/>
      </s:c>
      <s:c r="N35" s="11">
        <s:f>N34+J35-G35*I35</s:f>
        <s:v>-3004364.254623289</s:v>
      </s:c>
      <s:c r="O35" s="11" t="str">
        <s:f>IF(AND(N35&gt;=0,N34&lt;0),A35-1-N34/((H35-G35)*I35),"")</s:f>
        <s:v/>
      </s:c>
    </s:row>
    <s:row r="36" ht="20" customHeight="1">
      <s:c r="A36" s="2" t="n">
        <s:v>34</s:v>
      </s:c>
      <s:c r="B36" s="2">
        <s:f>IF(AND(A36&gt;Results!$B$4,A36&lt;=Results!$B$5),A36-Results!$B$4,0)</s:f>
        <s:v>32</s:v>
      </s:c>
      <s:c r="C36" s="5">
        <s:f>IF(B36&gt;0,Inputs!$B$16*(1+Inputs!$B$18)^(B36-1),0)</s:f>
        <s:v>1108.553289471253</s:v>
      </s:c>
      <s:c r="D36" s="5">
        <s:f>IF(B36&gt;0,Inputs!$B$2*Inputs!$B$14*Inputs!$B$15*C36,0)</s:f>
        <s:v>1263750.7499972284</s:v>
      </s:c>
      <s:c r="E36" s="5">
        <s:f>IF(B36&gt;0,(Inputs!$B$20+Inputs!$B$21+Inputs!$B$2*Inputs!$B$14*(Inputs!$B$22+Inputs!$B$23)+(Inputs!$B$2*Inputs!$B$3*Inputs!$B$5+Inputs!$B$6)*Inputs!$B$24)*(1+Inputs!$B$19)^(B36-1),0)</s:f>
        <s:v>576201.8139737666</s:v>
      </s:c>
      <s:c r="F36" s="5">
        <s:f>IF(AND(B36&gt;0,B36&lt;Inputs!$B$12,MOD(B36,Inputs!$B$25)=0),Inputs!$B$26*(1+Inputs!$B$19)^(B36-1),0)</s:f>
        <s:v>0</s:v>
      </s:c>
      <s:c r="G36" s="5">
        <s:f>IF(A36=Results!$B$5,Inputs!$B$27*(1-Inputs!$B$28),0)</s:f>
        <s:v>0</s:v>
      </s:c>
      <s:c r="H36" s="5">
        <s:f>D36-E36-F36+G36</s:f>
        <s:v>687548.9360234617</s:v>
      </s:c>
      <s:c r="I36" s="5">
        <s:f>1/(1+Inputs!$B$13)^A36</s:f>
        <s:v>0.13791153139985562</s:v>
      </s:c>
      <s:c r="J36" s="5">
        <s:f>H36*I36</s:f>
        <s:v>94820.92667933698</s:v>
      </s:c>
      <s:c r="K36" s="5">
        <s:f>K35+H36-G36</s:f>
        <s:v>7365199.512374184</s:v>
      </s:c>
      <s:c r="L36" s="5">
        <s:f>IF(B36&gt;0,Inputs!$B$2*Inputs!$B$14*Inputs!$B$15*(1+Inputs!$B$18)^(B36-1)*I36,0)</s:f>
        <s:v>290.47633539972315</s:v>
      </s:c>
      <s:c r="M36" s="11" t="str">
        <s:f>IF(AND(K36&gt;=0,K35&lt;0),A36-1-K35/(H36-G36),"")</s:f>
        <s:v/>
      </s:c>
      <s:c r="N36" s="11">
        <s:f>N35+J36-G36*I36</s:f>
        <s:v>-2909543.3279439523</s:v>
      </s:c>
      <s:c r="O36" s="11" t="str">
        <s:f>IF(AND(N36&gt;=0,N35&lt;0),A36-1-N35/((H36-G36)*I36),"")</s:f>
        <s:v/>
      </s:c>
    </s:row>
    <s:row r="37" ht="20" customHeight="1">
      <s:c r="A37" s="2" t="n">
        <s:v>35</s:v>
      </s:c>
      <s:c r="B37" s="2">
        <s:f>IF(AND(A37&gt;Results!$B$4,A37&lt;=Results!$B$5),A37-Results!$B$4,0)</s:f>
        <s:v>33</s:v>
      </s:c>
      <s:c r="C37" s="5">
        <s:f>IF(B37&gt;0,Inputs!$B$16*(1+Inputs!$B$18)^(B37-1),0)</s:f>
        <s:v>1130.724355260678</s:v>
      </s:c>
      <s:c r="D37" s="5">
        <s:f>IF(B37&gt;0,Inputs!$B$2*Inputs!$B$14*Inputs!$B$15*C37,0)</s:f>
        <s:v>1289025.764997173</s:v>
      </s:c>
      <s:c r="E37" s="5">
        <s:f>IF(B37&gt;0,(Inputs!$B$20+Inputs!$B$21+Inputs!$B$2*Inputs!$B$14*(Inputs!$B$22+Inputs!$B$23)+(Inputs!$B$2*Inputs!$B$3*Inputs!$B$5+Inputs!$B$6)*Inputs!$B$24)*(1+Inputs!$B$19)^(B37-1),0)</s:f>
        <s:v>590606.8593231107</s:v>
      </s:c>
      <s:c r="F37" s="5">
        <s:f>IF(AND(B37&gt;0,B37&lt;Inputs!$B$12,MOD(B37,Inputs!$B$25)=0),Inputs!$B$26*(1+Inputs!$B$19)^(B37-1),0)</s:f>
        <s:v>0</s:v>
      </s:c>
      <s:c r="G37" s="5">
        <s:f>IF(A37=Results!$B$5,Inputs!$B$27*(1-Inputs!$B$28),0)</s:f>
        <s:v>0</s:v>
      </s:c>
      <s:c r="H37" s="5">
        <s:f>D37-E37-F37+G37</s:f>
        <s:v>698418.9056740624</s:v>
      </s:c>
      <s:c r="I37" s="5">
        <s:f>1/(1+Inputs!$B$13)^A37</s:f>
        <s:v>0.13010521830175056</s:v>
      </s:c>
      <s:c r="J37" s="5">
        <s:f>H37*I37</s:f>
        <s:v>90867.94418879363</s:v>
      </s:c>
      <s:c r="K37" s="5">
        <s:f>K36+H37-G37</s:f>
        <s:v>8063618.418048247</s:v>
      </s:c>
      <s:c r="L37" s="5">
        <s:f>IF(B37&gt;0,Inputs!$B$2*Inputs!$B$14*Inputs!$B$15*(1+Inputs!$B$18)^(B37-1)*I37,0)</s:f>
        <s:v>279.5149642525637</s:v>
      </s:c>
      <s:c r="M37" s="11" t="str">
        <s:f>IF(AND(K37&gt;=0,K36&lt;0),A37-1-K36/(H37-G37),"")</s:f>
        <s:v/>
      </s:c>
      <s:c r="N37" s="11">
        <s:f>N36+J37-G37*I37</s:f>
        <s:v>-2818675.3837551586</s:v>
      </s:c>
      <s:c r="O37" s="11" t="str">
        <s:f>IF(AND(N37&gt;=0,N36&lt;0),A37-1-N36/((H37-G37)*I37),"")</s:f>
        <s:v/>
      </s:c>
    </s:row>
    <s:row r="38" ht="20" customHeight="1">
      <s:c r="A38" s="2" t="n">
        <s:v>36</s:v>
      </s:c>
      <s:c r="B38" s="2">
        <s:f>IF(AND(A38&gt;Results!$B$4,A38&lt;=Results!$B$5),A38-Results!$B$4,0)</s:f>
        <s:v>34</s:v>
      </s:c>
      <s:c r="C38" s="5">
        <s:f>IF(B38&gt;0,Inputs!$B$16*(1+Inputs!$B$18)^(B38-1),0)</s:f>
        <s:v>1153.3388423658919</s:v>
      </s:c>
      <s:c r="D38" s="5">
        <s:f>IF(B38&gt;0,Inputs!$B$2*Inputs!$B$14*Inputs!$B$15*C38,0)</s:f>
        <s:v>1314806.2802971168</s:v>
      </s:c>
      <s:c r="E38" s="5">
        <s:f>IF(B38&gt;0,(Inputs!$B$20+Inputs!$B$21+Inputs!$B$2*Inputs!$B$14*(Inputs!$B$22+Inputs!$B$23)+(Inputs!$B$2*Inputs!$B$3*Inputs!$B$5+Inputs!$B$6)*Inputs!$B$24)*(1+Inputs!$B$19)^(B38-1),0)</s:f>
        <s:v>605372.0308061885</s:v>
      </s:c>
      <s:c r="F38" s="5">
        <s:f>IF(AND(B38&gt;0,B38&lt;Inputs!$B$12,MOD(B38,Inputs!$B$25)=0),Inputs!$B$26*(1+Inputs!$B$19)^(B38-1),0)</s:f>
        <s:v>0</s:v>
      </s:c>
      <s:c r="G38" s="5">
        <s:f>IF(A38=Results!$B$5,Inputs!$B$27*(1-Inputs!$B$28),0)</s:f>
        <s:v>0</s:v>
      </s:c>
      <s:c r="H38" s="5">
        <s:f>D38-E38-F38+G38</s:f>
        <s:v>709434.2494909284</s:v>
      </s:c>
      <s:c r="I38" s="5">
        <s:f>1/(1+Inputs!$B$13)^A38</s:f>
        <s:v>0.12274077198278356</s:v>
      </s:c>
      <s:c r="J38" s="5">
        <s:f>H38*I38</s:f>
        <s:v>87076.50745354322</s:v>
      </s:c>
      <s:c r="K38" s="5">
        <s:f>K37+H38-G38</s:f>
        <s:v>8773052.667539176</s:v>
      </s:c>
      <s:c r="L38" s="5">
        <s:f>IF(B38&gt;0,Inputs!$B$2*Inputs!$B$14*Inputs!$B$15*(1+Inputs!$B$18)^(B38-1)*I38,0)</s:f>
        <s:v>268.967229752467</s:v>
      </s:c>
      <s:c r="M38" s="11" t="str">
        <s:f>IF(AND(K38&gt;=0,K37&lt;0),A38-1-K37/(H38-G38),"")</s:f>
        <s:v/>
      </s:c>
      <s:c r="N38" s="11">
        <s:f>N37+J38-G38*I38</s:f>
        <s:v>-2731598.8763016155</s:v>
      </s:c>
      <s:c r="O38" s="11" t="str">
        <s:f>IF(AND(N38&gt;=0,N37&lt;0),A38-1-N37/((H38-G38)*I38),"")</s:f>
        <s:v/>
      </s:c>
    </s:row>
    <s:row r="39" ht="20" customHeight="1">
      <s:c r="A39" s="2" t="n">
        <s:v>37</s:v>
      </s:c>
      <s:c r="B39" s="2">
        <s:f>IF(AND(A39&gt;Results!$B$4,A39&lt;=Results!$B$5),A39-Results!$B$4,0)</s:f>
        <s:v>35</s:v>
      </s:c>
      <s:c r="C39" s="5">
        <s:f>IF(B39&gt;0,Inputs!$B$16*(1+Inputs!$B$18)^(B39-1),0)</s:f>
        <s:v>1176.4056192132095</s:v>
      </s:c>
      <s:c r="D39" s="5">
        <s:f>IF(B39&gt;0,Inputs!$B$2*Inputs!$B$14*Inputs!$B$15*C39,0)</s:f>
        <s:v>1341102.4059030588</s:v>
      </s:c>
      <s:c r="E39" s="5">
        <s:f>IF(B39&gt;0,(Inputs!$B$20+Inputs!$B$21+Inputs!$B$2*Inputs!$B$14*(Inputs!$B$22+Inputs!$B$23)+(Inputs!$B$2*Inputs!$B$3*Inputs!$B$5+Inputs!$B$6)*Inputs!$B$24)*(1+Inputs!$B$19)^(B39-1),0)</s:f>
        <s:v>620506.331576343</s:v>
      </s:c>
      <s:c r="F39" s="5">
        <s:f>IF(AND(B39&gt;0,B39&lt;Inputs!$B$12,MOD(B39,Inputs!$B$25)=0),Inputs!$B$26*(1+Inputs!$B$19)^(B39-1),0)</s:f>
        <s:v>0</s:v>
      </s:c>
      <s:c r="G39" s="5">
        <s:f>IF(A39=Results!$B$5,Inputs!$B$27*(1-Inputs!$B$28),0)</s:f>
        <s:v>0</s:v>
      </s:c>
      <s:c r="H39" s="5">
        <s:f>D39-E39-F39+G39</s:f>
        <s:v>720596.0743267158</s:v>
      </s:c>
      <s:c r="I39" s="5">
        <s:f>1/(1+Inputs!$B$13)^A39</s:f>
        <s:v>0.11579318111583355</s:v>
      </s:c>
      <s:c r="J39" s="5">
        <s:f>H39*I39</s:f>
        <s:v>83440.11174587205</s:v>
      </s:c>
      <s:c r="K39" s="5">
        <s:f>K38+H39-G39</s:f>
        <s:v>9493648.741865892</s:v>
      </s:c>
      <s:c r="L39" s="5">
        <s:f>IF(B39&gt;0,Inputs!$B$2*Inputs!$B$14*Inputs!$B$15*(1+Inputs!$B$18)^(B39-1)*I39,0)</s:f>
        <s:v>258.817522969355</s:v>
      </s:c>
      <s:c r="M39" s="11" t="str">
        <s:f>IF(AND(K39&gt;=0,K38&lt;0),A39-1-K38/(H39-G39),"")</s:f>
        <s:v/>
      </s:c>
      <s:c r="N39" s="11">
        <s:f>N38+J39-G39*I39</s:f>
        <s:v>-2648158.7645557434</s:v>
      </s:c>
      <s:c r="O39" s="11" t="str">
        <s:f>IF(AND(N39&gt;=0,N38&lt;0),A39-1-N38/((H39-G39)*I39),"")</s:f>
        <s:v/>
      </s:c>
    </s:row>
    <s:row r="40" ht="20" customHeight="1">
      <s:c r="A40" s="2" t="n">
        <s:v>38</s:v>
      </s:c>
      <s:c r="B40" s="2">
        <s:f>IF(AND(A40&gt;Results!$B$4,A40&lt;=Results!$B$5),A40-Results!$B$4,0)</s:f>
        <s:v>36</s:v>
      </s:c>
      <s:c r="C40" s="5">
        <s:f>IF(B40&gt;0,Inputs!$B$16*(1+Inputs!$B$18)^(B40-1),0)</s:f>
        <s:v>1199.933731597474</s:v>
      </s:c>
      <s:c r="D40" s="5">
        <s:f>IF(B40&gt;0,Inputs!$B$2*Inputs!$B$14*Inputs!$B$15*C40,0)</s:f>
        <s:v>1367924.4540211204</s:v>
      </s:c>
      <s:c r="E40" s="5">
        <s:f>IF(B40&gt;0,(Inputs!$B$20+Inputs!$B$21+Inputs!$B$2*Inputs!$B$14*(Inputs!$B$22+Inputs!$B$23)+(Inputs!$B$2*Inputs!$B$3*Inputs!$B$5+Inputs!$B$6)*Inputs!$B$24)*(1+Inputs!$B$19)^(B40-1),0)</s:f>
        <s:v>636018.9898657516</s:v>
      </s:c>
      <s:c r="F40" s="5">
        <s:f>IF(AND(B40&gt;0,B40&lt;Inputs!$B$12,MOD(B40,Inputs!$B$25)=0),Inputs!$B$26*(1+Inputs!$B$19)^(B40-1),0)</s:f>
        <s:v>0</s:v>
      </s:c>
      <s:c r="G40" s="5">
        <s:f>IF(A40=Results!$B$5,Inputs!$B$27*(1-Inputs!$B$28),0)</s:f>
        <s:v>0</s:v>
      </s:c>
      <s:c r="H40" s="5">
        <s:f>D40-E40-F40+G40</s:f>
        <s:v>731905.4641553689</s:v>
      </s:c>
      <s:c r="I40" s="5">
        <s:f>1/(1+Inputs!$B$13)^A40</s:f>
        <s:v>0.1092388501092769</s:v>
      </s:c>
      <s:c r="J40" s="5">
        <s:f>H40*I40</s:f>
        <s:v>79952.51129302908</s:v>
      </s:c>
      <s:c r="K40" s="5">
        <s:f>K39+H40-G40</s:f>
        <s:v>10225554.20602126</s:v>
      </s:c>
      <s:c r="L40" s="5">
        <s:f>IF(B40&gt;0,Inputs!$B$2*Inputs!$B$14*Inputs!$B$15*(1+Inputs!$B$18)^(B40-1)*I40,0)</s:f>
        <s:v>249.05082398937935</s:v>
      </s:c>
      <s:c r="M40" s="11" t="str">
        <s:f>IF(AND(K40&gt;=0,K39&lt;0),A40-1-K39/(H40-G40),"")</s:f>
        <s:v/>
      </s:c>
      <s:c r="N40" s="11">
        <s:f>N39+J40-G40*I40</s:f>
        <s:v>-2568206.2532627145</s:v>
      </s:c>
      <s:c r="O40" s="11" t="str">
        <s:f>IF(AND(N40&gt;=0,N39&lt;0),A40-1-N39/((H40-G40)*I40),"")</s:f>
        <s:v/>
      </s:c>
    </s:row>
    <s:row r="41" ht="20" customHeight="1">
      <s:c r="A41" s="2" t="n">
        <s:v>39</s:v>
      </s:c>
      <s:c r="B41" s="2">
        <s:f>IF(AND(A41&gt;Results!$B$4,A41&lt;=Results!$B$5),A41-Results!$B$4,0)</s:f>
        <s:v>37</s:v>
      </s:c>
      <s:c r="C41" s="5">
        <s:f>IF(B41&gt;0,Inputs!$B$16*(1+Inputs!$B$18)^(B41-1),0)</s:f>
        <s:v>1223.9324062294233</s:v>
      </s:c>
      <s:c r="D41" s="5">
        <s:f>IF(B41&gt;0,Inputs!$B$2*Inputs!$B$14*Inputs!$B$15*C41,0)</s:f>
        <s:v>1395282.9431015425</s:v>
      </s:c>
      <s:c r="E41" s="5">
        <s:f>IF(B41&gt;0,(Inputs!$B$20+Inputs!$B$21+Inputs!$B$2*Inputs!$B$14*(Inputs!$B$22+Inputs!$B$23)+(Inputs!$B$2*Inputs!$B$3*Inputs!$B$5+Inputs!$B$6)*Inputs!$B$24)*(1+Inputs!$B$19)^(B41-1),0)</s:f>
        <s:v>651919.4646123953</s:v>
      </s:c>
      <s:c r="F41" s="5">
        <s:f>IF(AND(B41&gt;0,B41&lt;Inputs!$B$12,MOD(B41,Inputs!$B$25)=0),Inputs!$B$26*(1+Inputs!$B$19)^(B41-1),0)</s:f>
        <s:v>0</s:v>
      </s:c>
      <s:c r="G41" s="5">
        <s:f>IF(A41=Results!$B$5,Inputs!$B$27*(1-Inputs!$B$28),0)</s:f>
        <s:v>0</s:v>
      </s:c>
      <s:c r="H41" s="5">
        <s:f>D41-E41-F41+G41</s:f>
        <s:v>743363.4784891473</s:v>
      </s:c>
      <s:c r="I41" s="5">
        <s:f>1/(1+Inputs!$B$13)^A41</s:f>
        <s:v>0.10305551897101596</s:v>
      </s:c>
      <s:c r="J41" s="5">
        <s:f>H41*I41</s:f>
        <s:v>76607.70905979873</s:v>
      </s:c>
      <s:c r="K41" s="5">
        <s:f>K40+H41-G41</s:f>
        <s:v>10968917.684510408</s:v>
      </s:c>
      <s:c r="L41" s="5">
        <s:f>IF(B41&gt;0,Inputs!$B$2*Inputs!$B$14*Inputs!$B$15*(1+Inputs!$B$18)^(B41-1)*I41,0)</s:f>
        <s:v>239.65267968789334</s:v>
      </s:c>
      <s:c r="M41" s="11" t="str">
        <s:f>IF(AND(K41&gt;=0,K40&lt;0),A41-1-K40/(H41-G41),"")</s:f>
        <s:v/>
      </s:c>
      <s:c r="N41" s="11">
        <s:f>N40+J41-G41*I41</s:f>
        <s:v>-2491598.544202916</s:v>
      </s:c>
      <s:c r="O41" s="11" t="str">
        <s:f>IF(AND(N41&gt;=0,N40&lt;0),A41-1-N40/((H41-G41)*I41),"")</s:f>
        <s:v/>
      </s:c>
    </s:row>
    <s:row r="42" ht="20" customHeight="1">
      <s:c r="A42" s="2" t="n">
        <s:v>40</s:v>
      </s:c>
      <s:c r="B42" s="2">
        <s:f>IF(AND(A42&gt;Results!$B$4,A42&lt;=Results!$B$5),A42-Results!$B$4,0)</s:f>
        <s:v>38</s:v>
      </s:c>
      <s:c r="C42" s="5">
        <s:f>IF(B42&gt;0,Inputs!$B$16*(1+Inputs!$B$18)^(B42-1),0)</s:f>
        <s:v>1248.4110543540119</s:v>
      </s:c>
      <s:c r="D42" s="5">
        <s:f>IF(B42&gt;0,Inputs!$B$2*Inputs!$B$14*Inputs!$B$15*C42,0)</s:f>
        <s:v>1423188.6019635736</s:v>
      </s:c>
      <s:c r="E42" s="5">
        <s:f>IF(B42&gt;0,(Inputs!$B$20+Inputs!$B$21+Inputs!$B$2*Inputs!$B$14*(Inputs!$B$22+Inputs!$B$23)+(Inputs!$B$2*Inputs!$B$3*Inputs!$B$5+Inputs!$B$6)*Inputs!$B$24)*(1+Inputs!$B$19)^(B42-1),0)</s:f>
        <s:v>668217.4512277051</s:v>
      </s:c>
      <s:c r="F42" s="5">
        <s:f>IF(AND(B42&gt;0,B42&lt;Inputs!$B$12,MOD(B42,Inputs!$B$25)=0),Inputs!$B$26*(1+Inputs!$B$19)^(B42-1),0)</s:f>
        <s:v>0</s:v>
      </s:c>
      <s:c r="G42" s="5">
        <s:f>IF(A42=Results!$B$5,Inputs!$B$27*(1-Inputs!$B$28),0)</s:f>
        <s:v>0</s:v>
      </s:c>
      <s:c r="H42" s="5">
        <s:f>D42-E42-F42+G42</s:f>
        <s:v>754971.1507358685</s:v>
      </s:c>
      <s:c r="I42" s="5">
        <s:f>1/(1+Inputs!$B$13)^A42</s:f>
        <s:v>0.09722218770850562</s:v>
      </s:c>
      <s:c r="J42" s="5">
        <s:f>H42*I42</s:f>
        <s:v>73399.9469313491</s:v>
      </s:c>
      <s:c r="K42" s="5">
        <s:f>K41+H42-G42</s:f>
        <s:v>11723888.835246276</s:v>
      </s:c>
      <s:c r="L42" s="5">
        <s:f>IF(B42&gt;0,Inputs!$B$2*Inputs!$B$14*Inputs!$B$15*(1+Inputs!$B$18)^(B42-1)*I42,0)</s:f>
        <s:v>230.6091823411804</s:v>
      </s:c>
      <s:c r="M42" s="11" t="str">
        <s:f>IF(AND(K42&gt;=0,K41&lt;0),A42-1-K41/(H42-G42),"")</s:f>
        <s:v/>
      </s:c>
      <s:c r="N42" s="11">
        <s:f>N41+J42-G42*I42</s:f>
        <s:v>-2418198.5972715667</s:v>
      </s:c>
      <s:c r="O42" s="11" t="str">
        <s:f>IF(AND(N42&gt;=0,N41&lt;0),A42-1-N41/((H42-G42)*I42),"")</s:f>
        <s:v/>
      </s:c>
    </s:row>
    <s:row r="43" ht="20" customHeight="1">
      <s:c r="A43" s="2" t="n">
        <s:v>41</s:v>
      </s:c>
      <s:c r="B43" s="2">
        <s:f>IF(AND(A43&gt;Results!$B$4,A43&lt;=Results!$B$5),A43-Results!$B$4,0)</s:f>
        <s:v>39</s:v>
      </s:c>
      <s:c r="C43" s="5">
        <s:f>IF(B43&gt;0,Inputs!$B$16*(1+Inputs!$B$18)^(B43-1),0)</s:f>
        <s:v>1273.379275441092</s:v>
      </s:c>
      <s:c r="D43" s="5">
        <s:f>IF(B43&gt;0,Inputs!$B$2*Inputs!$B$14*Inputs!$B$15*C43,0)</s:f>
        <s:v>1451652.3740028448</s:v>
      </s:c>
      <s:c r="E43" s="5">
        <s:f>IF(B43&gt;0,(Inputs!$B$20+Inputs!$B$21+Inputs!$B$2*Inputs!$B$14*(Inputs!$B$22+Inputs!$B$23)+(Inputs!$B$2*Inputs!$B$3*Inputs!$B$5+Inputs!$B$6)*Inputs!$B$24)*(1+Inputs!$B$19)^(B43-1),0)</s:f>
        <s:v>684922.8875083977</s:v>
      </s:c>
      <s:c r="F43" s="5">
        <s:f>IF(AND(B43&gt;0,B43&lt;Inputs!$B$12,MOD(B43,Inputs!$B$25)=0),Inputs!$B$26*(1+Inputs!$B$19)^(B43-1),0)</s:f>
        <s:v>0</s:v>
      </s:c>
      <s:c r="G43" s="5">
        <s:f>IF(A43=Results!$B$5,Inputs!$B$27*(1-Inputs!$B$28),0)</s:f>
        <s:v>0</s:v>
      </s:c>
      <s:c r="H43" s="5">
        <s:f>D43-E43-F43+G43</s:f>
        <s:v>766729.4864944471</s:v>
      </s:c>
      <s:c r="I43" s="5">
        <s:f>1/(1+Inputs!$B$13)^A43</s:f>
        <s:v>0.09171904500802415</s:v>
      </s:c>
      <s:c r="J43" s="5">
        <s:f>H43*I43</s:f>
        <s:v>70323.69628076344</s:v>
      </s:c>
      <s:c r="K43" s="5">
        <s:f>K42+H43-G43</s:f>
        <s:v>12490618.321740724</s:v>
      </s:c>
      <s:c r="L43" s="5">
        <s:f>IF(B43&gt;0,Inputs!$B$2*Inputs!$B$14*Inputs!$B$15*(1+Inputs!$B$18)^(B43-1)*I43,0)</s:f>
        <s:v>221.90694904528672</s:v>
      </s:c>
      <s:c r="M43" s="11" t="str">
        <s:f>IF(AND(K43&gt;=0,K42&lt;0),A43-1-K42/(H43-G43),"")</s:f>
        <s:v/>
      </s:c>
      <s:c r="N43" s="11">
        <s:f>N42+J43-G43*I43</s:f>
        <s:v>-2347874.9009908033</s:v>
      </s:c>
      <s:c r="O43" s="11" t="str">
        <s:f>IF(AND(N43&gt;=0,N42&lt;0),A43-1-N42/((H43-G43)*I43),"")</s:f>
        <s:v/>
      </s:c>
    </s:row>
    <s:row r="44" ht="20" customHeight="1">
      <s:c r="A44" s="2" t="n">
        <s:v>42</s:v>
      </s:c>
      <s:c r="B44" s="2">
        <s:f>IF(AND(A44&gt;Results!$B$4,A44&lt;=Results!$B$5),A44-Results!$B$4,0)</s:f>
        <s:v>40</s:v>
      </s:c>
      <s:c r="C44" s="5">
        <s:f>IF(B44&gt;0,Inputs!$B$16*(1+Inputs!$B$18)^(B44-1),0)</s:f>
        <s:v>1298.846860949914</s:v>
      </s:c>
      <s:c r="D44" s="5">
        <s:f>IF(B44&gt;0,Inputs!$B$2*Inputs!$B$14*Inputs!$B$15*C44,0)</s:f>
        <s:v>1480685.4214829018</s:v>
      </s:c>
      <s:c r="E44" s="5">
        <s:f>IF(B44&gt;0,(Inputs!$B$20+Inputs!$B$21+Inputs!$B$2*Inputs!$B$14*(Inputs!$B$22+Inputs!$B$23)+(Inputs!$B$2*Inputs!$B$3*Inputs!$B$5+Inputs!$B$6)*Inputs!$B$24)*(1+Inputs!$B$19)^(B44-1),0)</s:f>
        <s:v>702045.9596961075</s:v>
      </s:c>
      <s:c r="F44" s="5">
        <s:f>IF(AND(B44&gt;0,B44&lt;Inputs!$B$12,MOD(B44,Inputs!$B$25)=0),Inputs!$B$26*(1+Inputs!$B$19)^(B44-1),0)</s:f>
        <s:v>0</s:v>
      </s:c>
      <s:c r="G44" s="5">
        <s:f>IF(A44=Results!$B$5,Inputs!$B$27*(1-Inputs!$B$28),0)</s:f>
        <s:v>0.0</s:v>
      </s:c>
      <s:c r="H44" s="5">
        <s:f>D44-E44-F44+G44</s:f>
        <s:v>778639.4617867942</s:v>
      </s:c>
      <s:c r="I44" s="5">
        <s:f>1/(1+Inputs!$B$13)^A44</s:f>
        <s:v>0.08652740095096619</s:v>
      </s:c>
      <s:c r="J44" s="5">
        <s:f>H44*I44</s:f>
        <s:v>67373.64890627046</s:v>
      </s:c>
      <s:c r="K44" s="5">
        <s:f>K43+H44-G44</s:f>
        <s:v>13269257.783527518</s:v>
      </s:c>
      <s:c r="L44" s="5">
        <s:f>IF(B44&gt;0,Inputs!$B$2*Inputs!$B$14*Inputs!$B$15*(1+Inputs!$B$18)^(B44-1)*I44,0)</s:f>
        <s:v>213.5331019115023</s:v>
      </s:c>
      <s:c r="M44" s="11" t="str">
        <s:f>IF(AND(K44&gt;=0,K43&lt;0),A44-1-K43/(H44-G44),"")</s:f>
        <s:v/>
      </s:c>
      <s:c r="N44" s="11">
        <s:f>N43+J44-G44*I44</s:f>
        <s:v>-2280501.2520845328</s:v>
      </s:c>
      <s:c r="O44" s="11" t="str">
        <s:f>IF(AND(N44&gt;=0,N43&lt;0),A44-1-N43/((H44-G44)*I44),"")</s:f>
        <s:v/>
      </s:c>
    </s:row>
    <s:row r="45" ht="20" customHeight="1">
      <s:c r="A45" s="2" t="n">
        <s:v>43</s:v>
      </s:c>
      <s:c r="B45" s="2">
        <s:f>IF(AND(A45&gt;Results!$B$4,A45&lt;=Results!$B$5),A45-Results!$B$4,0)</s:f>
        <s:v>0</s:v>
      </s:c>
      <s:c r="C45" s="5">
        <s:f>IF(B45&gt;0,Inputs!$B$16*(1+Inputs!$B$18)^(B45-1),0)</s:f>
        <s:v>0</s:v>
      </s:c>
      <s:c r="D45" s="5">
        <s:f>IF(B45&gt;0,Inputs!$B$2*Inputs!$B$14*Inputs!$B$15*C45,0)</s:f>
        <s:v>0</s:v>
      </s:c>
      <s:c r="E45" s="5">
        <s:f>IF(B45&gt;0,(Inputs!$B$20+Inputs!$B$21+Inputs!$B$2*Inputs!$B$14*(Inputs!$B$22+Inputs!$B$23)+(Inputs!$B$2*Inputs!$B$3*Inputs!$B$5+Inputs!$B$6)*Inputs!$B$24)*(1+Inputs!$B$19)^(B45-1),0)</s:f>
        <s:v>0</s:v>
      </s:c>
      <s:c r="F45" s="5">
        <s:f>IF(AND(B45&gt;0,B45&lt;Inputs!$B$12,MOD(B45,Inputs!$B$25)=0),Inputs!$B$26*(1+Inputs!$B$19)^(B45-1),0)</s:f>
        <s:v>0</s:v>
      </s:c>
      <s:c r="G45" s="5">
        <s:f>IF(A45=Results!$B$5,Inputs!$B$27*(1-Inputs!$B$28),0)</s:f>
        <s:v>0</s:v>
      </s:c>
      <s:c r="H45" s="5">
        <s:f>D45-E45-F45+G45</s:f>
        <s:v>0</s:v>
      </s:c>
      <s:c r="I45" s="5">
        <s:f>1/(1+Inputs!$B$13)^A45</s:f>
        <s:v>0.08162962353864733</s:v>
      </s:c>
      <s:c r="J45" s="5">
        <s:f>H45*I45</s:f>
        <s:v>0.0</s:v>
      </s:c>
      <s:c r="K45" s="5">
        <s:f>K44+H45-G45</s:f>
        <s:v>13269257.783527518</s:v>
      </s:c>
      <s:c r="L45" s="5">
        <s:f>IF(B45&gt;0,Inputs!$B$2*Inputs!$B$14*Inputs!$B$15*(1+Inputs!$B$18)^(B45-1)*I45,0)</s:f>
        <s:v>0</s:v>
      </s:c>
      <s:c r="M45" s="11" t="str">
        <s:f>IF(AND(K45&gt;=0,K44&lt;0),A45-1-K44/(H45-G45),"")</s:f>
        <s:v/>
      </s:c>
      <s:c r="N45" s="11">
        <s:f>N44+J45-G45*I45</s:f>
        <s:v>-2280501.2520845328</s:v>
      </s:c>
      <s:c r="O45" s="11" t="str">
        <s:f>IF(AND(N45&gt;=0,N44&lt;0),A45-1-N44/((H45-G45)*I45),"")</s:f>
        <s:v/>
      </s:c>
    </s:row>
    <s:row r="46" ht="20" customHeight="1">
      <s:c r="A46" s="2" t="n">
        <s:v>44</s:v>
      </s:c>
      <s:c r="B46" s="2">
        <s:f>IF(AND(A46&gt;Results!$B$4,A46&lt;=Results!$B$5),A46-Results!$B$4,0)</s:f>
        <s:v>0</s:v>
      </s:c>
      <s:c r="C46" s="5">
        <s:f>IF(B46&gt;0,Inputs!$B$16*(1+Inputs!$B$18)^(B46-1),0)</s:f>
        <s:v>0</s:v>
      </s:c>
      <s:c r="D46" s="5">
        <s:f>IF(B46&gt;0,Inputs!$B$2*Inputs!$B$14*Inputs!$B$15*C46,0)</s:f>
        <s:v>0</s:v>
      </s:c>
      <s:c r="E46" s="5">
        <s:f>IF(B46&gt;0,(Inputs!$B$20+Inputs!$B$21+Inputs!$B$2*Inputs!$B$14*(Inputs!$B$22+Inputs!$B$23)+(Inputs!$B$2*Inputs!$B$3*Inputs!$B$5+Inputs!$B$6)*Inputs!$B$24)*(1+Inputs!$B$19)^(B46-1),0)</s:f>
        <s:v>0</s:v>
      </s:c>
      <s:c r="F46" s="5">
        <s:f>IF(AND(B46&gt;0,B46&lt;Inputs!$B$12,MOD(B46,Inputs!$B$25)=0),Inputs!$B$26*(1+Inputs!$B$19)^(B46-1),0)</s:f>
        <s:v>0</s:v>
      </s:c>
      <s:c r="G46" s="5">
        <s:f>IF(A46=Results!$B$5,Inputs!$B$27*(1-Inputs!$B$28),0)</s:f>
        <s:v>0</s:v>
      </s:c>
      <s:c r="H46" s="5">
        <s:f>D46-E46-F46+G46</s:f>
        <s:v>0</s:v>
      </s:c>
      <s:c r="I46" s="5">
        <s:f>1/(1+Inputs!$B$13)^A46</s:f>
        <s:v>0.07700907881004465</s:v>
      </s:c>
      <s:c r="J46" s="5">
        <s:f>H46*I46</s:f>
        <s:v>0.0</s:v>
      </s:c>
      <s:c r="K46" s="5">
        <s:f>K45+H46-G46</s:f>
        <s:v>13269257.783527518</s:v>
      </s:c>
      <s:c r="L46" s="5">
        <s:f>IF(B46&gt;0,Inputs!$B$2*Inputs!$B$14*Inputs!$B$15*(1+Inputs!$B$18)^(B46-1)*I46,0)</s:f>
        <s:v>0</s:v>
      </s:c>
      <s:c r="M46" s="11" t="str">
        <s:f>IF(AND(K46&gt;=0,K45&lt;0),A46-1-K45/(H46-G46),"")</s:f>
        <s:v/>
      </s:c>
      <s:c r="N46" s="11">
        <s:f>N45+J46-G46*I46</s:f>
        <s:v>-2280501.2520845328</s:v>
      </s:c>
      <s:c r="O46" s="11" t="str">
        <s:f>IF(AND(N46&gt;=0,N45&lt;0),A46-1-N45/((H46-G46)*I46),"")</s:f>
        <s:v/>
      </s:c>
    </s:row>
    <s:row r="47" ht="20" customHeight="1">
      <s:c r="A47" s="2" t="n">
        <s:v>45</s:v>
      </s:c>
      <s:c r="B47" s="2">
        <s:f>IF(AND(A47&gt;Results!$B$4,A47&lt;=Results!$B$5),A47-Results!$B$4,0)</s:f>
        <s:v>0</s:v>
      </s:c>
      <s:c r="C47" s="5">
        <s:f>IF(B47&gt;0,Inputs!$B$16*(1+Inputs!$B$18)^(B47-1),0)</s:f>
        <s:v>0</s:v>
      </s:c>
      <s:c r="D47" s="5">
        <s:f>IF(B47&gt;0,Inputs!$B$2*Inputs!$B$14*Inputs!$B$15*C47,0)</s:f>
        <s:v>0</s:v>
      </s:c>
      <s:c r="E47" s="5">
        <s:f>IF(B47&gt;0,(Inputs!$B$20+Inputs!$B$21+Inputs!$B$2*Inputs!$B$14*(Inputs!$B$22+Inputs!$B$23)+(Inputs!$B$2*Inputs!$B$3*Inputs!$B$5+Inputs!$B$6)*Inputs!$B$24)*(1+Inputs!$B$19)^(B47-1),0)</s:f>
        <s:v>0</s:v>
      </s:c>
      <s:c r="F47" s="5">
        <s:f>IF(AND(B47&gt;0,B47&lt;Inputs!$B$12,MOD(B47,Inputs!$B$25)=0),Inputs!$B$26*(1+Inputs!$B$19)^(B47-1),0)</s:f>
        <s:v>0</s:v>
      </s:c>
      <s:c r="G47" s="5">
        <s:f>IF(A47=Results!$B$5,Inputs!$B$27*(1-Inputs!$B$28),0)</s:f>
        <s:v>0</s:v>
      </s:c>
      <s:c r="H47" s="5">
        <s:f>D47-E47-F47+G47</s:f>
        <s:v>0</s:v>
      </s:c>
      <s:c r="I47" s="5">
        <s:f>1/(1+Inputs!$B$13)^A47</s:f>
        <s:v>0.07265007434909872</s:v>
      </s:c>
      <s:c r="J47" s="5">
        <s:f>H47*I47</s:f>
        <s:v>0.0</s:v>
      </s:c>
      <s:c r="K47" s="5">
        <s:f>K46+H47-G47</s:f>
        <s:v>13269257.783527518</s:v>
      </s:c>
      <s:c r="L47" s="5">
        <s:f>IF(B47&gt;0,Inputs!$B$2*Inputs!$B$14*Inputs!$B$15*(1+Inputs!$B$18)^(B47-1)*I47,0)</s:f>
        <s:v>0</s:v>
      </s:c>
      <s:c r="M47" s="11" t="str">
        <s:f>IF(AND(K47&gt;=0,K46&lt;0),A47-1-K46/(H47-G47),"")</s:f>
        <s:v/>
      </s:c>
      <s:c r="N47" s="11">
        <s:f>N46+J47-G47*I47</s:f>
        <s:v>-2280501.2520845328</s:v>
      </s:c>
      <s:c r="O47" s="11" t="str">
        <s:f>IF(AND(N47&gt;=0,N46&lt;0),A47-1-N46/((H47-G47)*I47),"")</s:f>
        <s:v/>
      </s:c>
    </s:row>
    <s:row r="48" ht="20" customHeight="1">
      <s:c r="A48" s="2" t="n">
        <s:v>46</s:v>
      </s:c>
      <s:c r="B48" s="2">
        <s:f>IF(AND(A48&gt;Results!$B$4,A48&lt;=Results!$B$5),A48-Results!$B$4,0)</s:f>
        <s:v>0</s:v>
      </s:c>
      <s:c r="C48" s="5">
        <s:f>IF(B48&gt;0,Inputs!$B$16*(1+Inputs!$B$18)^(B48-1),0)</s:f>
        <s:v>0</s:v>
      </s:c>
      <s:c r="D48" s="5">
        <s:f>IF(B48&gt;0,Inputs!$B$2*Inputs!$B$14*Inputs!$B$15*C48,0)</s:f>
        <s:v>0</s:v>
      </s:c>
      <s:c r="E48" s="5">
        <s:f>IF(B48&gt;0,(Inputs!$B$20+Inputs!$B$21+Inputs!$B$2*Inputs!$B$14*(Inputs!$B$22+Inputs!$B$23)+(Inputs!$B$2*Inputs!$B$3*Inputs!$B$5+Inputs!$B$6)*Inputs!$B$24)*(1+Inputs!$B$19)^(B48-1),0)</s:f>
        <s:v>0</s:v>
      </s:c>
      <s:c r="F48" s="5">
        <s:f>IF(AND(B48&gt;0,B48&lt;Inputs!$B$12,MOD(B48,Inputs!$B$25)=0),Inputs!$B$26*(1+Inputs!$B$19)^(B48-1),0)</s:f>
        <s:v>0</s:v>
      </s:c>
      <s:c r="G48" s="5">
        <s:f>IF(A48=Results!$B$5,Inputs!$B$27*(1-Inputs!$B$28),0)</s:f>
        <s:v>0</s:v>
      </s:c>
      <s:c r="H48" s="5">
        <s:f>D48-E48-F48+G48</s:f>
        <s:v>0</s:v>
      </s:c>
      <s:c r="I48" s="5">
        <s:f>1/(1+Inputs!$B$13)^A48</s:f>
        <s:v>0.06853780598971577</s:v>
      </s:c>
      <s:c r="J48" s="5">
        <s:f>H48*I48</s:f>
        <s:v>0.0</s:v>
      </s:c>
      <s:c r="K48" s="5">
        <s:f>K47+H48-G48</s:f>
        <s:v>13269257.783527518</s:v>
      </s:c>
      <s:c r="L48" s="5">
        <s:f>IF(B48&gt;0,Inputs!$B$2*Inputs!$B$14*Inputs!$B$15*(1+Inputs!$B$18)^(B48-1)*I48,0)</s:f>
        <s:v>0</s:v>
      </s:c>
      <s:c r="M48" s="11" t="str">
        <s:f>IF(AND(K48&gt;=0,K47&lt;0),A48-1-K47/(H48-G48),"")</s:f>
        <s:v/>
      </s:c>
      <s:c r="N48" s="11">
        <s:f>N47+J48-G48*I48</s:f>
        <s:v>-2280501.2520845328</s:v>
      </s:c>
      <s:c r="O48" s="11" t="str">
        <s:f>IF(AND(N48&gt;=0,N47&lt;0),A48-1-N47/((H48-G48)*I48),"")</s:f>
        <s:v/>
      </s:c>
    </s:row>
    <s:row r="49" ht="20" customHeight="1">
      <s:c r="A49" s="2" t="n">
        <s:v>47</s:v>
      </s:c>
      <s:c r="B49" s="2">
        <s:f>IF(AND(A49&gt;Results!$B$4,A49&lt;=Results!$B$5),A49-Results!$B$4,0)</s:f>
        <s:v>0</s:v>
      </s:c>
      <s:c r="C49" s="5">
        <s:f>IF(B49&gt;0,Inputs!$B$16*(1+Inputs!$B$18)^(B49-1),0)</s:f>
        <s:v>0</s:v>
      </s:c>
      <s:c r="D49" s="5">
        <s:f>IF(B49&gt;0,Inputs!$B$2*Inputs!$B$14*Inputs!$B$15*C49,0)</s:f>
        <s:v>0</s:v>
      </s:c>
      <s:c r="E49" s="5">
        <s:f>IF(B49&gt;0,(Inputs!$B$20+Inputs!$B$21+Inputs!$B$2*Inputs!$B$14*(Inputs!$B$22+Inputs!$B$23)+(Inputs!$B$2*Inputs!$B$3*Inputs!$B$5+Inputs!$B$6)*Inputs!$B$24)*(1+Inputs!$B$19)^(B49-1),0)</s:f>
        <s:v>0</s:v>
      </s:c>
      <s:c r="F49" s="5">
        <s:f>IF(AND(B49&gt;0,B49&lt;Inputs!$B$12,MOD(B49,Inputs!$B$25)=0),Inputs!$B$26*(1+Inputs!$B$19)^(B49-1),0)</s:f>
        <s:v>0</s:v>
      </s:c>
      <s:c r="G49" s="5">
        <s:f>IF(A49=Results!$B$5,Inputs!$B$27*(1-Inputs!$B$28),0)</s:f>
        <s:v>0</s:v>
      </s:c>
      <s:c r="H49" s="5">
        <s:f>D49-E49-F49+G49</s:f>
        <s:v>0</s:v>
      </s:c>
      <s:c r="I49" s="5">
        <s:f>1/(1+Inputs!$B$13)^A49</s:f>
        <s:v>0.06465830753746771</s:v>
      </s:c>
      <s:c r="J49" s="5">
        <s:f>H49*I49</s:f>
        <s:v>0.0</s:v>
      </s:c>
      <s:c r="K49" s="5">
        <s:f>K48+H49-G49</s:f>
        <s:v>13269257.783527518</s:v>
      </s:c>
      <s:c r="L49" s="5">
        <s:f>IF(B49&gt;0,Inputs!$B$2*Inputs!$B$14*Inputs!$B$15*(1+Inputs!$B$18)^(B49-1)*I49,0)</s:f>
        <s:v>0</s:v>
      </s:c>
      <s:c r="M49" s="11" t="str">
        <s:f>IF(AND(K49&gt;=0,K48&lt;0),A49-1-K48/(H49-G49),"")</s:f>
        <s:v/>
      </s:c>
      <s:c r="N49" s="11">
        <s:f>N48+J49-G49*I49</s:f>
        <s:v>-2280501.2520845328</s:v>
      </s:c>
      <s:c r="O49" s="11" t="str">
        <s:f>IF(AND(N49&gt;=0,N48&lt;0),A49-1-N48/((H49-G49)*I49),"")</s:f>
        <s:v/>
      </s:c>
    </s:row>
    <s:row r="50" ht="20" customHeight="1">
      <s:c r="A50" s="2" t="n">
        <s:v>48</s:v>
      </s:c>
      <s:c r="B50" s="2">
        <s:f>IF(AND(A50&gt;Results!$B$4,A50&lt;=Results!$B$5),A50-Results!$B$4,0)</s:f>
        <s:v>0</s:v>
      </s:c>
      <s:c r="C50" s="5">
        <s:f>IF(B50&gt;0,Inputs!$B$16*(1+Inputs!$B$18)^(B50-1),0)</s:f>
        <s:v>0</s:v>
      </s:c>
      <s:c r="D50" s="5">
        <s:f>IF(B50&gt;0,Inputs!$B$2*Inputs!$B$14*Inputs!$B$15*C50,0)</s:f>
        <s:v>0</s:v>
      </s:c>
      <s:c r="E50" s="5">
        <s:f>IF(B50&gt;0,(Inputs!$B$20+Inputs!$B$21+Inputs!$B$2*Inputs!$B$14*(Inputs!$B$22+Inputs!$B$23)+(Inputs!$B$2*Inputs!$B$3*Inputs!$B$5+Inputs!$B$6)*Inputs!$B$24)*(1+Inputs!$B$19)^(B50-1),0)</s:f>
        <s:v>0</s:v>
      </s:c>
      <s:c r="F50" s="5">
        <s:f>IF(AND(B50&gt;0,B50&lt;Inputs!$B$12,MOD(B50,Inputs!$B$25)=0),Inputs!$B$26*(1+Inputs!$B$19)^(B50-1),0)</s:f>
        <s:v>0</s:v>
      </s:c>
      <s:c r="G50" s="5">
        <s:f>IF(A50=Results!$B$5,Inputs!$B$27*(1-Inputs!$B$28),0)</s:f>
        <s:v>0</s:v>
      </s:c>
      <s:c r="H50" s="5">
        <s:f>D50-E50-F50+G50</s:f>
        <s:v>0</s:v>
      </s:c>
      <s:c r="I50" s="5">
        <s:f>1/(1+Inputs!$B$13)^A50</s:f>
        <s:v>0.060998403337233685</s:v>
      </s:c>
      <s:c r="J50" s="5">
        <s:f>H50*I50</s:f>
        <s:v>0.0</s:v>
      </s:c>
      <s:c r="K50" s="5">
        <s:f>K49+H50-G50</s:f>
        <s:v>13269257.783527518</s:v>
      </s:c>
      <s:c r="L50" s="5">
        <s:f>IF(B50&gt;0,Inputs!$B$2*Inputs!$B$14*Inputs!$B$15*(1+Inputs!$B$18)^(B50-1)*I50,0)</s:f>
        <s:v>0</s:v>
      </s:c>
      <s:c r="M50" s="11" t="str">
        <s:f>IF(AND(K50&gt;=0,K49&lt;0),A50-1-K49/(H50-G50),"")</s:f>
        <s:v/>
      </s:c>
      <s:c r="N50" s="11">
        <s:f>N49+J50-G50*I50</s:f>
        <s:v>-2280501.2520845328</s:v>
      </s:c>
      <s:c r="O50" s="11" t="str">
        <s:f>IF(AND(N50&gt;=0,N49&lt;0),A50-1-N49/((H50-G50)*I50),"")</s:f>
        <s:v/>
      </s:c>
    </s:row>
    <s:row r="51" ht="20" customHeight="1">
      <s:c r="A51" s="2" t="n">
        <s:v>49</s:v>
      </s:c>
      <s:c r="B51" s="2">
        <s:f>IF(AND(A51&gt;Results!$B$4,A51&lt;=Results!$B$5),A51-Results!$B$4,0)</s:f>
        <s:v>0</s:v>
      </s:c>
      <s:c r="C51" s="5">
        <s:f>IF(B51&gt;0,Inputs!$B$16*(1+Inputs!$B$18)^(B51-1),0)</s:f>
        <s:v>0</s:v>
      </s:c>
      <s:c r="D51" s="5">
        <s:f>IF(B51&gt;0,Inputs!$B$2*Inputs!$B$14*Inputs!$B$15*C51,0)</s:f>
        <s:v>0</s:v>
      </s:c>
      <s:c r="E51" s="5">
        <s:f>IF(B51&gt;0,(Inputs!$B$20+Inputs!$B$21+Inputs!$B$2*Inputs!$B$14*(Inputs!$B$22+Inputs!$B$23)+(Inputs!$B$2*Inputs!$B$3*Inputs!$B$5+Inputs!$B$6)*Inputs!$B$24)*(1+Inputs!$B$19)^(B51-1),0)</s:f>
        <s:v>0</s:v>
      </s:c>
      <s:c r="F51" s="5">
        <s:f>IF(AND(B51&gt;0,B51&lt;Inputs!$B$12,MOD(B51,Inputs!$B$25)=0),Inputs!$B$26*(1+Inputs!$B$19)^(B51-1),0)</s:f>
        <s:v>0</s:v>
      </s:c>
      <s:c r="G51" s="5">
        <s:f>IF(A51=Results!$B$5,Inputs!$B$27*(1-Inputs!$B$28),0)</s:f>
        <s:v>0</s:v>
      </s:c>
      <s:c r="H51" s="5">
        <s:f>D51-E51-F51+G51</s:f>
        <s:v>0</s:v>
      </s:c>
      <s:c r="I51" s="5">
        <s:f>1/(1+Inputs!$B$13)^A51</s:f>
        <s:v>0.05754566352569215</s:v>
      </s:c>
      <s:c r="J51" s="5">
        <s:f>H51*I51</s:f>
        <s:v>0.0</s:v>
      </s:c>
      <s:c r="K51" s="5">
        <s:f>K50+H51-G51</s:f>
        <s:v>13269257.783527518</s:v>
      </s:c>
      <s:c r="L51" s="5">
        <s:f>IF(B51&gt;0,Inputs!$B$2*Inputs!$B$14*Inputs!$B$15*(1+Inputs!$B$18)^(B51-1)*I51,0)</s:f>
        <s:v>0</s:v>
      </s:c>
      <s:c r="M51" s="11" t="str">
        <s:f>IF(AND(K51&gt;=0,K50&lt;0),A51-1-K50/(H51-G51),"")</s:f>
        <s:v/>
      </s:c>
      <s:c r="N51" s="11">
        <s:f>N50+J51-G51*I51</s:f>
        <s:v>-2280501.2520845328</s:v>
      </s:c>
      <s:c r="O51" s="11" t="str">
        <s:f>IF(AND(N51&gt;=0,N50&lt;0),A51-1-N50/((H51-G51)*I51),"")</s:f>
        <s:v/>
      </s:c>
    </s:row>
    <s:row r="52" ht="20" customHeight="1">
      <s:c r="A52" s="2" t="n">
        <s:v>50</s:v>
      </s:c>
      <s:c r="B52" s="2">
        <s:f>IF(AND(A52&gt;Results!$B$4,A52&lt;=Results!$B$5),A52-Results!$B$4,0)</s:f>
        <s:v>0</s:v>
      </s:c>
      <s:c r="C52" s="5">
        <s:f>IF(B52&gt;0,Inputs!$B$16*(1+Inputs!$B$18)^(B52-1),0)</s:f>
        <s:v>0</s:v>
      </s:c>
      <s:c r="D52" s="5">
        <s:f>IF(B52&gt;0,Inputs!$B$2*Inputs!$B$14*Inputs!$B$15*C52,0)</s:f>
        <s:v>0</s:v>
      </s:c>
      <s:c r="E52" s="5">
        <s:f>IF(B52&gt;0,(Inputs!$B$20+Inputs!$B$21+Inputs!$B$2*Inputs!$B$14*(Inputs!$B$22+Inputs!$B$23)+(Inputs!$B$2*Inputs!$B$3*Inputs!$B$5+Inputs!$B$6)*Inputs!$B$24)*(1+Inputs!$B$19)^(B52-1),0)</s:f>
        <s:v>0</s:v>
      </s:c>
      <s:c r="F52" s="5">
        <s:f>IF(AND(B52&gt;0,B52&lt;Inputs!$B$12,MOD(B52,Inputs!$B$25)=0),Inputs!$B$26*(1+Inputs!$B$19)^(B52-1),0)</s:f>
        <s:v>0</s:v>
      </s:c>
      <s:c r="G52" s="5">
        <s:f>IF(A52=Results!$B$5,Inputs!$B$27*(1-Inputs!$B$28),0)</s:f>
        <s:v>0</s:v>
      </s:c>
      <s:c r="H52" s="5">
        <s:f>D52-E52-F52+G52</s:f>
        <s:v>0</s:v>
      </s:c>
      <s:c r="I52" s="5">
        <s:f>1/(1+Inputs!$B$13)^A52</s:f>
        <s:v>0.0542883618166907</s:v>
      </s:c>
      <s:c r="J52" s="5">
        <s:f>H52*I52</s:f>
        <s:v>0.0</s:v>
      </s:c>
      <s:c r="K52" s="5">
        <s:f>K51+H52-G52</s:f>
        <s:v>13269257.783527518</s:v>
      </s:c>
      <s:c r="L52" s="5">
        <s:f>IF(B52&gt;0,Inputs!$B$2*Inputs!$B$14*Inputs!$B$15*(1+Inputs!$B$18)^(B52-1)*I52,0)</s:f>
        <s:v>0</s:v>
      </s:c>
      <s:c r="M52" s="11" t="str">
        <s:f>IF(AND(K52&gt;=0,K51&lt;0),A52-1-K51/(H52-G52),"")</s:f>
        <s:v/>
      </s:c>
      <s:c r="N52" s="11">
        <s:f>N51+J52-G52*I52</s:f>
        <s:v>-2280501.2520845328</s:v>
      </s:c>
      <s:c r="O52" s="11" t="str">
        <s:f>IF(AND(N52&gt;=0,N51&lt;0),A52-1-N51/((H52-G52)*I52),"")</s:f>
        <s:v/>
      </s:c>
    </s:row>
    <s:row r="53" ht="20" customHeight="1">
      <s:c r="A53" s="2" t="n">
        <s:v>51</s:v>
      </s:c>
      <s:c r="B53" s="2">
        <s:f>IF(AND(A53&gt;Results!$B$4,A53&lt;=Results!$B$5),A53-Results!$B$4,0)</s:f>
        <s:v>0</s:v>
      </s:c>
      <s:c r="C53" s="5">
        <s:f>IF(B53&gt;0,Inputs!$B$16*(1+Inputs!$B$18)^(B53-1),0)</s:f>
        <s:v>0</s:v>
      </s:c>
      <s:c r="D53" s="5">
        <s:f>IF(B53&gt;0,Inputs!$B$2*Inputs!$B$14*Inputs!$B$15*C53,0)</s:f>
        <s:v>0</s:v>
      </s:c>
      <s:c r="E53" s="5">
        <s:f>IF(B53&gt;0,(Inputs!$B$20+Inputs!$B$21+Inputs!$B$2*Inputs!$B$14*(Inputs!$B$22+Inputs!$B$23)+(Inputs!$B$2*Inputs!$B$3*Inputs!$B$5+Inputs!$B$6)*Inputs!$B$24)*(1+Inputs!$B$19)^(B53-1),0)</s:f>
        <s:v>0</s:v>
      </s:c>
      <s:c r="F53" s="5">
        <s:f>IF(AND(B53&gt;0,B53&lt;Inputs!$B$12,MOD(B53,Inputs!$B$25)=0),Inputs!$B$26*(1+Inputs!$B$19)^(B53-1),0)</s:f>
        <s:v>0</s:v>
      </s:c>
      <s:c r="G53" s="5">
        <s:f>IF(A53=Results!$B$5,Inputs!$B$27*(1-Inputs!$B$28),0)</s:f>
        <s:v>0</s:v>
      </s:c>
      <s:c r="H53" s="5">
        <s:f>D53-E53-F53+G53</s:f>
        <s:v>0</s:v>
      </s:c>
      <s:c r="I53" s="5">
        <s:f>1/(1+Inputs!$B$13)^A53</s:f>
        <s:v>0.05121543567612331</s:v>
      </s:c>
      <s:c r="J53" s="5">
        <s:f>H53*I53</s:f>
        <s:v>0.0</s:v>
      </s:c>
      <s:c r="K53" s="5">
        <s:f>K52+H53-G53</s:f>
        <s:v>13269257.783527518</s:v>
      </s:c>
      <s:c r="L53" s="5">
        <s:f>IF(B53&gt;0,Inputs!$B$2*Inputs!$B$14*Inputs!$B$15*(1+Inputs!$B$18)^(B53-1)*I53,0)</s:f>
        <s:v>0</s:v>
      </s:c>
      <s:c r="M53" s="11" t="str">
        <s:f>IF(AND(K53&gt;=0,K52&lt;0),A53-1-K52/(H53-G53),"")</s:f>
        <s:v/>
      </s:c>
      <s:c r="N53" s="11">
        <s:f>N52+J53-G53*I53</s:f>
        <s:v>-2280501.2520845328</s:v>
      </s:c>
      <s:c r="O53" s="11" t="str">
        <s:f>IF(AND(N53&gt;=0,N52&lt;0),A53-1-N52/((H53-G53)*I53),"")</s:f>
        <s:v/>
      </s:c>
    </s:row>
    <s:row r="54" ht="20" customHeight="1">
      <s:c r="A54" s="2" t="n">
        <s:v>52</s:v>
      </s:c>
      <s:c r="B54" s="2">
        <s:f>IF(AND(A54&gt;Results!$B$4,A54&lt;=Results!$B$5),A54-Results!$B$4,0)</s:f>
        <s:v>0</s:v>
      </s:c>
      <s:c r="C54" s="5">
        <s:f>IF(B54&gt;0,Inputs!$B$16*(1+Inputs!$B$18)^(B54-1),0)</s:f>
        <s:v>0</s:v>
      </s:c>
      <s:c r="D54" s="5">
        <s:f>IF(B54&gt;0,Inputs!$B$2*Inputs!$B$14*Inputs!$B$15*C54,0)</s:f>
        <s:v>0</s:v>
      </s:c>
      <s:c r="E54" s="5">
        <s:f>IF(B54&gt;0,(Inputs!$B$20+Inputs!$B$21+Inputs!$B$2*Inputs!$B$14*(Inputs!$B$22+Inputs!$B$23)+(Inputs!$B$2*Inputs!$B$3*Inputs!$B$5+Inputs!$B$6)*Inputs!$B$24)*(1+Inputs!$B$19)^(B54-1),0)</s:f>
        <s:v>0</s:v>
      </s:c>
      <s:c r="F54" s="5">
        <s:f>IF(AND(B54&gt;0,B54&lt;Inputs!$B$12,MOD(B54,Inputs!$B$25)=0),Inputs!$B$26*(1+Inputs!$B$19)^(B54-1),0)</s:f>
        <s:v>0</s:v>
      </s:c>
      <s:c r="G54" s="5">
        <s:f>IF(A54=Results!$B$5,Inputs!$B$27*(1-Inputs!$B$28),0)</s:f>
        <s:v>0</s:v>
      </s:c>
      <s:c r="H54" s="5">
        <s:f>D54-E54-F54+G54</s:f>
        <s:v>0</s:v>
      </s:c>
      <s:c r="I54" s="5">
        <s:f>1/(1+Inputs!$B$13)^A54</s:f>
        <s:v>0.048316448751059726</s:v>
      </s:c>
      <s:c r="J54" s="5">
        <s:f>H54*I54</s:f>
        <s:v>0.0</s:v>
      </s:c>
      <s:c r="K54" s="5">
        <s:f>K53+H54-G54</s:f>
        <s:v>13269257.783527518</s:v>
      </s:c>
      <s:c r="L54" s="5">
        <s:f>IF(B54&gt;0,Inputs!$B$2*Inputs!$B$14*Inputs!$B$15*(1+Inputs!$B$18)^(B54-1)*I54,0)</s:f>
        <s:v>0</s:v>
      </s:c>
      <s:c r="M54" s="11" t="str">
        <s:f>IF(AND(K54&gt;=0,K53&lt;0),A54-1-K53/(H54-G54),"")</s:f>
        <s:v/>
      </s:c>
      <s:c r="N54" s="11">
        <s:f>N53+J54-G54*I54</s:f>
        <s:v>-2280501.2520845328</s:v>
      </s:c>
      <s:c r="O54" s="11" t="str">
        <s:f>IF(AND(N54&gt;=0,N53&lt;0),A54-1-N53/((H54-G54)*I54),"")</s:f>
        <s:v/>
      </s:c>
    </s:row>
    <s:row r="55" ht="20" customHeight="1">
      <s:c r="A55" s="2" t="n">
        <s:v>53</s:v>
      </s:c>
      <s:c r="B55" s="2">
        <s:f>IF(AND(A55&gt;Results!$B$4,A55&lt;=Results!$B$5),A55-Results!$B$4,0)</s:f>
        <s:v>0</s:v>
      </s:c>
      <s:c r="C55" s="5">
        <s:f>IF(B55&gt;0,Inputs!$B$16*(1+Inputs!$B$18)^(B55-1),0)</s:f>
        <s:v>0</s:v>
      </s:c>
      <s:c r="D55" s="5">
        <s:f>IF(B55&gt;0,Inputs!$B$2*Inputs!$B$14*Inputs!$B$15*C55,0)</s:f>
        <s:v>0</s:v>
      </s:c>
      <s:c r="E55" s="5">
        <s:f>IF(B55&gt;0,(Inputs!$B$20+Inputs!$B$21+Inputs!$B$2*Inputs!$B$14*(Inputs!$B$22+Inputs!$B$23)+(Inputs!$B$2*Inputs!$B$3*Inputs!$B$5+Inputs!$B$6)*Inputs!$B$24)*(1+Inputs!$B$19)^(B55-1),0)</s:f>
        <s:v>0</s:v>
      </s:c>
      <s:c r="F55" s="5">
        <s:f>IF(AND(B55&gt;0,B55&lt;Inputs!$B$12,MOD(B55,Inputs!$B$25)=0),Inputs!$B$26*(1+Inputs!$B$19)^(B55-1),0)</s:f>
        <s:v>0</s:v>
      </s:c>
      <s:c r="G55" s="5">
        <s:f>IF(A55=Results!$B$5,Inputs!$B$27*(1-Inputs!$B$28),0)</s:f>
        <s:v>0</s:v>
      </s:c>
      <s:c r="H55" s="5">
        <s:f>D55-E55-F55+G55</s:f>
        <s:v>0</s:v>
      </s:c>
      <s:c r="I55" s="5">
        <s:f>1/(1+Inputs!$B$13)^A55</s:f>
        <s:v>0.04558155542552804</s:v>
      </s:c>
      <s:c r="J55" s="5">
        <s:f>H55*I55</s:f>
        <s:v>0.0</s:v>
      </s:c>
      <s:c r="K55" s="5">
        <s:f>K54+H55-G55</s:f>
        <s:v>13269257.783527518</s:v>
      </s:c>
      <s:c r="L55" s="5">
        <s:f>IF(B55&gt;0,Inputs!$B$2*Inputs!$B$14*Inputs!$B$15*(1+Inputs!$B$18)^(B55-1)*I55,0)</s:f>
        <s:v>0</s:v>
      </s:c>
      <s:c r="M55" s="11" t="str">
        <s:f>IF(AND(K55&gt;=0,K54&lt;0),A55-1-K54/(H55-G55),"")</s:f>
        <s:v/>
      </s:c>
      <s:c r="N55" s="11">
        <s:f>N54+J55-G55*I55</s:f>
        <s:v>-2280501.2520845328</s:v>
      </s:c>
      <s:c r="O55" s="11" t="str">
        <s:f>IF(AND(N55&gt;=0,N54&lt;0),A55-1-N54/((H55-G55)*I55),"")</s:f>
        <s:v/>
      </s:c>
    </s:row>
    <s:row r="56" ht="20" customHeight="1">
      <s:c r="A56" s="2" t="n">
        <s:v>54</s:v>
      </s:c>
      <s:c r="B56" s="2">
        <s:f>IF(AND(A56&gt;Results!$B$4,A56&lt;=Results!$B$5),A56-Results!$B$4,0)</s:f>
        <s:v>0</s:v>
      </s:c>
      <s:c r="C56" s="5">
        <s:f>IF(B56&gt;0,Inputs!$B$16*(1+Inputs!$B$18)^(B56-1),0)</s:f>
        <s:v>0</s:v>
      </s:c>
      <s:c r="D56" s="5">
        <s:f>IF(B56&gt;0,Inputs!$B$2*Inputs!$B$14*Inputs!$B$15*C56,0)</s:f>
        <s:v>0</s:v>
      </s:c>
      <s:c r="E56" s="5">
        <s:f>IF(B56&gt;0,(Inputs!$B$20+Inputs!$B$21+Inputs!$B$2*Inputs!$B$14*(Inputs!$B$22+Inputs!$B$23)+(Inputs!$B$2*Inputs!$B$3*Inputs!$B$5+Inputs!$B$6)*Inputs!$B$24)*(1+Inputs!$B$19)^(B56-1),0)</s:f>
        <s:v>0</s:v>
      </s:c>
      <s:c r="F56" s="5">
        <s:f>IF(AND(B56&gt;0,B56&lt;Inputs!$B$12,MOD(B56,Inputs!$B$25)=0),Inputs!$B$26*(1+Inputs!$B$19)^(B56-1),0)</s:f>
        <s:v>0</s:v>
      </s:c>
      <s:c r="G56" s="5">
        <s:f>IF(A56=Results!$B$5,Inputs!$B$27*(1-Inputs!$B$28),0)</s:f>
        <s:v>0</s:v>
      </s:c>
      <s:c r="H56" s="5">
        <s:f>D56-E56-F56+G56</s:f>
        <s:v>0</s:v>
      </s:c>
      <s:c r="I56" s="5">
        <s:f>1/(1+Inputs!$B$13)^A56</s:f>
        <s:v>0.04300146738257362</s:v>
      </s:c>
      <s:c r="J56" s="5">
        <s:f>H56*I56</s:f>
        <s:v>0.0</s:v>
      </s:c>
      <s:c r="K56" s="5">
        <s:f>K55+H56-G56</s:f>
        <s:v>13269257.783527518</s:v>
      </s:c>
      <s:c r="L56" s="5">
        <s:f>IF(B56&gt;0,Inputs!$B$2*Inputs!$B$14*Inputs!$B$15*(1+Inputs!$B$18)^(B56-1)*I56,0)</s:f>
        <s:v>0</s:v>
      </s:c>
      <s:c r="M56" s="11" t="str">
        <s:f>IF(AND(K56&gt;=0,K55&lt;0),A56-1-K55/(H56-G56),"")</s:f>
        <s:v/>
      </s:c>
      <s:c r="N56" s="11">
        <s:f>N55+J56-G56*I56</s:f>
        <s:v>-2280501.2520845328</s:v>
      </s:c>
      <s:c r="O56" s="11" t="str">
        <s:f>IF(AND(N56&gt;=0,N55&lt;0),A56-1-N55/((H56-G56)*I56),"")</s:f>
        <s:v/>
      </s:c>
    </s:row>
    <s:row r="57" ht="20" customHeight="1">
      <s:c r="A57" s="2" t="n">
        <s:v>55</s:v>
      </s:c>
      <s:c r="B57" s="2">
        <s:f>IF(AND(A57&gt;Results!$B$4,A57&lt;=Results!$B$5),A57-Results!$B$4,0)</s:f>
        <s:v>0</s:v>
      </s:c>
      <s:c r="C57" s="5">
        <s:f>IF(B57&gt;0,Inputs!$B$16*(1+Inputs!$B$18)^(B57-1),0)</s:f>
        <s:v>0</s:v>
      </s:c>
      <s:c r="D57" s="5">
        <s:f>IF(B57&gt;0,Inputs!$B$2*Inputs!$B$14*Inputs!$B$15*C57,0)</s:f>
        <s:v>0</s:v>
      </s:c>
      <s:c r="E57" s="5">
        <s:f>IF(B57&gt;0,(Inputs!$B$20+Inputs!$B$21+Inputs!$B$2*Inputs!$B$14*(Inputs!$B$22+Inputs!$B$23)+(Inputs!$B$2*Inputs!$B$3*Inputs!$B$5+Inputs!$B$6)*Inputs!$B$24)*(1+Inputs!$B$19)^(B57-1),0)</s:f>
        <s:v>0</s:v>
      </s:c>
      <s:c r="F57" s="5">
        <s:f>IF(AND(B57&gt;0,B57&lt;Inputs!$B$12,MOD(B57,Inputs!$B$25)=0),Inputs!$B$26*(1+Inputs!$B$19)^(B57-1),0)</s:f>
        <s:v>0</s:v>
      </s:c>
      <s:c r="G57" s="5">
        <s:f>IF(A57=Results!$B$5,Inputs!$B$27*(1-Inputs!$B$28),0)</s:f>
        <s:v>0</s:v>
      </s:c>
      <s:c r="H57" s="5">
        <s:f>D57-E57-F57+G57</s:f>
        <s:v>0</s:v>
      </s:c>
      <s:c r="I57" s="5">
        <s:f>1/(1+Inputs!$B$13)^A57</s:f>
        <s:v>0.04056742205903171</s:v>
      </s:c>
      <s:c r="J57" s="5">
        <s:f>H57*I57</s:f>
        <s:v>0.0</s:v>
      </s:c>
      <s:c r="K57" s="5">
        <s:f>K56+H57-G57</s:f>
        <s:v>13269257.783527518</s:v>
      </s:c>
      <s:c r="L57" s="5">
        <s:f>IF(B57&gt;0,Inputs!$B$2*Inputs!$B$14*Inputs!$B$15*(1+Inputs!$B$18)^(B57-1)*I57,0)</s:f>
        <s:v>0</s:v>
      </s:c>
      <s:c r="M57" s="11" t="str">
        <s:f>IF(AND(K57&gt;=0,K56&lt;0),A57-1-K56/(H57-G57),"")</s:f>
        <s:v/>
      </s:c>
      <s:c r="N57" s="11">
        <s:f>N56+J57-G57*I57</s:f>
        <s:v>-2280501.2520845328</s:v>
      </s:c>
      <s:c r="O57" s="11" t="str">
        <s:f>IF(AND(N57&gt;=0,N56&lt;0),A57-1-N56/((H57-G57)*I57),"")</s:f>
        <s:v/>
      </s:c>
    </s:row>
    <s:row r="58" ht="20" customHeight="1">
      <s:c r="A58" s="2" t="n">
        <s:v>56</s:v>
      </s:c>
      <s:c r="B58" s="2">
        <s:f>IF(AND(A58&gt;Results!$B$4,A58&lt;=Results!$B$5),A58-Results!$B$4,0)</s:f>
        <s:v>0</s:v>
      </s:c>
      <s:c r="C58" s="5">
        <s:f>IF(B58&gt;0,Inputs!$B$16*(1+Inputs!$B$18)^(B58-1),0)</s:f>
        <s:v>0</s:v>
      </s:c>
      <s:c r="D58" s="5">
        <s:f>IF(B58&gt;0,Inputs!$B$2*Inputs!$B$14*Inputs!$B$15*C58,0)</s:f>
        <s:v>0</s:v>
      </s:c>
      <s:c r="E58" s="5">
        <s:f>IF(B58&gt;0,(Inputs!$B$20+Inputs!$B$21+Inputs!$B$2*Inputs!$B$14*(Inputs!$B$22+Inputs!$B$23)+(Inputs!$B$2*Inputs!$B$3*Inputs!$B$5+Inputs!$B$6)*Inputs!$B$24)*(1+Inputs!$B$19)^(B58-1),0)</s:f>
        <s:v>0</s:v>
      </s:c>
      <s:c r="F58" s="5">
        <s:f>IF(AND(B58&gt;0,B58&lt;Inputs!$B$12,MOD(B58,Inputs!$B$25)=0),Inputs!$B$26*(1+Inputs!$B$19)^(B58-1),0)</s:f>
        <s:v>0</s:v>
      </s:c>
      <s:c r="G58" s="5">
        <s:f>IF(A58=Results!$B$5,Inputs!$B$27*(1-Inputs!$B$28),0)</s:f>
        <s:v>0</s:v>
      </s:c>
      <s:c r="H58" s="5">
        <s:f>D58-E58-F58+G58</s:f>
        <s:v>0</s:v>
      </s:c>
      <s:c r="I58" s="5">
        <s:f>1/(1+Inputs!$B$13)^A58</s:f>
        <s:v>0.03827115288587897</s:v>
      </s:c>
      <s:c r="J58" s="5">
        <s:f>H58*I58</s:f>
        <s:v>0.0</s:v>
      </s:c>
      <s:c r="K58" s="5">
        <s:f>K57+H58-G58</s:f>
        <s:v>13269257.783527518</s:v>
      </s:c>
      <s:c r="L58" s="5">
        <s:f>IF(B58&gt;0,Inputs!$B$2*Inputs!$B$14*Inputs!$B$15*(1+Inputs!$B$18)^(B58-1)*I58,0)</s:f>
        <s:v>0</s:v>
      </s:c>
      <s:c r="M58" s="11" t="str">
        <s:f>IF(AND(K58&gt;=0,K57&lt;0),A58-1-K57/(H58-G58),"")</s:f>
        <s:v/>
      </s:c>
      <s:c r="N58" s="11">
        <s:f>N57+J58-G58*I58</s:f>
        <s:v>-2280501.2520845328</s:v>
      </s:c>
      <s:c r="O58" s="11" t="str">
        <s:f>IF(AND(N58&gt;=0,N57&lt;0),A58-1-N57/((H58-G58)*I58),"")</s:f>
        <s:v/>
      </s:c>
    </s:row>
    <s:row r="59" ht="20" customHeight="1">
      <s:c r="A59" s="2" t="n">
        <s:v>57</s:v>
      </s:c>
      <s:c r="B59" s="2">
        <s:f>IF(AND(A59&gt;Results!$B$4,A59&lt;=Results!$B$5),A59-Results!$B$4,0)</s:f>
        <s:v>0</s:v>
      </s:c>
      <s:c r="C59" s="5">
        <s:f>IF(B59&gt;0,Inputs!$B$16*(1+Inputs!$B$18)^(B59-1),0)</s:f>
        <s:v>0</s:v>
      </s:c>
      <s:c r="D59" s="5">
        <s:f>IF(B59&gt;0,Inputs!$B$2*Inputs!$B$14*Inputs!$B$15*C59,0)</s:f>
        <s:v>0</s:v>
      </s:c>
      <s:c r="E59" s="5">
        <s:f>IF(B59&gt;0,(Inputs!$B$20+Inputs!$B$21+Inputs!$B$2*Inputs!$B$14*(Inputs!$B$22+Inputs!$B$23)+(Inputs!$B$2*Inputs!$B$3*Inputs!$B$5+Inputs!$B$6)*Inputs!$B$24)*(1+Inputs!$B$19)^(B59-1),0)</s:f>
        <s:v>0</s:v>
      </s:c>
      <s:c r="F59" s="5">
        <s:f>IF(AND(B59&gt;0,B59&lt;Inputs!$B$12,MOD(B59,Inputs!$B$25)=0),Inputs!$B$26*(1+Inputs!$B$19)^(B59-1),0)</s:f>
        <s:v>0</s:v>
      </s:c>
      <s:c r="G59" s="5">
        <s:f>IF(A59=Results!$B$5,Inputs!$B$27*(1-Inputs!$B$28),0)</s:f>
        <s:v>0</s:v>
      </s:c>
      <s:c r="H59" s="5">
        <s:f>D59-E59-F59+G59</s:f>
        <s:v>0</s:v>
      </s:c>
      <s:c r="I59" s="5">
        <s:f>1/(1+Inputs!$B$13)^A59</s:f>
        <s:v>0.03610486121309337</s:v>
      </s:c>
      <s:c r="J59" s="5">
        <s:f>H59*I59</s:f>
        <s:v>0.0</s:v>
      </s:c>
      <s:c r="K59" s="5">
        <s:f>K58+H59-G59</s:f>
        <s:v>13269257.783527518</s:v>
      </s:c>
      <s:c r="L59" s="5">
        <s:f>IF(B59&gt;0,Inputs!$B$2*Inputs!$B$14*Inputs!$B$15*(1+Inputs!$B$18)^(B59-1)*I59,0)</s:f>
        <s:v>0</s:v>
      </s:c>
      <s:c r="M59" s="11" t="str">
        <s:f>IF(AND(K59&gt;=0,K58&lt;0),A59-1-K58/(H59-G59),"")</s:f>
        <s:v/>
      </s:c>
      <s:c r="N59" s="11">
        <s:f>N58+J59-G59*I59</s:f>
        <s:v>-2280501.2520845328</s:v>
      </s:c>
      <s:c r="O59" s="11" t="str">
        <s:f>IF(AND(N59&gt;=0,N58&lt;0),A59-1-N58/((H59-G59)*I59),"")</s:f>
        <s:v/>
      </s:c>
    </s:row>
    <s:row r="60" ht="20" customHeight="1">
      <s:c r="A60" s="2" t="n">
        <s:v>58</s:v>
      </s:c>
      <s:c r="B60" s="2">
        <s:f>IF(AND(A60&gt;Results!$B$4,A60&lt;=Results!$B$5),A60-Results!$B$4,0)</s:f>
        <s:v>0</s:v>
      </s:c>
      <s:c r="C60" s="5">
        <s:f>IF(B60&gt;0,Inputs!$B$16*(1+Inputs!$B$18)^(B60-1),0)</s:f>
        <s:v>0</s:v>
      </s:c>
      <s:c r="D60" s="5">
        <s:f>IF(B60&gt;0,Inputs!$B$2*Inputs!$B$14*Inputs!$B$15*C60,0)</s:f>
        <s:v>0</s:v>
      </s:c>
      <s:c r="E60" s="5">
        <s:f>IF(B60&gt;0,(Inputs!$B$20+Inputs!$B$21+Inputs!$B$2*Inputs!$B$14*(Inputs!$B$22+Inputs!$B$23)+(Inputs!$B$2*Inputs!$B$3*Inputs!$B$5+Inputs!$B$6)*Inputs!$B$24)*(1+Inputs!$B$19)^(B60-1),0)</s:f>
        <s:v>0</s:v>
      </s:c>
      <s:c r="F60" s="5">
        <s:f>IF(AND(B60&gt;0,B60&lt;Inputs!$B$12,MOD(B60,Inputs!$B$25)=0),Inputs!$B$26*(1+Inputs!$B$19)^(B60-1),0)</s:f>
        <s:v>0</s:v>
      </s:c>
      <s:c r="G60" s="5">
        <s:f>IF(A60=Results!$B$5,Inputs!$B$27*(1-Inputs!$B$28),0)</s:f>
        <s:v>0</s:v>
      </s:c>
      <s:c r="H60" s="5">
        <s:f>D60-E60-F60+G60</s:f>
        <s:v>0</s:v>
      </s:c>
      <s:c r="I60" s="5">
        <s:f>1/(1+Inputs!$B$13)^A60</s:f>
        <s:v>0.03406118982367299</s:v>
      </s:c>
      <s:c r="J60" s="5">
        <s:f>H60*I60</s:f>
        <s:v>0.0</s:v>
      </s:c>
      <s:c r="K60" s="5">
        <s:f>K59+H60-G60</s:f>
        <s:v>13269257.783527518</s:v>
      </s:c>
      <s:c r="L60" s="5">
        <s:f>IF(B60&gt;0,Inputs!$B$2*Inputs!$B$14*Inputs!$B$15*(1+Inputs!$B$18)^(B60-1)*I60,0)</s:f>
        <s:v>0</s:v>
      </s:c>
      <s:c r="M60" s="11" t="str">
        <s:f>IF(AND(K60&gt;=0,K59&lt;0),A60-1-K59/(H60-G60),"")</s:f>
        <s:v/>
      </s:c>
      <s:c r="N60" s="11">
        <s:f>N59+J60-G60*I60</s:f>
        <s:v>-2280501.2520845328</s:v>
      </s:c>
      <s:c r="O60" s="11" t="str">
        <s:f>IF(AND(N60&gt;=0,N59&lt;0),A60-1-N59/((H60-G60)*I60),"")</s:f>
        <s:v/>
      </s:c>
    </s:row>
    <s:row r="61" ht="20" customHeight="1">
      <s:c r="A61" s="2" t="n">
        <s:v>59</s:v>
      </s:c>
      <s:c r="B61" s="2">
        <s:f>IF(AND(A61&gt;Results!$B$4,A61&lt;=Results!$B$5),A61-Results!$B$4,0)</s:f>
        <s:v>0</s:v>
      </s:c>
      <s:c r="C61" s="5">
        <s:f>IF(B61&gt;0,Inputs!$B$16*(1+Inputs!$B$18)^(B61-1),0)</s:f>
        <s:v>0</s:v>
      </s:c>
      <s:c r="D61" s="5">
        <s:f>IF(B61&gt;0,Inputs!$B$2*Inputs!$B$14*Inputs!$B$15*C61,0)</s:f>
        <s:v>0</s:v>
      </s:c>
      <s:c r="E61" s="5">
        <s:f>IF(B61&gt;0,(Inputs!$B$20+Inputs!$B$21+Inputs!$B$2*Inputs!$B$14*(Inputs!$B$22+Inputs!$B$23)+(Inputs!$B$2*Inputs!$B$3*Inputs!$B$5+Inputs!$B$6)*Inputs!$B$24)*(1+Inputs!$B$19)^(B61-1),0)</s:f>
        <s:v>0</s:v>
      </s:c>
      <s:c r="F61" s="5">
        <s:f>IF(AND(B61&gt;0,B61&lt;Inputs!$B$12,MOD(B61,Inputs!$B$25)=0),Inputs!$B$26*(1+Inputs!$B$19)^(B61-1),0)</s:f>
        <s:v>0</s:v>
      </s:c>
      <s:c r="G61" s="5">
        <s:f>IF(A61=Results!$B$5,Inputs!$B$27*(1-Inputs!$B$28),0)</s:f>
        <s:v>0</s:v>
      </s:c>
      <s:c r="H61" s="5">
        <s:f>D61-E61-F61+G61</s:f>
        <s:v>0</s:v>
      </s:c>
      <s:c r="I61" s="5">
        <s:f>1/(1+Inputs!$B$13)^A61</s:f>
        <s:v>0.03213319794686131</s:v>
      </s:c>
      <s:c r="J61" s="5">
        <s:f>H61*I61</s:f>
        <s:v>0.0</s:v>
      </s:c>
      <s:c r="K61" s="5">
        <s:f>K60+H61-G61</s:f>
        <s:v>13269257.783527518</s:v>
      </s:c>
      <s:c r="L61" s="5">
        <s:f>IF(B61&gt;0,Inputs!$B$2*Inputs!$B$14*Inputs!$B$15*(1+Inputs!$B$18)^(B61-1)*I61,0)</s:f>
        <s:v>0</s:v>
      </s:c>
      <s:c r="M61" s="11" t="str">
        <s:f>IF(AND(K61&gt;=0,K60&lt;0),A61-1-K60/(H61-G61),"")</s:f>
        <s:v/>
      </s:c>
      <s:c r="N61" s="11">
        <s:f>N60+J61-G61*I61</s:f>
        <s:v>-2280501.2520845328</s:v>
      </s:c>
      <s:c r="O61" s="11" t="str">
        <s:f>IF(AND(N61&gt;=0,N60&lt;0),A61-1-N60/((H61-G61)*I61),"")</s:f>
        <s:v/>
      </s:c>
    </s:row>
    <s:row r="62" ht="20" customHeight="1">
      <s:c r="A62" s="2" t="n">
        <s:v>60</s:v>
      </s:c>
      <s:c r="B62" s="2">
        <s:f>IF(AND(A62&gt;Results!$B$4,A62&lt;=Results!$B$5),A62-Results!$B$4,0)</s:f>
        <s:v>0</s:v>
      </s:c>
      <s:c r="C62" s="5">
        <s:f>IF(B62&gt;0,Inputs!$B$16*(1+Inputs!$B$18)^(B62-1),0)</s:f>
        <s:v>0</s:v>
      </s:c>
      <s:c r="D62" s="5">
        <s:f>IF(B62&gt;0,Inputs!$B$2*Inputs!$B$14*Inputs!$B$15*C62,0)</s:f>
        <s:v>0</s:v>
      </s:c>
      <s:c r="E62" s="5">
        <s:f>IF(B62&gt;0,(Inputs!$B$20+Inputs!$B$21+Inputs!$B$2*Inputs!$B$14*(Inputs!$B$22+Inputs!$B$23)+(Inputs!$B$2*Inputs!$B$3*Inputs!$B$5+Inputs!$B$6)*Inputs!$B$24)*(1+Inputs!$B$19)^(B62-1),0)</s:f>
        <s:v>0</s:v>
      </s:c>
      <s:c r="F62" s="5">
        <s:f>IF(AND(B62&gt;0,B62&lt;Inputs!$B$12,MOD(B62,Inputs!$B$25)=0),Inputs!$B$26*(1+Inputs!$B$19)^(B62-1),0)</s:f>
        <s:v>0</s:v>
      </s:c>
      <s:c r="G62" s="5">
        <s:f>IF(A62=Results!$B$5,Inputs!$B$27*(1-Inputs!$B$28),0)</s:f>
        <s:v>0</s:v>
      </s:c>
      <s:c r="H62" s="5">
        <s:f>D62-E62-F62+G62</s:f>
        <s:v>0</s:v>
      </s:c>
      <s:c r="I62" s="5">
        <s:f>1/(1+Inputs!$B$13)^A62</s:f>
        <s:v>0.030314337685718208</s:v>
      </s:c>
      <s:c r="J62" s="5">
        <s:f>H62*I62</s:f>
        <s:v>0.0</s:v>
      </s:c>
      <s:c r="K62" s="5">
        <s:f>K61+H62-G62</s:f>
        <s:v>13269257.783527518</s:v>
      </s:c>
      <s:c r="L62" s="5">
        <s:f>IF(B62&gt;0,Inputs!$B$2*Inputs!$B$14*Inputs!$B$15*(1+Inputs!$B$18)^(B62-1)*I62,0)</s:f>
        <s:v>0</s:v>
      </s:c>
      <s:c r="M62" s="11" t="str">
        <s:f>IF(AND(K62&gt;=0,K61&lt;0),A62-1-K61/(H62-G62),"")</s:f>
        <s:v/>
      </s:c>
      <s:c r="N62" s="11">
        <s:f>N61+J62-G62*I62</s:f>
        <s:v>-2280501.2520845328</s:v>
      </s:c>
      <s:c r="O62" s="11" t="str">
        <s:f>IF(AND(N62&gt;=0,N61&lt;0),A62-1-N61/((H62-G62)*I62),"")</s:f>
        <s:v/>
      </s:c>
    </s:row>
  </s:sheetData>
  <s:autoFilter ref="A1:L62"/>
  <s:pageMargins left="0.75" right="0.75" top="1" bottom="1" header="0.5" footer="0.5"/>
</s:worksheet>
</file>

<file path=xl/worksheets/sheet4.xml><?xml version="1.0" encoding="utf-8"?>
<s:worksheet xmlns:r="http://schemas.openxmlformats.org/officeDocument/2006/relationships" xmlns:s="http://schemas.openxmlformats.org/spreadsheetml/2006/main">
  <s:sheetPr>
    <s:outlinePr summaryBelow="1" summaryRight="1"/>
    <s:pageSetUpPr/>
  </s:sheetPr>
  <s:dimension ref="A1:C24"/>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9" customWidth="1" min="1" max="1"/>
    <s:col width="34" customWidth="1" min="2" max="2"/>
    <s:col width="7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Metric</s:t>
        </s:is>
      </s:c>
      <s:c r="B1" s="1" t="inlineStr">
        <s:is>
          <s:t>Value</s:t>
        </s:is>
      </s:c>
      <s:c r="C1" s="1" t="inlineStr">
        <s:is>
          <s:t>Interpretation</s:t>
        </s:is>
      </s:c>
    </s:row>
    <s:row r="2" ht="32" customHeight="1">
      <s:c r="A2" s="2" t="inlineStr">
        <s:is>
          <s:t>Gross initial investment</s:t>
        </s:is>
      </s:c>
      <s:c r="B2" s="12">
        <s:f>Inputs!$B$4+Inputs!$B$2*Inputs!$B$3*Inputs!$B$5+Inputs!$B$6+(Inputs!$B$2*Inputs!$B$3*Inputs!$B$5+Inputs!$B$6)*Inputs!$B$7+(Inputs!$B$2*Inputs!$B$3*Inputs!$B$5+Inputs!$B$6)*(1+Inputs!$B$7)*Inputs!$B$8+Inputs!$B$9</s:f>
        <s:v>8944000.000000002</s:v>
      </s:c>
      <s:c r="C2" s="2" t="inlineStr">
        <s:is>
          <s:t>Includes contingency; no subsidy deduction</s:t>
        </s:is>
      </s:c>
    </s:row>
    <s:row r="3" ht="32" customHeight="1">
      <s:c r="A3" s="2" t="inlineStr">
        <s:is>
          <s:t>Investor initial cash</s:t>
        </s:is>
      </s:c>
      <s:c r="B3" s="12">
        <s:f>B2-Inputs!$B$10</s:f>
        <s:v>8944000.000000002</s:v>
      </s:c>
      <s:c r="C3" s="2" t="inlineStr">
        <s:is>
          <s:t>Gross investment less committed upfront subsidy</s:t>
        </s:is>
      </s:c>
    </s:row>
    <s:row r="4" ht="32" customHeight="1">
      <s:c r="A4" s="2" t="inlineStr">
        <s:is>
          <s:t>Construction years</s:t>
        </s:is>
      </s:c>
      <s:c r="B4" s="13">
        <s:f>ROUNDUP(Inputs!$B$11/12,0)</s:f>
        <s:v>2</s:v>
      </s:c>
      <s:c r="C4" s="2" t="inlineStr">
        <s:is>
          <s:t>Conservative rounding; full-year operating model</s:t>
        </s:is>
      </s:c>
    </s:row>
    <s:row r="5" ht="32" customHeight="1">
      <s:c r="A5" s="2" t="inlineStr">
        <s:is>
          <s:t>Final cash-flow year</s:t>
        </s:is>
      </s:c>
      <s:c r="B5" s="13">
        <s:f>B4+Inputs!$B$12</s:f>
        <s:v>42</s:v>
      </s:c>
      <s:c r="C5" s="2" t="inlineStr">
        <s:is>
          <s:t>Construction + operating life</s:t>
        </s:is>
      </s:c>
    </s:row>
    <s:row r="6" ht="32" customHeight="1">
      <s:c r="A6" s="2" t="inlineStr">
        <s:is>
          <s:t>NPV</s:t>
        </s:is>
      </s:c>
      <s:c r="B6" s="12">
        <s:f>SUM('Cash flow'!J2:J62)</s:f>
        <s:v>-2280501.2520845328</s:v>
      </s:c>
      <s:c r="C6" s="2" t="inlineStr">
        <s:is>
          <s:t>Project NPV including terminal value</s:t>
        </s:is>
      </s:c>
    </s:row>
    <s:row r="7" ht="32" customHeight="1">
      <s:c r="A7" s="2" t="inlineStr">
        <s:is>
          <s:t>IRR</s:t>
        </s:is>
      </s:c>
      <s:c r="B7" s="7">
        <s:f>IFERROR(IRR('Cash flow'!H2:H62),"No IRR")</s:f>
        <s:v>0.042735163807934406</s:v>
      </s:c>
      <s:c r="C7" s="2" t="inlineStr">
        <s:is>
          <s:t>Annual project IRR; check sign changes</s:t>
        </s:is>
      </s:c>
    </s:row>
    <s:row r="8" ht="32" customHeight="1">
      <s:c r="A8" s="2" t="inlineStr">
        <s:is>
          <s:t>Simple PBP (years)</s:t>
        </s:is>
      </s:c>
      <s:c r="B8" s="13">
        <s:f>IF(COUNT('Cash flow'!M3:M62)&gt;0,MIN('Cash flow'!M3:M62),"Not recovered")</s:f>
        <s:v>21.286046031105062</s:v>
      </s:c>
      <s:c r="C8" s="2" t="inlineStr">
        <s:is>
          <s:t>From time 0; interpolated annual cash; excludes terminal sale</s:t>
        </s:is>
      </s:c>
    </s:row>
    <s:row r="9" ht="32" customHeight="1">
      <s:c r="A9" s="2" t="inlineStr">
        <s:is>
          <s:t>Student price P</s:t>
        </s:is>
      </s:c>
      <s:c r="B9" s="12">
        <s:f>Inputs!$B$16</s:f>
        <s:v>600</s:v>
      </s:c>
      <s:c r="C9" s="2" t="inlineStr">
        <s:is>
          <s:t>Initial monthly all-in rent</s:t>
        </s:is>
      </s:c>
    </s:row>
    <s:row r="10" ht="32" customHeight="1">
      <s:c r="A10" s="2" t="inlineStr">
        <s:is>
          <s:t>Student affordability cap</s:t>
        </s:is>
      </s:c>
      <s:c r="B10" s="12">
        <s:f>Inputs!$B$17</s:f>
        <s:v>650</s:v>
      </s:c>
      <s:c r="C10" s="2" t="inlineStr">
        <s:is>
          <s:t>Editable student budget threshold</s:t>
        </s:is>
      </s:c>
    </s:row>
    <s:row r="11" ht="32" customHeight="1">
      <s:c r="A11" s="2" t="inlineStr">
        <s:is>
          <s:t>Required initial rent for NPV = 0</s:t>
        </s:is>
      </s:c>
      <s:c r="B11" s="12">
        <s:f>MAX(0,(Inputs!$B$16*SUM('Cash flow'!L3:L62)-B6)/SUM('Cash flow'!L3:L62))</s:f>
        <s:v>714.4841184943983</s:v>
      </s:c>
      <s:c r="C11" s="2" t="inlineStr">
        <s:is>
          <s:t>Investor break-even price given all other inputs</s:t>
        </s:is>
      </s:c>
    </s:row>
    <s:row r="12" ht="32" customHeight="1">
      <s:c r="A12" s="2" t="inlineStr">
        <s:is>
          <s:t>NPV at affordability cap</s:t>
        </s:is>
      </s:c>
      <s:c r="B12" s="12">
        <s:f>B6+(Inputs!$B$17-Inputs!$B$16)*SUM('Cash flow'!L3:L62)</s:f>
        <s:v>-1284511.0300014073</s:v>
      </s:c>
      <s:c r="C12" s="2" t="inlineStr">
        <s:is>
          <s:t>Feasibility under student cap</s:t>
        </s:is>
      </s:c>
    </s:row>
    <s:row r="13" ht="32" customHeight="1">
      <s:c r="A13" s="2" t="inlineStr">
        <s:is>
          <s:t>Upfront subsidy needed at cap</s:t>
        </s:is>
      </s:c>
      <s:c r="B13" s="12">
        <s:f>MAX(0,-B12)</s:f>
        <s:v>1284511.0300014073</s:v>
      </s:c>
      <s:c r="C13" s="2" t="inlineStr">
        <s:is>
          <s:t>Additional time-0 grant / cost reduction required</s:t>
        </s:is>
      </s:c>
    </s:row>
    <s:row r="14" ht="32" customHeight="1">
      <s:c r="A14" s="2" t="inlineStr">
        <s:is>
          <s:t>Maximum investor capital at cap</s:t>
        </s:is>
      </s:c>
      <s:c r="B14" s="12">
        <s:f>B3+B12</s:f>
        <s:v>7659488.969998594</s:v>
      </s:c>
      <s:c r="C14" s="2" t="inlineStr">
        <s:is>
          <s:t>PV of future net cash flows at capped rent</s:t>
        </s:is>
      </s:c>
    </s:row>
    <s:row r="15" ht="32" customHeight="1">
      <s:c r="A15" s="2" t="inlineStr">
        <s:is>
          <s:t>Joint feasibility</s:t>
        </s:is>
      </s:c>
      <s:c r="B15" s="14" t="str">
        <s:f>IF(B11&lt;=B10,"Feasible under assumptions","Funding / cost gap")</s:f>
        <s:v>Funding / cost gap</s:v>
      </s:c>
      <s:c r="C15" s="2" t="inlineStr">
        <s:is>
          <s:t>A positive gap cannot be solved by choosing an arbitrary rent</s:t>
        </s:is>
      </s:c>
    </s:row>
    <s:row r="16" ht="32" customHeight="1">
      <s:c r="A16" s="2" t="inlineStr">
        <s:is>
          <s:t>Recommended student price</s:t>
        </s:is>
      </s:c>
      <s:c r="B16" s="14" t="str">
        <s:f>IF(B11&lt;=B10,B11,"No feasible price under cap")</s:f>
        <s:v>No feasible price under cap</s:v>
      </s:c>
      <s:c r="C16" s="2" t="inlineStr">
        <s:is>
          <s:t>Lowest price meeting NPV &gt;= 0 at selected discount rate</s:t>
        </s:is>
      </s:c>
    </s:row>
    <s:row r="17" ht="32" customHeight="1">
      <s:c r="A17" s="2" t="inlineStr">
        <s:is>
          <s:t>First full operating year</s:t>
        </s:is>
      </s:c>
      <s:c r="B17" s="13">
        <s:f>B4+1</s:f>
        <s:v>3</s:v>
      </s:c>
      <s:c r="C17" s="2" t="inlineStr">
        <s:is>
          <s:t>Minimum safe planning time requires site and permit evidence</s:t>
        </s:is>
      </s:c>
    </s:row>
    <s:row r="18">
      <s:c r="A18" t="inlineStr">
        <s:is>
          <s:t>Input check</s:t>
        </s:is>
      </s:c>
      <s:c r="B18" t="str">
        <s:f>IF(AND(Inputs!B10&lt;=B2,Inputs!B14&gt;0,B5&lt;=60),"OK","CHECK subsidy, occupancy or horizon")</s:f>
        <s:v>OK</s:v>
      </s:c>
      <s:c r="C18" t="inlineStr">
        <s:is>
          <s:t>Subsidy must not exceed gross investment; positive occupancy required</s:t>
        </s:is>
      </s:c>
    </s:row>
    <s:row r="19">
      <s:c r="A19" t="inlineStr">
        <s:is>
          <s:t>Discounted PBP (years)</s:t>
        </s:is>
      </s:c>
      <s:c r="B19" s="15" t="str">
        <s:f>IF(COUNT('Cash flow'!O3:O62)&gt;0,MIN('Cash flow'!O3:O62),"Not recovered")</s:f>
        <s:v>Not recovered</s:v>
      </s:c>
      <s:c r="C19" t="inlineStr">
        <s:is>
          <s:t>Discounted at project hurdle; excludes terminal sale</s:t>
        </s:is>
      </s:c>
    </s:row>
    <s:row r="20">
      <s:c r="A20" t="inlineStr">
        <s:is>
          <s:t>Capital per room</s:t>
        </s:is>
      </s:c>
      <s:c r="B20" s="16">
        <s:f>B2/'Inputs'!B2</s:f>
        <s:v>89440.00000000001</s:v>
      </s:c>
      <s:c r="C20" t="inlineStr">
        <s:is>
          <s:t>Gross investment / room, including allocated common area and land</s:t>
        </s:is>
      </s:c>
    </s:row>
    <s:row r="21">
      <s:c r="A21" t="inlineStr">
        <s:is>
          <s:t>Shortest construction scenario</s:t>
        </s:is>
      </s:c>
      <s:c r="B21" s="15">
        <s:f>MIN(Scenarios!D2:D4)</s:f>
        <s:v>12</s:v>
      </s:c>
      <s:c r="C21" t="inlineStr">
        <s:is>
          <s:t>Months, only within the assumed scenarios; not a validated project schedule</s:t>
        </s:is>
      </s:c>
    </s:row>
    <s:row r="22">
      <s:c r="A22" t="inlineStr">
        <s:is>
          <s:t>Longest useful-life scenario</s:t>
        </s:is>
      </s:c>
      <s:c r="B22" s="15">
        <s:f>MAX(Scenarios!F2:F4)</s:f>
        <s:v>50</s:v>
      </s:c>
      <s:c r="C22" t="inlineStr">
        <s:is>
          <s:t>Operating years, only within scenarios; needs engineering validation</s:t>
        </s:is>
      </s:c>
    </s:row>
    <s:row r="23">
      <s:c r="A23" t="inlineStr">
        <s:is>
          <s:t>Investment recommendation</s:t>
        </s:is>
      </s:c>
      <s:c r="B23" t="str">
        <s:f>IF(B12&gt;=0,"Proceed to project-specific due diligence","Revise cost / secure subsidy before proceeding")</s:f>
        <s:v>Revise cost / secure subsidy before proceeding</s:v>
      </s:c>
      <s:c r="C23" t="inlineStr">
        <s:is>
          <s:t>Conditional result, not a verified investment decision</s:t>
        </s:is>
      </s:c>
    </s:row>
    <s:row r="24" ht="60" customHeight="1">
      <s:c r="A24" t="inlineStr">
        <s:is>
          <s:t>Lowest feasible scenario capital</s:t>
        </s:is>
      </s:c>
      <s:c r="B24" s="16">
        <s:f>IF(MAX(Scenarios!K2:K4)&lt;0,"No feasible scenario",MIN(IF(Scenarios!K2&gt;=0,Scenarios!G2,1E+99),IF(Scenarios!K3&gt;=0,Scenarios!G3,1E+99),IF(Scenarios!K4&gt;=0,Scenarios!G4,1E+99)))</s:f>
        <s:v>7855000.000000002</s:v>
      </s:c>
      <s:c r="C24" t="inlineStr">
        <s:is>
          <s:t>Minimum only among illustrative scenarios meeting NPV &gt;= 0 at affordability cap. Design feasibility and quality must be independently confirmed.</s:t>
        </s:is>
      </s:c>
    </s:row>
  </s:sheetData>
  <s:autoFilter ref="A1:C17"/>
  <s:conditionalFormatting sqref="B6">
    <s:cfRule type="cellIs" priority="1" operator="lessThan" dxfId="0">
      <s:formula>0</s:formula>
    </s:cfRule>
    <s:cfRule type="cellIs" priority="2" operator="greaterThanOrEqual" dxfId="1">
      <s:formula>0</s:formula>
    </s:cfRule>
  </s:conditionalFormatting>
  <s:conditionalFormatting sqref="B12">
    <s:cfRule type="cellIs" priority="3" operator="lessThan" dxfId="0">
      <s:formula>0</s:formula>
    </s:cfRule>
    <s:cfRule type="cellIs" priority="4" operator="greaterThanOrEqual" dxfId="1">
      <s:formula>0</s:formula>
    </s:cfRule>
  </s:conditionalFormatting>
  <s:pageMargins left="0.75" right="0.75" top="1" bottom="1" header="0.5" footer="0.5"/>
  <s:drawing r:id="rId1"/>
</s:worksheet>
</file>

<file path=xl/worksheets/sheet5.xml><?xml version="1.0" encoding="utf-8"?>
<s:worksheet xmlns:r="http://schemas.openxmlformats.org/officeDocument/2006/relationships" xmlns:s="http://schemas.openxmlformats.org/spreadsheetml/2006/main">
  <s:sheetPr>
    <s:outlinePr summaryBelow="1" summaryRight="1"/>
    <s:pageSetUpPr/>
  </s:sheetPr>
  <s:dimension ref="A1:D5"/>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5" customWidth="1" min="1" max="1"/>
    <s:col width="65" customWidth="1" min="2" max="2"/>
    <s:col width="45" customWidth="1" min="3" max="3"/>
    <s:col width="75" customWidth="1" min="4" max="4"/>
  </s:cols>
  <s:sheetData>
    <s:row r="1">
      <s:c r="A1" s="1" t="inlineStr">
        <s:is>
          <s:t>Source</s:t>
        </s:is>
      </s:c>
      <s:c r="B1" s="1" t="inlineStr">
        <s:is>
          <s:t>URL</s:t>
        </s:is>
      </s:c>
      <s:c r="C1" s="1" t="inlineStr">
        <s:is>
          <s:t>Verified / published</s:t>
        </s:is>
      </s:c>
      <s:c r="D1" s="1" t="inlineStr">
        <s:is>
          <s:t>Use and limits</s:t>
        </s:is>
      </s:c>
    </s:row>
    <s:row r="2" ht="65" customHeight="1">
      <s:c r="A2" s="2" t="inlineStr">
        <s:is>
          <s:t>Perspective monitoring student housing</s:t>
        </s:is>
      </s:c>
      <s:c r="B2" s="8" t="inlineStr">
        <s:is>
          <s:t>https://beecole.brussels/sites/default/files/documents/fr_monitoring_logement_etudiant_final2026.pdf</s:t>
        </s:is>
      </s:c>
      <s:c r="C2" s="2" t="inlineStr">
        <s:is>
          <s:t>2026-10-14 / January 2026</s:t>
        </s:is>
      </s:c>
      <s:c r="D2" s="2" t="inlineStr">
        <s:is>
          <s:t>Official regional report. Reports rising student rents; supports affordability concern, not model cost assumptions.</s:t>
        </s:is>
      </s:c>
    </s:row>
    <s:row r="3" ht="65" customHeight="1">
      <s:c r="A3" s="2" t="inlineStr">
        <s:is>
          <s:t>Brussels rental steps</s:t>
        </s:is>
      </s:c>
      <s:c r="B3" s="8" t="inlineStr">
        <s:is>
          <s:t>https://be.brussels/fr/logement/location/les-differentes-etapes-de-la-location</s:t>
        </s:is>
      </s:c>
      <s:c r="C3" s="2" t="inlineStr">
        <s:is>
          <s:t>2026-10-14</s:t>
        </s:is>
      </s:c>
      <s:c r="D3" s="2" t="inlineStr">
        <s:is>
          <s:t>Official guidance: student leases are 12 months. 12 billed months still requires occupancy and lease validation.</s:t>
        </s:is>
      </s:c>
    </s:row>
    <s:row r="4" ht="65" customHeight="1">
      <s:c r="A4" s="2" t="inlineStr">
        <s:is>
          <s:t>Brussels student housing label</s:t>
        </s:is>
      </s:c>
      <s:c r="B4" s="8" t="inlineStr">
        <s:is>
          <s:t>https://be.brussels/fr/logement/location/conformite-logement/label-logement-etudiant</s:t>
        </s:is>
      </s:c>
      <s:c r="C4" s="2" t="inlineStr">
        <s:is>
          <s:t>2026-10-14</s:t>
        </s:is>
      </s:c>
      <s:c r="D4" s="2" t="inlineStr">
        <s:is>
          <s:t>Quality label lasts 5 years; quality declaration, student lease and valid energy certificate requested. Does not certify model compliance.</s:t>
        </s:is>
      </s:c>
    </s:row>
    <s:row r="5" ht="65" customHeight="1">
      <s:c r="A5" s="2" t="inlineStr">
        <s:is>
          <s:t>Required project evidence</s:t>
        </s:is>
      </s:c>
      <s:c r="B5" s="2" t="inlineStr">
        <s:is>
          <s:t>Not yet provided</s:t>
        </s:is>
      </s:c>
      <s:c r="C5" s="2" t="inlineStr">
        <s:is>
          <s:t>Unverified</s:t>
        </s:is>
      </s:c>
      <s:c r="D5" s="2" t="inlineStr">
        <s:is>
          <s:t>Site offer; VAT-inclusive bill of quantities; architect/engineer design; planning/fire/energy requirements; staffing and utility quotes; discount rate rationale; student budget survey; insurance; grants; tax and financing terms.</s:t>
        </s:is>
      </s:c>
    </s:row>
  </s:sheetData>
  <s:autoFilter ref="A1:D5"/>
  <s:hyperlinks>
    <s:hyperlink ref="B2" r:id="rId1"/>
    <s:hyperlink ref="B3" r:id="rId2"/>
    <s:hyperlink ref="B4" r:id="rId3"/>
  </s:hyperlinks>
  <s:pageMargins left="0.75" right="0.75" top="1" bottom="1" header="0.5" footer="0.5"/>
</s:worksheet>
</file>

<file path=xl/worksheets/sheet6.xml><?xml version="1.0" encoding="utf-8"?>
<s:worksheet xmlns:s="http://schemas.openxmlformats.org/spreadsheetml/2006/main">
  <s:sheetPr>
    <s:outlinePr summaryBelow="1" summaryRight="1"/>
    <s:pageSetUpPr/>
  </s:sheetPr>
  <s:dimension ref="A1:B9"/>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5" customWidth="1" min="1" max="1"/>
    <s:col width="110" customWidth="1" min="2" max="2"/>
    <s:col width="45" customWidth="1" min="3" max="3"/>
    <s:col width="75" customWidth="1" min="4" max="4"/>
  </s:cols>
  <s:sheetData>
    <s:row r="1">
      <s:c r="A1" s="1" t="inlineStr">
        <s:is>
          <s:t>Step</s:t>
        </s:is>
      </s:c>
      <s:c r="B1" s="1" t="inlineStr">
        <s:is>
          <s:t>Reusable prompt / deliverable</s:t>
        </s:is>
      </s:c>
    </s:row>
    <s:row r="2" ht="100" customHeight="1">
      <s:c r="A2" s="2" t="inlineStr">
        <s:is>
          <s:t>Role and goal</s:t>
        </s:is>
      </s:c>
      <s:c r="B2" s="2" t="inlineStr">
        <s:is>
          <s:t>Act as a decision analyst for student housing in Brussels. Build an auditable Excel project model balancing student affordability and investor returns. Do not invent verified inputs or promise a single correct forecast.</s:t>
        </s:is>
      </s:c>
    </s:row>
    <s:row r="3" ht="100" customHeight="1">
      <s:c r="A3" s="2" t="inlineStr">
        <s:is>
          <s:t>Gather inputs</s:t>
        </s:is>
      </s:c>
      <s:c r="B3" s="2" t="inlineStr">
        <s:is>
          <s:t>For each input give value, unit, currency year, source URL/date, confidence and low/base/high range. Gather land price, room count and gross area, construction and facilities quotes, fees, VAT, utilities, fixed and variable operations, fully loaded wages, maintenance, major refurbishment, occupancy, billing months, nominal discount rate, escalation, construction schedule, useful life, subsidy, terminal value and student all-in budget cap. Mark missing project inputs and use clearly labelled illustrative assumptions.</s:t>
        </s:is>
      </s:c>
    </s:row>
    <s:row r="4" ht="100" customHeight="1">
      <s:c r="A4" s="2" t="inlineStr">
        <s:is>
          <s:t>Financial conventions</s:t>
        </s:is>
      </s:c>
      <s:c r="B4" s="2" t="inlineStr">
        <s:is>
          <s:t>State unlevered/levered and pre/post-tax basis. Keep real/nominal discounting consistent. Avoid counting utilities, maintenance and renovation twice. Explain whether acquisition and construction are staged; if simplified upfront, say so. Use full monthly or dated cash flows if schedule detail permits.</s:t>
        </s:is>
      </s:c>
    </s:row>
    <s:row r="5" ht="100" customHeight="1">
      <s:c r="A5" s="2" t="inlineStr">
        <s:is>
          <s:t>Required outputs</s:t>
        </s:is>
      </s:c>
      <s:c r="B5" s="2" t="inlineStr">
        <s:is>
          <s:t>Compute project NPV, annual IRR with sign-change warning, simple and discounted payback excluding residual sale; report initial and future student all-in price P, gross capital and investor funding. Show no-payback and no-feasible-price outcomes explicitly.</s:t>
        </s:is>
      </s:c>
    </s:row>
    <s:row r="6" ht="100" customHeight="1">
      <s:c r="A6" s="2" t="inlineStr">
        <s:is>
          <s:t>Optimization</s:t>
        </s:is>
      </s:c>
      <s:c r="B6" s="2" t="inlineStr">
        <s:is>
          <s:t>For each technically feasible design hold minimum room capacity, code compliance and service quality fixed. Minimize student price subject to NPV &gt;= 0 and P &lt;= affordability cap. Compare design alternatives for lowest feasible capital, fastest evidenced delivery and longest evidenced useful life, including lifecycle refurbishment. Present Pareto tradeoffs rather than independently minimizing everything. If infeasible, quantify subsidy/cost-reduction gap and explain why.</s:t>
        </s:is>
      </s:c>
    </s:row>
    <s:row r="7" ht="100" customHeight="1">
      <s:c r="A7" s="2" t="inlineStr">
        <s:is>
          <s:t>Risk and corruption</s:t>
        </s:is>
      </s:c>
      <s:c r="B7" s="2" t="inlineStr">
        <s:is>
          <s:t>Use low/base/high cost, occupancy, timing and discount-rate scenarios. Separate contingency from expected-event loss; apply probability only with evidence. Treat corruption as a governance risk via legal audit, procurement controls and delay/overrun stress, never as a planned illegal payment.</s:t>
        </s:is>
      </s:c>
    </s:row>
    <s:row r="8" ht="100" customHeight="1">
      <s:c r="A8" s="2" t="inlineStr">
        <s:is>
          <s:t>Results and pitfalls</s:t>
        </s:is>
      </s:c>
      <s:c r="B8" s="2" t="inlineStr">
        <s:is>
          <s:t>Provide a conditional recommendation, assumptions that drive it, sensitivity, sources and unanswered questions. Warn about optimistic occupancy, nominal/real mismatch, VAT, rent/charge mixing, unsupported terminal values, planning delays, missed refurbishment, IRR ambiguity and optimization without constraints. Never infer engineering lifetime or legal compliance from a spreadsheet.</s:t>
        </s:is>
      </s:c>
    </s:row>
    <s:row r="9" ht="100" customHeight="1">
      <s:c r="A9" s="2" t="inlineStr">
        <s:is>
          <s:t>Delivery</s:t>
        </s:is>
      </s:c>
      <s:c r="B9" s="2" t="inlineStr">
        <s:is>
          <s:t>Deliver model.xlsx with editable inputs, live formulas, annual cash flows, financial results, scenarios, checks and source register. Include enough code to reproduce and audit calculations.</s:t>
        </s:is>
      </s:c>
    </s:row>
  </s:sheetData>
  <s:autoFilter ref="A1:B9"/>
  <s:pageMargins left="0.75" right="0.75" top="1" bottom="1" header="0.5" footer="0.5"/>
</s:worksheet>
</file>

<file path=xl/worksheets/sheet7.xml><?xml version="1.0" encoding="utf-8"?>
<s:worksheet xmlns:s="http://schemas.openxmlformats.org/spreadsheetml/2006/main">
  <s:sheetPr>
    <s:outlinePr summaryBelow="1" summaryRight="1"/>
    <s:pageSetUpPr/>
  </s:sheetPr>
  <s:dimension ref="A1:C9"/>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5" customWidth="1" min="1" max="1"/>
    <s:col width="65" customWidth="1" min="2" max="2"/>
    <s:col width="45" customWidth="1" min="3" max="3"/>
    <s:col width="75" customWidth="1" min="4" max="4"/>
  </s:cols>
  <s:sheetData>
    <s:row r="1">
      <s:c r="A1" s="1" t="inlineStr">
        <s:is>
          <s:t>Pitfall / missing evidence</s:t>
        </s:is>
      </s:c>
      <s:c r="B1" s="1" t="inlineStr">
        <s:is>
          <s:t>Effect</s:t>
        </s:is>
      </s:c>
      <s:c r="C1" s="1" t="inlineStr">
        <s:is>
          <s:t>Action</s:t>
        </s:is>
      </s:c>
    </s:row>
    <s:row r="2" ht="65" customHeight="1">
      <s:c r="A2" s="2" t="inlineStr">
        <s:is>
          <s:t>Site and construction quotes missing</s:t>
        </s:is>
      </s:c>
      <s:c r="B2" s="2" t="inlineStr">
        <s:is>
          <s:t>Capital estimate may be materially wrong</s:t>
        </s:is>
      </s:c>
      <s:c r="C2" s="2" t="inlineStr">
        <s:is>
          <s:t>Obtain tender with VAT, fees, land and utility connections</s:t>
        </s:is>
      </s:c>
    </s:row>
    <s:row r="3" ht="65" customHeight="1">
      <s:c r="A3" s="2" t="inlineStr">
        <s:is>
          <s:t>Force majeure</s:t>
        </s:is>
      </s:c>
      <s:c r="B3" s="2" t="inlineStr">
        <s:is>
          <s:t>Cost increase and opening delay</s:t>
        </s:is>
      </s:c>
      <s:c r="C3" s="2" t="inlineStr">
        <s:is>
          <s:t>Stress cost +20%, delay +12 months; review insurance and contingency</s:t>
        </s:is>
      </s:c>
    </s:row>
    <s:row r="4" ht="65" customHeight="1">
      <s:c r="A4" s="2" t="inlineStr">
        <s:is>
          <s:t>Corruption / procurement misconduct</s:t>
        </s:is>
      </s:c>
      <s:c r="B4" s="2" t="inlineStr">
        <s:is>
          <s:t>Delay, legal cost, contract failure</s:t>
        </s:is>
      </s:c>
      <s:c r="C4" s="2" t="inlineStr">
        <s:is>
          <s:t>Transparent tenders, independent audit, conflicts register; no illicit payment provision</s:t>
        </s:is>
      </s:c>
    </s:row>
    <s:row r="5" ht="65" customHeight="1">
      <s:c r="A5" s="2" t="inlineStr">
        <s:is>
          <s:t>Life and schedule unverified</s:t>
        </s:is>
      </s:c>
      <s:c r="B5" s="2" t="inlineStr">
        <s:is>
          <s:t>Longer use or early opening can inflate valuation</s:t>
        </s:is>
      </s:c>
      <s:c r="C5" s="2" t="inlineStr">
        <s:is>
          <s:t>Engineering survey and permit critical path; compare scenario bounds, not factual min/max</s:t>
        </s:is>
      </s:c>
    </s:row>
    <s:row r="6" ht="65" customHeight="1">
      <s:c r="A6" s="2" t="inlineStr">
        <s:is>
          <s:t>Discount rate / inflation</s:t>
        </s:is>
      </s:c>
      <s:c r="B6" s="2" t="inlineStr">
        <s:is>
          <s:t>Incorrect return hurdle</s:t>
        </s:is>
      </s:c>
      <s:c r="C6" s="2" t="inlineStr">
        <s:is>
          <s:t>Use matching nominal cash flows and nominal project discount rate</s:t>
        </s:is>
      </s:c>
    </s:row>
    <s:row r="7" ht="65" customHeight="1">
      <s:c r="A7" s="2" t="inlineStr">
        <s:is>
          <s:t>Terminal value</s:t>
        </s:is>
      </s:c>
      <s:c r="B7" s="2" t="inlineStr">
        <s:is>
          <s:t>Sale assumption can dominate return</s:t>
        </s:is>
      </s:c>
      <s:c r="C7" s="2" t="inlineStr">
        <s:is>
          <s:t>Base case zero; sensitivity only with evidence</s:t>
        </s:is>
      </s:c>
    </s:row>
    <s:row r="8" ht="65" customHeight="1">
      <s:c r="A8" s="2" t="inlineStr">
        <s:is>
          <s:t>Affordability cap</s:t>
        </s:is>
      </s:c>
      <s:c r="B8" s="2" t="inlineStr">
        <s:is>
          <s:t>Policy target can differ from student capacity</s:t>
        </s:is>
      </s:c>
      <s:c r="C8" s="2" t="inlineStr">
        <s:is>
          <s:t>Survey disposable budget and utilities; track future rent</s:t>
        </s:is>
      </s:c>
    </s:row>
    <s:row r="9" ht="65" customHeight="1">
      <s:c r="A9" s="2" t="inlineStr">
        <s:is>
          <s:t>Tax and debt excluded</s:t>
        </s:is>
      </s:c>
      <s:c r="B9" s="2" t="inlineStr">
        <s:is>
          <s:t>Project IRR differs from equity IRR</s:t>
        </s:is>
      </s:c>
      <s:c r="C9" s="2" t="inlineStr">
        <s:is>
          <s:t>Extend after structure is known; no investment advice implied</s:t>
        </s:is>
      </s:c>
    </s:row>
  </s:sheetData>
  <s:autoFilter ref="A1:C9"/>
  <s:pageMargins left="0.75" right="0.75" top="1" bottom="1" header="0.5" footer="0.5"/>
</s:worksheet>
</file>

<file path=xl/worksheets/sheet8.xml><?xml version="1.0" encoding="utf-8"?>
<s:worksheet xmlns:s="http://schemas.openxmlformats.org/spreadsheetml/2006/main">
  <s:sheetPr>
    <s:outlinePr summaryBelow="1" summaryRight="1"/>
    <s:pageSetUpPr/>
  </s:sheetPr>
  <s:dimension ref="A1:M6"/>
  <s:sheetViews>
    <s:sheetView workbookViewId="0">
      <s:pane xSplit="1" ySplit="1" topLeftCell="B2" activePane="bottomRight" state="frozen"/>
      <s:selection pane="topRight"/>
      <s:selection pane="bottomLeft"/>
      <s:selection pane="bottomRight" activeCell="A1" sqref="A1"/>
    </s:sheetView>
  </s:sheetViews>
  <s:sheetFormatPr baseColWidth="8" defaultRowHeight="15" outlineLevelCol="0"/>
  <s:cols>
    <s:col width="35" customWidth="1" min="1" max="1"/>
    <s:col width="20" customWidth="1" min="2" max="2"/>
    <s:col width="20" customWidth="1" min="3" max="3"/>
    <s:col width="20" customWidth="1" min="4" max="4"/>
    <s:col width="20" customWidth="1" min="5" max="5"/>
    <s:col width="20" customWidth="1" min="6" max="6"/>
    <s:col width="20" customWidth="1" min="7" max="7"/>
    <s:col width="20" customWidth="1" min="8" max="8"/>
    <s:col width="20" customWidth="1" min="9" max="9"/>
    <s:col width="20" customWidth="1" min="10" max="10"/>
    <s:col width="20" customWidth="1" min="11" max="11"/>
    <s:col width="20" customWidth="1" min="12" max="12"/>
    <s:col width="20" customWidth="1" min="13" max="13"/>
  </s:cols>
  <s:sheetData>
    <s:row r="1">
      <s:c r="A1" s="1" t="inlineStr">
        <s:is>
          <s:t>Scenario</s:t>
        </s:is>
      </s:c>
      <s:c r="B1" s="1" t="inlineStr">
        <s:is>
          <s:t>Construction factor</s:t>
        </s:is>
      </s:c>
      <s:c r="C1" s="1" t="inlineStr">
        <s:is>
          <s:t>Occupancy</s:t>
        </s:is>
      </s:c>
      <s:c r="D1" s="1" t="inlineStr">
        <s:is>
          <s:t>Duration months</s:t>
        </s:is>
      </s:c>
      <s:c r="E1" s="1" t="inlineStr">
        <s:is>
          <s:t>Discount rate</s:t>
        </s:is>
      </s:c>
      <s:c r="F1" s="1" t="inlineStr">
        <s:is>
          <s:t>Life years</s:t>
        </s:is>
      </s:c>
      <s:c r="G1" s="1" t="inlineStr">
        <s:is>
          <s:t>Gross capital</s:t>
        </s:is>
      </s:c>
      <s:c r="H1" s="1" t="inlineStr">
        <s:is>
          <s:t>NPV</s:t>
        </s:is>
      </s:c>
      <s:c r="I1" s="1" t="inlineStr">
        <s:is>
          <s:t>IRR</s:t>
        </s:is>
      </s:c>
      <s:c r="J1" s="1" t="inlineStr">
        <s:is>
          <s:t>Required P</s:t>
        </s:is>
      </s:c>
      <s:c r="K1" s="1" t="inlineStr">
        <s:is>
          <s:t>NPV at cap</s:t>
        </s:is>
      </s:c>
      <s:c r="L1" s="1" t="inlineStr">
        <s:is>
          <s:t>Extra subsidy</s:t>
        </s:is>
      </s:c>
      <s:c r="M1" s="1" t="inlineStr">
        <s:is>
          <s:t>PBP</s:t>
        </s:is>
      </s:c>
    </s:row>
    <s:row r="2">
      <s:c r="A2" s="2" t="inlineStr">
        <s:is>
          <s:t>Base</s:t>
        </s:is>
      </s:c>
      <s:c r="B2" s="9" t="n">
        <s:v>1</s:v>
      </s:c>
      <s:c r="C2" s="9">
        <s:f>Inputs!B14</s:f>
        <s:v>0.95</s:v>
      </s:c>
      <s:c r="D2" s="10">
        <s:f>Inputs!B11</s:f>
        <s:v>18</s:v>
      </s:c>
      <s:c r="E2" s="9">
        <s:f>Inputs!B13</s:f>
        <s:v>0.06</s:v>
      </s:c>
      <s:c r="F2" s="10">
        <s:f>Inputs!B12</s:f>
        <s:v>40</s:v>
      </s:c>
      <s:c r="G2" s="14">
        <s:f>'S1 results'!B2</s:f>
        <s:v>8944000.000000002</s:v>
      </s:c>
      <s:c r="H2" s="14">
        <s:f>'S1 results'!B6</s:f>
        <s:v>-2280501.2520845328</s:v>
      </s:c>
      <s:c r="I2" s="7">
        <s:f>'S1 results'!B7</s:f>
        <s:v>0.042735163807934406</s:v>
      </s:c>
      <s:c r="J2" s="14">
        <s:f>'S1 results'!B11</s:f>
        <s:v>714.4841184943983</s:v>
      </s:c>
      <s:c r="K2" s="14">
        <s:f>'S1 results'!B12</s:f>
        <s:v>-1284511.0300014073</s:v>
      </s:c>
      <s:c r="L2" s="14">
        <s:f>'S1 results'!B13</s:f>
        <s:v>1284511.0300014073</s:v>
      </s:c>
      <s:c r="M2" s="14">
        <s:f>'S1 results'!B8</s:f>
        <s:v>21.286046031105062</s:v>
      </s:c>
    </s:row>
    <s:row r="3">
      <s:c r="A3" s="2" t="inlineStr">
        <s:is>
          <s:t>Lower-cost / fast</s:t>
        </s:is>
      </s:c>
      <s:c r="B3" s="9" t="n">
        <s:v>0.85</s:v>
      </s:c>
      <s:c r="C3" s="9" t="n">
        <s:v>0.98</s:v>
      </s:c>
      <s:c r="D3" s="10" t="n">
        <s:v>12</s:v>
      </s:c>
      <s:c r="E3" s="9" t="n">
        <s:v>0.05</s:v>
      </s:c>
      <s:c r="F3" s="10" t="n">
        <s:v>50</s:v>
      </s:c>
      <s:c r="G3" s="14">
        <s:f>'S2 results'!B2</s:f>
        <s:v>7855000.000000002</s:v>
      </s:c>
      <s:c r="H3" s="14">
        <s:f>'S2 results'!B6</s:f>
        <s:v>1858249.8384540207</s:v>
      </s:c>
      <s:c r="I3" s="7">
        <s:f>'S2 results'!B7</s:f>
        <s:v>0.06199677096833078</s:v>
      </s:c>
      <s:c r="J3" s="14">
        <s:f>'S2 results'!B11</s:f>
        <s:v>534.9593324052737</s:v>
      </s:c>
      <s:c r="K3" s="14">
        <s:f>'S2 results'!B12</s:f>
        <s:v>3286779.0242496897</s:v>
      </s:c>
      <s:c r="L3" s="14">
        <s:f>'S2 results'!B13</s:f>
        <s:v>0</s:v>
      </s:c>
      <s:c r="M3" s="14">
        <s:f>'S2 results'!B8</s:f>
        <s:v>17.3736301180593</s:v>
      </s:c>
    </s:row>
    <s:row r="4">
      <s:c r="A4" s="2" t="inlineStr">
        <s:is>
          <s:t>Delay / overrun</s:t>
        </s:is>
      </s:c>
      <s:c r="B4" s="9" t="n">
        <s:v>1.2</s:v>
      </s:c>
      <s:c r="C4" s="9" t="n">
        <s:v>0.85</s:v>
      </s:c>
      <s:c r="D4" s="10" t="n">
        <s:v>30</s:v>
      </s:c>
      <s:c r="E4" s="9" t="n">
        <s:v>0.08</s:v>
      </s:c>
      <s:c r="F4" s="10" t="n">
        <s:v>30</s:v>
      </s:c>
      <s:c r="G4" s="14">
        <s:f>'S3 results'!B2</s:f>
        <s:v>10396000.000000002</s:v>
      </s:c>
      <s:c r="H4" s="14">
        <s:f>'S3 results'!B6</s:f>
        <s:v>-6924346.930395819</s:v>
      </s:c>
      <s:c r="I4" s="7">
        <s:f>'S3 results'!B7</s:f>
        <s:v>0.010158837759825068</s:v>
      </s:c>
      <s:c r="J4" s="14">
        <s:f>'S3 results'!B11</s:f>
        <s:v>1225.7368024253874</s:v>
      </s:c>
      <s:c r="K4" s="14">
        <s:f>'S3 results'!B12</s:f>
        <s:v>-6371051.447090642</s:v>
      </s:c>
      <s:c r="L4" s="14">
        <s:f>'S3 results'!B13</s:f>
        <s:v>6371051.447090642</s:v>
      </s:c>
      <s:c r="M4" s="14">
        <s:f>'S3 results'!B8</s:f>
        <s:v>28.73271678963154</s:v>
      </s:c>
    </s:row>
    <s:row r="5">
      <s:c r="A5" s="2" t="inlineStr">
        <s:is>
          <s:t>Scenario interpretation</s:t>
        </s:is>
      </s:c>
      <s:c r="B5" s="2" t="inlineStr">
        <s:is>
          <s:t>All three are illustrative. Fastest = 12 months and longest = 50 years ONLY among these assumptions; not engineering estimates.</s:t>
        </s:is>
      </s:c>
      <s:c r="C5" s="2" t="n"/>
      <s:c r="D5" s="2" t="n"/>
      <s:c r="E5" s="2" t="n"/>
      <s:c r="F5" s="2" t="n"/>
      <s:c r="G5" s="2" t="n"/>
      <s:c r="H5" s="2" t="n"/>
      <s:c r="I5" s="2" t="n"/>
      <s:c r="J5" s="2" t="n"/>
      <s:c r="K5" s="2" t="n"/>
      <s:c r="L5" s="2" t="n"/>
      <s:c r="M5" s="2" t="n"/>
    </s:row>
    <s:row r="6">
      <s:c r="A6" s="2" t="inlineStr">
        <s:is>
          <s:t>Decision</s:t>
        </s:is>
      </s:c>
      <s:c r="B6" s="2" t="inlineStr">
        <s:is>
          <s:t>Base capital and minimum rent depend on a fixed 100-room design. A cheaper scenario is not proven technically achievable.</s:t>
        </s:is>
      </s:c>
      <s:c r="C6" s="2" t="n"/>
      <s:c r="D6" s="2" t="n"/>
      <s:c r="E6" s="2" t="n"/>
      <s:c r="F6" s="2" t="n"/>
      <s:c r="G6" s="2" t="n"/>
      <s:c r="H6" s="2" t="n"/>
      <s:c r="I6" s="2" t="n"/>
      <s:c r="J6" s="2" t="n"/>
      <s:c r="K6" s="2" t="n"/>
      <s:c r="L6" s="2" t="n"/>
      <s:c r="M6" s="2" t="n"/>
    </s:row>
  </s:sheetData>
  <s:autoFilter ref="A1:M6"/>
  <s:dataValidations count="15">
    <s:dataValidation sqref="B2" showDropDown="0" showInputMessage="0" showErrorMessage="1" allowBlank="0" type="decimal" errorStyle="stop" operator="between">
      <s:formula1>0.1</s:formula1>
      <s:formula2>3</s:formula2>
    </s:dataValidation>
    <s:dataValidation sqref="C2" showDropDown="0" showInputMessage="0" showErrorMessage="1" allowBlank="0" type="decimal" errorStyle="stop" operator="between">
      <s:formula1>0.01</s:formula1>
      <s:formula2>1</s:formula2>
    </s:dataValidation>
    <s:dataValidation sqref="D2" showDropDown="0" showInputMessage="0" showErrorMessage="1" allowBlank="0" type="whole" errorStyle="stop" operator="between">
      <s:formula1>1</s:formula1>
      <s:formula2>60</s:formula2>
    </s:dataValidation>
    <s:dataValidation sqref="E2" showDropDown="0" showInputMessage="0" showErrorMessage="1" allowBlank="0" type="decimal" errorStyle="stop" operator="between">
      <s:formula1>0</s:formula1>
      <s:formula2>1</s:formula2>
    </s:dataValidation>
    <s:dataValidation sqref="F2" showDropDown="0" showInputMessage="0" showErrorMessage="1" allowBlank="0" type="whole" errorStyle="stop" operator="between">
      <s:formula1>1</s:formula1>
      <s:formula2>50</s:formula2>
    </s:dataValidation>
    <s:dataValidation sqref="B3" showDropDown="0" showInputMessage="0" showErrorMessage="1" allowBlank="0" type="decimal" errorStyle="stop" operator="between">
      <s:formula1>0.1</s:formula1>
      <s:formula2>3</s:formula2>
    </s:dataValidation>
    <s:dataValidation sqref="C3" showDropDown="0" showInputMessage="0" showErrorMessage="1" allowBlank="0" type="decimal" errorStyle="stop" operator="between">
      <s:formula1>0.01</s:formula1>
      <s:formula2>1</s:formula2>
    </s:dataValidation>
    <s:dataValidation sqref="D3" showDropDown="0" showInputMessage="0" showErrorMessage="1" allowBlank="0" type="whole" errorStyle="stop" operator="between">
      <s:formula1>1</s:formula1>
      <s:formula2>60</s:formula2>
    </s:dataValidation>
    <s:dataValidation sqref="E3" showDropDown="0" showInputMessage="0" showErrorMessage="1" allowBlank="0" type="decimal" errorStyle="stop" operator="between">
      <s:formula1>0</s:formula1>
      <s:formula2>1</s:formula2>
    </s:dataValidation>
    <s:dataValidation sqref="F3" showDropDown="0" showInputMessage="0" showErrorMessage="1" allowBlank="0" type="whole" errorStyle="stop" operator="between">
      <s:formula1>1</s:formula1>
      <s:formula2>50</s:formula2>
    </s:dataValidation>
    <s:dataValidation sqref="B4" showDropDown="0" showInputMessage="0" showErrorMessage="1" allowBlank="0" type="decimal" errorStyle="stop" operator="between">
      <s:formula1>0.1</s:formula1>
      <s:formula2>3</s:formula2>
    </s:dataValidation>
    <s:dataValidation sqref="C4" showDropDown="0" showInputMessage="0" showErrorMessage="1" allowBlank="0" type="decimal" errorStyle="stop" operator="between">
      <s:formula1>0.01</s:formula1>
      <s:formula2>1</s:formula2>
    </s:dataValidation>
    <s:dataValidation sqref="D4" showDropDown="0" showInputMessage="0" showErrorMessage="1" allowBlank="0" type="whole" errorStyle="stop" operator="between">
      <s:formula1>1</s:formula1>
      <s:formula2>60</s:formula2>
    </s:dataValidation>
    <s:dataValidation sqref="E4" showDropDown="0" showInputMessage="0" showErrorMessage="1" allowBlank="0" type="decimal" errorStyle="stop" operator="between">
      <s:formula1>0</s:formula1>
      <s:formula2>1</s:formula2>
    </s:dataValidation>
    <s:dataValidation sqref="F4" showDropDown="0" showInputMessage="0" showErrorMessage="1" allowBlank="0" type="whole" errorStyle="stop" operator="between">
      <s:formula1>1</s:formula1>
      <s:formula2>50</s:formula2>
    </s:dataValidation>
  </s:dataValidations>
  <s:pageMargins left="0.75" right="0.75" top="1" bottom="1" header="0.5" footer="0.5"/>
</s:worksheet>
</file>

<file path=xl/worksheets/sheet9.xml><?xml version="1.0" encoding="utf-8"?>
<s:worksheet xmlns:s="http://schemas.openxmlformats.org/spreadsheetml/2006/main">
  <s:sheetPr>
    <s:outlinePr summaryBelow="1" summaryRight="1"/>
    <s:pageSetUpPr/>
  </s:sheetPr>
  <s:dimension ref="A1:D28"/>
  <s:sheetViews>
    <s:sheetView workbookViewId="0">
      <s:selection activeCell="A1" sqref="A1"/>
    </s:sheetView>
  </s:sheetViews>
  <s:sheetFormatPr baseColWidth="8" defaultRowHeight="15" outlineLevelCol="0"/>
  <s:cols>
    <s:col width="39" customWidth="1" min="1" max="1"/>
    <s:col width="27"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Input</s:t>
        </s:is>
      </s:c>
      <s:c r="B1" s="1" t="inlineStr">
        <s:is>
          <s:t>Value</s:t>
        </s:is>
      </s:c>
      <s:c r="C1" s="1" t="inlineStr">
        <s:is>
          <s:t>Unit</s:t>
        </s:is>
      </s:c>
      <s:c r="D1" s="1" t="inlineStr">
        <s:is>
          <s:t>Basis / assumption</s:t>
        </s:is>
      </s:c>
    </s:row>
    <s:row r="2" ht="32" customHeight="1">
      <s:c r="A2" s="2" t="inlineStr">
        <s:is>
          <s:t>Rooms</s:t>
        </s:is>
      </s:c>
      <s:c r="B2" s="3">
        <s:f>Inputs!B2</s:f>
        <s:v>100</s:v>
      </s:c>
      <s:c r="C2" s="2" t="inlineStr">
        <s:is>
          <s:t>rooms</s:t>
        </s:is>
      </s:c>
      <s:c r="D2" s="2" t="inlineStr">
        <s:is>
          <s:t>Illustrative project; minimum capacity constraint</s:t>
        </s:is>
      </s:c>
    </s:row>
    <s:row r="3" ht="32" customHeight="1">
      <s:c r="A3" s="2" t="inlineStr">
        <s:is>
          <s:t>Gross area per room</s:t>
        </s:is>
      </s:c>
      <s:c r="B3" s="3">
        <s:f>Inputs!B3</s:f>
        <s:v>30</s:v>
      </s:c>
      <s:c r="C3" s="2" t="inlineStr">
        <s:is>
          <s:t>m²/room</s:t>
        </s:is>
      </s:c>
      <s:c r="D3" s="2" t="inlineStr">
        <s:is>
          <s:t>Includes allocation of common areas</s:t>
        </s:is>
      </s:c>
    </s:row>
    <s:row r="4" ht="32" customHeight="1">
      <s:c r="A4" s="2" t="inlineStr">
        <s:is>
          <s:t>Land / acquisition</s:t>
        </s:is>
      </s:c>
      <s:c r="B4" s="3">
        <s:f>Inputs!B4</s:f>
        <s:v>1200000</s:v>
      </s:c>
      <s:c r="C4" s="2" t="inlineStr">
        <s:is>
          <s:t>EUR</s:t>
        </s:is>
      </s:c>
      <s:c r="D4" s="2" t="inlineStr">
        <s:is>
          <s:t>Site-specific quotation needed</s:t>
        </s:is>
      </s:c>
    </s:row>
    <s:row r="5" ht="32" customHeight="1">
      <s:c r="A5" s="2" t="inlineStr">
        <s:is>
          <s:t>Construction cost</s:t>
        </s:is>
      </s:c>
      <s:c r="B5" s="3">
        <s:f>Inputs!B5*Scenarios!B2</s:f>
        <s:v>2000</s:v>
      </s:c>
      <s:c r="C5" s="2" t="inlineStr">
        <s:is>
          <s:t>EUR/m²</s:t>
        </s:is>
      </s:c>
      <s:c r="D5" s="2" t="inlineStr">
        <s:is>
          <s:t>Illustrative; VAT inclusion must be checked</s:t>
        </s:is>
      </s:c>
    </s:row>
    <s:row r="6" ht="32" customHeight="1">
      <s:c r="A6" s="2" t="inlineStr">
        <s:is>
          <s:t>Facilities</s:t>
        </s:is>
      </s:c>
      <s:c r="B6" s="3">
        <s:f>Inputs!B6</s:f>
        <s:v>400000</s:v>
      </s:c>
      <s:c r="C6" s="2" t="inlineStr">
        <s:is>
          <s:t>EUR</s:t>
        </s:is>
      </s:c>
      <s:c r="D6" s="2" t="inlineStr">
        <s:is>
          <s:t>Furniture and common equipment</s:t>
        </s:is>
      </s:c>
    </s:row>
    <s:row r="7" ht="32" customHeight="1">
      <s:c r="A7" s="2" t="inlineStr">
        <s:is>
          <s:t>Professional fees</s:t>
        </s:is>
      </s:c>
      <s:c r="B7" s="4">
        <s:f>Inputs!B7</s:f>
        <s:v>0.1</s:v>
      </s:c>
      <s:c r="C7" s="2" t="inlineStr">
        <s:is>
          <s:t>share</s:t>
        </s:is>
      </s:c>
      <s:c r="D7" s="2" t="inlineStr">
        <s:is>
          <s:t>Of construction + facilities</s:t>
        </s:is>
      </s:c>
    </s:row>
    <s:row r="8" ht="32" customHeight="1">
      <s:c r="A8" s="2" t="inlineStr">
        <s:is>
          <s:t>Force-majeure contingency</s:t>
        </s:is>
      </s:c>
      <s:c r="B8" s="4">
        <s:f>Inputs!B8</s:f>
        <s:v>0.1</s:v>
      </s:c>
      <s:c r="C8" s="2" t="inlineStr">
        <s:is>
          <s:t>share</s:t>
        </s:is>
      </s:c>
      <s:c r="D8" s="2" t="inlineStr">
        <s:is>
          <s:t>Of construction + facilities + fees</s:t>
        </s:is>
      </s:c>
    </s:row>
    <s:row r="9" ht="32" customHeight="1">
      <s:c r="A9" s="2" t="inlineStr">
        <s:is>
          <s:t>Compliance / audit cost</s:t>
        </s:is>
      </s:c>
      <s:c r="B9" s="3">
        <s:f>Inputs!B9</s:f>
        <s:v>0</s:v>
      </s:c>
      <s:c r="C9" s="2" t="inlineStr">
        <s:is>
          <s:t>EUR</s:t>
        </s:is>
      </s:c>
      <s:c r="D9" s="2" t="inlineStr">
        <s:is>
          <s:t>Legal control costs; no unlawful payments</s:t>
        </s:is>
      </s:c>
    </s:row>
    <s:row r="10" ht="32" customHeight="1">
      <s:c r="A10" s="2" t="inlineStr">
        <s:is>
          <s:t>Initial subsidy</s:t>
        </s:is>
      </s:c>
      <s:c r="B10" s="3">
        <s:f>Inputs!B10</s:f>
        <s:v>0</s:v>
      </s:c>
      <s:c r="C10" s="2" t="inlineStr">
        <s:is>
          <s:t>EUR</s:t>
        </s:is>
      </s:c>
      <s:c r="D10" s="2" t="inlineStr">
        <s:is>
          <s:t>Only committed funding should be used</s:t>
        </s:is>
      </s:c>
    </s:row>
    <s:row r="11" ht="32" customHeight="1">
      <s:c r="A11" s="2" t="inlineStr">
        <s:is>
          <s:t>Construction duration</s:t>
        </s:is>
      </s:c>
      <s:c r="B11" s="3">
        <s:f>Scenarios!D2</s:f>
        <s:v>18</s:v>
      </s:c>
      <s:c r="C11" s="2" t="inlineStr">
        <s:is>
          <s:t>months</s:t>
        </s:is>
      </s:c>
      <s:c r="D11" s="2" t="inlineStr">
        <s:is>
          <s:t>Illustrative, including permitting</s:t>
        </s:is>
      </s:c>
    </s:row>
    <s:row r="12" ht="32" customHeight="1">
      <s:c r="A12" s="2" t="inlineStr">
        <s:is>
          <s:t>Operating useful life</s:t>
        </s:is>
      </s:c>
      <s:c r="B12" s="3">
        <s:f>Scenarios!F2</s:f>
        <s:v>40</s:v>
      </s:c>
      <s:c r="C12" s="2" t="inlineStr">
        <s:is>
          <s:t>years</s:t>
        </s:is>
      </s:c>
      <s:c r="D12" s="2" t="inlineStr">
        <s:is>
          <s:t>Subject to engineering assessment and refurbishment</s:t>
        </s:is>
      </s:c>
    </s:row>
    <s:row r="13" ht="32" customHeight="1">
      <s:c r="A13" s="2" t="inlineStr">
        <s:is>
          <s:t>Discount rate</s:t>
        </s:is>
      </s:c>
      <s:c r="B13" s="4">
        <s:f>Scenarios!E2</s:f>
        <s:v>0.06</s:v>
      </s:c>
      <s:c r="C13" s="2" t="inlineStr">
        <s:is>
          <s:t>annual</s:t>
        </s:is>
      </s:c>
      <s:c r="D13" s="2" t="inlineStr">
        <s:is>
          <s:t>Nominal unlevered required return</s:t>
        </s:is>
      </s:c>
    </s:row>
    <s:row r="14" ht="32" customHeight="1">
      <s:c r="A14" s="2" t="inlineStr">
        <s:is>
          <s:t>Occupancy</s:t>
        </s:is>
      </s:c>
      <s:c r="B14" s="4">
        <s:f>Scenarios!C2</s:f>
        <s:v>0.95</s:v>
      </s:c>
      <s:c r="C14" s="2" t="inlineStr">
        <s:is>
          <s:t>share</s:t>
        </s:is>
      </s:c>
      <s:c r="D14" s="2" t="inlineStr">
        <s:is>
          <s:t>Average paying occupancy</s:t>
        </s:is>
      </s:c>
    </s:row>
    <s:row r="15" ht="32" customHeight="1">
      <s:c r="A15" s="2" t="inlineStr">
        <s:is>
          <s:t>Rent / billing months</s:t>
        </s:is>
      </s:c>
      <s:c r="B15" s="3">
        <s:f>Inputs!B15</s:f>
        <s:v>12</s:v>
      </s:c>
      <s:c r="C15" s="2" t="inlineStr">
        <s:is>
          <s:t>months/year</s:t>
        </s:is>
      </s:c>
      <s:c r="D15" s="2" t="inlineStr">
        <s:is>
          <s:t>Check lease structure</s:t>
        </s:is>
      </s:c>
    </s:row>
    <s:row r="16" ht="32" customHeight="1">
      <s:c r="A16" s="2" t="inlineStr">
        <s:is>
          <s:t>Student monthly all-in rent</s:t>
        </s:is>
      </s:c>
      <s:c r="B16" s="3">
        <s:f>Inputs!B16</s:f>
        <s:v>600</s:v>
      </s:c>
      <s:c r="C16" s="2" t="inlineStr">
        <s:is>
          <s:t>EUR/month</s:t>
        </s:is>
      </s:c>
      <s:c r="D16" s="2" t="inlineStr">
        <s:is>
          <s:t>Illustrative initial rent</s:t>
        </s:is>
      </s:c>
    </s:row>
    <s:row r="17" ht="32" customHeight="1">
      <s:c r="A17" s="2" t="inlineStr">
        <s:is>
          <s:t>Affordability cap</s:t>
        </s:is>
      </s:c>
      <s:c r="B17" s="3">
        <s:f>Inputs!B17</s:f>
        <s:v>650</s:v>
      </s:c>
      <s:c r="C17" s="2" t="inlineStr">
        <s:is>
          <s:t>EUR/month</s:t>
        </s:is>
      </s:c>
      <s:c r="D17" s="2" t="inlineStr">
        <s:is>
          <s:t>Policy assumption; validate student budget</s:t>
        </s:is>
      </s:c>
    </s:row>
    <s:row r="18" ht="32" customHeight="1">
      <s:c r="A18" s="2" t="inlineStr">
        <s:is>
          <s:t>Rent escalation</s:t>
        </s:is>
      </s:c>
      <s:c r="B18" s="4">
        <s:f>Inputs!B18</s:f>
        <s:v>0.02</s:v>
      </s:c>
      <s:c r="C18" s="2" t="inlineStr">
        <s:is>
          <s:t>annual</s:t>
        </s:is>
      </s:c>
      <s:c r="D18" s="2" t="inlineStr">
        <s:is>
          <s:t>Scenario assumption, not entitlement to index</s:t>
        </s:is>
      </s:c>
    </s:row>
    <s:row r="19" ht="32" customHeight="1">
      <s:c r="A19" s="2" t="inlineStr">
        <s:is>
          <s:t>Operating cost escalation</s:t>
        </s:is>
      </s:c>
      <s:c r="B19" s="4">
        <s:f>Inputs!B19</s:f>
        <s:v>0.025</s:v>
      </s:c>
      <s:c r="C19" s="2" t="inlineStr">
        <s:is>
          <s:t>annual</s:t>
        </s:is>
      </s:c>
      <s:c r="D19" s="2" t="inlineStr">
        <s:is>
          <s:t>Nominal assumption</s:t>
        </s:is>
      </s:c>
    </s:row>
    <s:row r="20" ht="32" customHeight="1">
      <s:c r="A20" s="2" t="inlineStr">
        <s:is>
          <s:t>Fixed operations</s:t>
        </s:is>
      </s:c>
      <s:c r="B20" s="3">
        <s:f>Inputs!B20</s:f>
        <s:v>30000</s:v>
      </s:c>
      <s:c r="C20" s="2" t="inlineStr">
        <s:is>
          <s:t>EUR/year</s:t>
        </s:is>
      </s:c>
      <s:c r="D20" s="2" t="inlineStr">
        <s:is>
          <s:t>Excludes wages, maintenance, utilities</s:t>
        </s:is>
      </s:c>
    </s:row>
    <s:row r="21" ht="32" customHeight="1">
      <s:c r="A21" s="2" t="inlineStr">
        <s:is>
          <s:t>Wages incl. employer costs</s:t>
        </s:is>
      </s:c>
      <s:c r="B21" s="3">
        <s:f>Inputs!B21</s:f>
        <s:v>60000</s:v>
      </s:c>
      <s:c r="C21" s="2" t="inlineStr">
        <s:is>
          <s:t>EUR/year</s:t>
        </s:is>
      </s:c>
      <s:c r="D21" s="2" t="inlineStr">
        <s:is>
          <s:t>Illustrative annual staffing</s:t>
        </s:is>
      </s:c>
    </s:row>
    <s:row r="22" ht="32" customHeight="1">
      <s:c r="A22" s="2" t="inlineStr">
        <s:is>
          <s:t>Variable operations</s:t>
        </s:is>
      </s:c>
      <s:c r="B22" s="3">
        <s:f>Inputs!B22</s:f>
        <s:v>300</s:v>
      </s:c>
      <s:c r="C22" s="2" t="inlineStr">
        <s:is>
          <s:t>EUR/occupied room/year</s:t>
        </s:is>
      </s:c>
      <s:c r="D22" s="2" t="inlineStr">
        <s:is>
          <s:t>Cleaning/administration, excludes utilities</s:t>
        </s:is>
      </s:c>
    </s:row>
    <s:row r="23" ht="32" customHeight="1">
      <s:c r="A23" s="2" t="inlineStr">
        <s:is>
          <s:t>Utilities</s:t>
        </s:is>
      </s:c>
      <s:c r="B23" s="3">
        <s:f>Inputs!B23</s:f>
        <s:v>900</s:v>
      </s:c>
      <s:c r="C23" s="2" t="inlineStr">
        <s:is>
          <s:t>EUR/occupied room/year</s:t>
        </s:is>
      </s:c>
      <s:c r="D23" s="2" t="inlineStr">
        <s:is>
          <s:t>All-in rent model</s:t>
        </s:is>
      </s:c>
    </s:row>
    <s:row r="24" ht="32" customHeight="1">
      <s:c r="A24" s="2" t="inlineStr">
        <s:is>
          <s:t>Maintenance reserve</s:t>
        </s:is>
      </s:c>
      <s:c r="B24" s="4">
        <s:f>Inputs!B24</s:f>
        <s:v>0.01</s:v>
      </s:c>
      <s:c r="C24" s="2" t="inlineStr">
        <s:is>
          <s:t>share/year</s:t>
        </s:is>
      </s:c>
      <s:c r="D24" s="2" t="inlineStr">
        <s:is>
          <s:t>Of construction + facilities; treated as annual cash expense</s:t>
        </s:is>
      </s:c>
    </s:row>
    <s:row r="25" ht="32" customHeight="1">
      <s:c r="A25" s="2" t="inlineStr">
        <s:is>
          <s:t>Refurbishment interval</s:t>
        </s:is>
      </s:c>
      <s:c r="B25" s="3">
        <s:f>Inputs!B25</s:f>
        <s:v>15</s:v>
      </s:c>
      <s:c r="C25" s="2" t="inlineStr">
        <s:is>
          <s:t>operating years</s:t>
        </s:is>
      </s:c>
      <s:c r="D25" s="2" t="inlineStr">
        <s:is>
          <s:t>Every N years, before final operating year</s:t>
        </s:is>
      </s:c>
    </s:row>
    <s:row r="26" ht="32" customHeight="1">
      <s:c r="A26" s="2" t="inlineStr">
        <s:is>
          <s:t>Refurbishment cost</s:t>
        </s:is>
      </s:c>
      <s:c r="B26" s="3">
        <s:f>Inputs!B26</s:f>
        <s:v>300000</s:v>
      </s:c>
      <s:c r="C26" s="2" t="inlineStr">
        <s:is>
          <s:t>EUR/event</s:t>
        </s:is>
      </s:c>
      <s:c r="D26" s="2" t="inlineStr">
        <s:is>
          <s:t>Today-price cost, escalates with operating costs</s:t>
        </s:is>
      </s:c>
    </s:row>
    <s:row r="27" ht="32" customHeight="1">
      <s:c r="A27" s="2" t="inlineStr">
        <s:is>
          <s:t>Terminal gross asset value</s:t>
        </s:is>
      </s:c>
      <s:c r="B27" s="3">
        <s:f>Inputs!B27</s:f>
        <s:v>0</s:v>
      </s:c>
      <s:c r="C27" s="2" t="inlineStr">
        <s:is>
          <s:t>EUR at end</s:t>
        </s:is>
      </s:c>
      <s:c r="D27" s="2" t="inlineStr">
        <s:is>
          <s:t>Default zero; enter defensible net-of-tax valuation assumption</s:t>
        </s:is>
      </s:c>
    </s:row>
    <s:row r="28" ht="32" customHeight="1">
      <s:c r="A28" s="2" t="inlineStr">
        <s:is>
          <s:t>Sale costs</s:t>
        </s:is>
      </s:c>
      <s:c r="B28" s="4">
        <s:f>Inputs!B28</s:f>
        <s:v>0.02</s:v>
      </s:c>
      <s:c r="C28" s="2" t="inlineStr">
        <s:is>
          <s:t>share</s:t>
        </s:is>
      </s:c>
      <s:c r="D28" s="2" t="inlineStr">
        <s:is>
          <s:t>Of gross terminal value</s:t>
        </s:is>
      </s:c>
    </s:row>
  </s:sheetData>
  <s:pageMargins left="0.75" right="0.75" top="1" bottom="1" header="0.5" footer="0.5"/>
</s:worksheet>
</file>

<file path=xl/worksheets/sheet10.xml><?xml version="1.0" encoding="utf-8"?>
<s:worksheet xmlns:s="http://schemas.openxmlformats.org/spreadsheetml/2006/main">
  <s:sheetPr>
    <s:outlinePr summaryBelow="1" summaryRight="1"/>
    <s:pageSetUpPr/>
  </s:sheetPr>
  <s:dimension ref="A1:C20"/>
  <s:sheetViews>
    <s:sheetView workbookViewId="0">
      <s:selection activeCell="A1" sqref="A1"/>
    </s:sheetView>
  </s:sheetViews>
  <s:sheetFormatPr baseColWidth="8" defaultRowHeight="15" outlineLevelCol="0"/>
  <s:cols>
    <s:col width="39" customWidth="1" min="1" max="1"/>
    <s:col width="27"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Metric</s:t>
        </s:is>
      </s:c>
      <s:c r="B1" s="1" t="inlineStr">
        <s:is>
          <s:t>Value</s:t>
        </s:is>
      </s:c>
      <s:c r="C1" s="1" t="inlineStr">
        <s:is>
          <s:t>Interpretation</s:t>
        </s:is>
      </s:c>
    </s:row>
    <s:row r="2" ht="32" customHeight="1">
      <s:c r="A2" s="2" t="inlineStr">
        <s:is>
          <s:t>Gross initial investment</s:t>
        </s:is>
      </s:c>
      <s:c r="B2" s="14">
        <s:f>'S1 inputs'!$B$4+'S1 inputs'!$B$2*'S1 inputs'!$B$3*'S1 inputs'!$B$5+'S1 inputs'!$B$6+('S1 inputs'!$B$2*'S1 inputs'!$B$3*'S1 inputs'!$B$5+'S1 inputs'!$B$6)*'S1 inputs'!$B$7+('S1 inputs'!$B$2*'S1 inputs'!$B$3*'S1 inputs'!$B$5+'S1 inputs'!$B$6)*(1+'S1 inputs'!$B$7)*'S1 inputs'!$B$8+'S1 inputs'!$B$9</s:f>
        <s:v>8944000.000000002</s:v>
      </s:c>
      <s:c r="C2" s="2" t="inlineStr">
        <s:is>
          <s:t>Includes contingency; no subsidy deduction</s:t>
        </s:is>
      </s:c>
    </s:row>
    <s:row r="3" ht="32" customHeight="1">
      <s:c r="A3" s="2" t="inlineStr">
        <s:is>
          <s:t>Investor initial cash</s:t>
        </s:is>
      </s:c>
      <s:c r="B3" s="14">
        <s:f>B2-'S1 inputs'!$B$10</s:f>
        <s:v>8944000.000000002</s:v>
      </s:c>
      <s:c r="C3" s="2" t="inlineStr">
        <s:is>
          <s:t>Gross investment less committed upfront subsidy</s:t>
        </s:is>
      </s:c>
    </s:row>
    <s:row r="4" ht="32" customHeight="1">
      <s:c r="A4" s="2" t="inlineStr">
        <s:is>
          <s:t>Construction years</s:t>
        </s:is>
      </s:c>
      <s:c r="B4" s="14">
        <s:f>ROUNDUP('S1 inputs'!$B$11/12,0)</s:f>
        <s:v>2</s:v>
      </s:c>
      <s:c r="C4" s="2" t="inlineStr">
        <s:is>
          <s:t>Conservative rounding; full-year operating model</s:t>
        </s:is>
      </s:c>
    </s:row>
    <s:row r="5" ht="32" customHeight="1">
      <s:c r="A5" s="2" t="inlineStr">
        <s:is>
          <s:t>Final cash-flow year</s:t>
        </s:is>
      </s:c>
      <s:c r="B5" s="14">
        <s:f>B4+'S1 inputs'!$B$12</s:f>
        <s:v>42</s:v>
      </s:c>
      <s:c r="C5" s="2" t="inlineStr">
        <s:is>
          <s:t>Construction + operating life</s:t>
        </s:is>
      </s:c>
    </s:row>
    <s:row r="6" ht="32" customHeight="1">
      <s:c r="A6" s="2" t="inlineStr">
        <s:is>
          <s:t>NPV</s:t>
        </s:is>
      </s:c>
      <s:c r="B6" s="14">
        <s:f>SUM('S1 cash flow'!J2:J62)</s:f>
        <s:v>-2280501.2520845328</s:v>
      </s:c>
      <s:c r="C6" s="2" t="inlineStr">
        <s:is>
          <s:t>Project NPV including terminal value</s:t>
        </s:is>
      </s:c>
    </s:row>
    <s:row r="7" ht="32" customHeight="1">
      <s:c r="A7" s="2" t="inlineStr">
        <s:is>
          <s:t>IRR</s:t>
        </s:is>
      </s:c>
      <s:c r="B7" s="7">
        <s:f>IFERROR(IRR('S1 cash flow'!H2:H62),"No IRR")</s:f>
        <s:v>0.042735163807934406</s:v>
      </s:c>
      <s:c r="C7" s="2" t="inlineStr">
        <s:is>
          <s:t>Annual project IRR; check sign changes</s:t>
        </s:is>
      </s:c>
    </s:row>
    <s:row r="8" ht="32" customHeight="1">
      <s:c r="A8" s="2" t="inlineStr">
        <s:is>
          <s:t>Simple PBP (years)</s:t>
        </s:is>
      </s:c>
      <s:c r="B8" s="14">
        <s:f>IF(COUNT('S1 cash flow'!M3:M62)&gt;0,MIN('S1 cash flow'!M3:M62),"Not recovered")</s:f>
        <s:v>21.286046031105062</s:v>
      </s:c>
      <s:c r="C8" s="2" t="inlineStr">
        <s:is>
          <s:t>From time 0; interpolated annual cash; excludes terminal sale</s:t>
        </s:is>
      </s:c>
    </s:row>
    <s:row r="9" ht="32" customHeight="1">
      <s:c r="A9" s="2" t="inlineStr">
        <s:is>
          <s:t>Student price P</s:t>
        </s:is>
      </s:c>
      <s:c r="B9" s="14">
        <s:f>'S1 inputs'!$B$16</s:f>
        <s:v>600</s:v>
      </s:c>
      <s:c r="C9" s="2" t="inlineStr">
        <s:is>
          <s:t>Initial monthly all-in rent</s:t>
        </s:is>
      </s:c>
    </s:row>
    <s:row r="10" ht="32" customHeight="1">
      <s:c r="A10" s="2" t="inlineStr">
        <s:is>
          <s:t>Student affordability cap</s:t>
        </s:is>
      </s:c>
      <s:c r="B10" s="14">
        <s:f>'S1 inputs'!$B$17</s:f>
        <s:v>650</s:v>
      </s:c>
      <s:c r="C10" s="2" t="inlineStr">
        <s:is>
          <s:t>Editable student budget threshold</s:t>
        </s:is>
      </s:c>
    </s:row>
    <s:row r="11" ht="32" customHeight="1">
      <s:c r="A11" s="2" t="inlineStr">
        <s:is>
          <s:t>Required initial rent for NPV = 0</s:t>
        </s:is>
      </s:c>
      <s:c r="B11" s="14">
        <s:f>MAX(0,('S1 inputs'!$B$16*SUM('S1 cash flow'!L3:L62)-B6)/SUM('S1 cash flow'!L3:L62))</s:f>
        <s:v>714.4841184943983</s:v>
      </s:c>
      <s:c r="C11" s="2" t="inlineStr">
        <s:is>
          <s:t>Investor break-even price given all other inputs</s:t>
        </s:is>
      </s:c>
    </s:row>
    <s:row r="12" ht="32" customHeight="1">
      <s:c r="A12" s="2" t="inlineStr">
        <s:is>
          <s:t>NPV at affordability cap</s:t>
        </s:is>
      </s:c>
      <s:c r="B12" s="14">
        <s:f>B6+('S1 inputs'!$B$17-'S1 inputs'!$B$16)*SUM('S1 cash flow'!L3:L62)</s:f>
        <s:v>-1284511.0300014073</s:v>
      </s:c>
      <s:c r="C12" s="2" t="inlineStr">
        <s:is>
          <s:t>Feasibility under student cap</s:t>
        </s:is>
      </s:c>
    </s:row>
    <s:row r="13" ht="32" customHeight="1">
      <s:c r="A13" s="2" t="inlineStr">
        <s:is>
          <s:t>Upfront subsidy needed at cap</s:t>
        </s:is>
      </s:c>
      <s:c r="B13" s="14">
        <s:f>MAX(0,-B12)</s:f>
        <s:v>1284511.0300014073</s:v>
      </s:c>
      <s:c r="C13" s="2" t="inlineStr">
        <s:is>
          <s:t>Additional time-0 grant / cost reduction required</s:t>
        </s:is>
      </s:c>
    </s:row>
    <s:row r="14" ht="32" customHeight="1">
      <s:c r="A14" s="2" t="inlineStr">
        <s:is>
          <s:t>Maximum investor capital at cap</s:t>
        </s:is>
      </s:c>
      <s:c r="B14" s="14">
        <s:f>B3+B12</s:f>
        <s:v>7659488.969998594</s:v>
      </s:c>
      <s:c r="C14" s="2" t="inlineStr">
        <s:is>
          <s:t>PV of future net cash flows at capped rent</s:t>
        </s:is>
      </s:c>
    </s:row>
    <s:row r="15" ht="32" customHeight="1">
      <s:c r="A15" s="2" t="inlineStr">
        <s:is>
          <s:t>Joint feasibility</s:t>
        </s:is>
      </s:c>
      <s:c r="B15" s="14" t="str">
        <s:f>IF(B11&lt;=B10,"Feasible under assumptions","Funding / cost gap")</s:f>
        <s:v>Funding / cost gap</s:v>
      </s:c>
      <s:c r="C15" s="2" t="inlineStr">
        <s:is>
          <s:t>A positive gap cannot be solved by choosing an arbitrary rent</s:t>
        </s:is>
      </s:c>
    </s:row>
    <s:row r="16" ht="32" customHeight="1">
      <s:c r="A16" s="2" t="inlineStr">
        <s:is>
          <s:t>Recommended student price</s:t>
        </s:is>
      </s:c>
      <s:c r="B16" s="14" t="str">
        <s:f>IF(B11&lt;=B10,B11,"No feasible price under cap")</s:f>
        <s:v>No feasible price under cap</s:v>
      </s:c>
      <s:c r="C16" s="2" t="inlineStr">
        <s:is>
          <s:t>Lowest price meeting NPV &gt;= 0 at selected discount rate</s:t>
        </s:is>
      </s:c>
    </s:row>
    <s:row r="17" ht="32" customHeight="1">
      <s:c r="A17" s="2" t="inlineStr">
        <s:is>
          <s:t>First full operating year</s:t>
        </s:is>
      </s:c>
      <s:c r="B17" s="14">
        <s:f>B4+1</s:f>
        <s:v>3</s:v>
      </s:c>
      <s:c r="C17" s="2" t="inlineStr">
        <s:is>
          <s:t>Minimum safe planning time requires site and permit evidence</s:t>
        </s:is>
      </s:c>
    </s:row>
    <s:row r="18">
      <s:c r="A18" t="inlineStr">
        <s:is>
          <s:t>Input check</s:t>
        </s:is>
      </s:c>
      <s:c r="B18" t="str">
        <s:f>IF(AND('S1 inputs'!B10&lt;=B2,'S1 inputs'!B14&gt;0,B5&lt;=60),"OK","CHECK subsidy, occupancy or horizon")</s:f>
        <s:v>OK</s:v>
      </s:c>
      <s:c r="C18" t="inlineStr">
        <s:is>
          <s:t>Subsidy must not exceed gross investment; positive occupancy required</s:t>
        </s:is>
      </s:c>
    </s:row>
    <s:row r="19">
      <s:c r="A19" t="inlineStr">
        <s:is>
          <s:t>Discounted PBP (years)</s:t>
        </s:is>
      </s:c>
      <s:c r="B19" t="str">
        <s:f>IF(COUNT('S1 cash flow'!O3:O62)&gt;0,MIN('S1 cash flow'!O3:O62),"Not recovered")</s:f>
        <s:v>Not recovered</s:v>
      </s:c>
      <s:c r="C19" t="inlineStr">
        <s:is>
          <s:t>Discounted at project hurdle; excludes terminal sale</s:t>
        </s:is>
      </s:c>
    </s:row>
    <s:row r="20">
      <s:c r="A20" t="inlineStr">
        <s:is>
          <s:t>Capital per room</s:t>
        </s:is>
      </s:c>
      <s:c r="B20">
        <s:f>B2/'S1 inputs'!B2</s:f>
        <s:v>89440.00000000001</s:v>
      </s:c>
      <s:c r="C20" t="inlineStr">
        <s:is>
          <s:t>Gross investment / room, including allocated common area and land</s:t>
        </s:is>
      </s:c>
    </s:row>
  </s:sheetData>
  <s:pageMargins left="0.75" right="0.75" top="1" bottom="1" header="0.5" footer="0.5"/>
</s:worksheet>
</file>

<file path=xl/worksheets/sheet11.xml><?xml version="1.0" encoding="utf-8"?>
<s:worksheet xmlns:s="http://schemas.openxmlformats.org/spreadsheetml/2006/main">
  <s:sheetPr>
    <s:outlinePr summaryBelow="1" summaryRight="1"/>
    <s:pageSetUpPr/>
  </s:sheetPr>
  <s:dimension ref="A1:O62"/>
  <s:sheetViews>
    <s:sheetView workbookViewId="0">
      <s:selection activeCell="A1" sqref="A1"/>
    </s:sheetView>
  </s:sheetViews>
  <s:sheetFormatPr baseColWidth="8" defaultRowHeight="15" outlineLevelCol="0"/>
  <s:cols>
    <s:col width="39" customWidth="1" min="1" max="1"/>
    <s:col width="23" customWidth="1" min="2" max="2"/>
    <s:col width="23" customWidth="1" min="3" max="3"/>
    <s:col width="23" customWidth="1" min="4" max="4"/>
    <s:col width="23" customWidth="1" min="5" max="5"/>
    <s:col width="23" customWidth="1" min="6" max="6"/>
    <s:col width="23" customWidth="1" min="7" max="7"/>
    <s:col width="23" customWidth="1" min="8" max="8"/>
    <s:col width="23" customWidth="1" min="9" max="9"/>
    <s:col width="23" customWidth="1" min="10" max="10"/>
    <s:col width="23" customWidth="1" min="11" max="11"/>
    <s:col width="23" customWidth="1" min="12" max="12"/>
    <s:col width="25" customWidth="1" min="13" max="13"/>
    <s:col width="25" customWidth="1" min="14" max="14"/>
    <s:col width="25" customWidth="1" min="15" max="15"/>
  </s:cols>
  <s:sheetData>
    <s:row r="1" ht="30" customHeight="1">
      <s:c r="A1" s="1" t="inlineStr">
        <s:is>
          <s:t>Year</s:t>
        </s:is>
      </s:c>
      <s:c r="B1" s="1" t="inlineStr">
        <s:is>
          <s:t>Operating year</s:t>
        </s:is>
      </s:c>
      <s:c r="C1" s="1" t="inlineStr">
        <s:is>
          <s:t>All-in rent / month</s:t>
        </s:is>
      </s:c>
      <s:c r="D1" s="1" t="inlineStr">
        <s:is>
          <s:t>Revenue</s:t>
        </s:is>
      </s:c>
      <s:c r="E1" s="1" t="inlineStr">
        <s:is>
          <s:t>Operating costs</s:t>
        </s:is>
      </s:c>
      <s:c r="F1" s="1" t="inlineStr">
        <s:is>
          <s:t>Refurbishment</s:t>
        </s:is>
      </s:c>
      <s:c r="G1" s="1" t="inlineStr">
        <s:is>
          <s:t>Terminal proceeds</s:t>
        </s:is>
      </s:c>
      <s:c r="H1" s="1" t="inlineStr">
        <s:is>
          <s:t>Net cash flow</s:t>
        </s:is>
      </s:c>
      <s:c r="I1" s="1" t="inlineStr">
        <s:is>
          <s:t>Discount factor</s:t>
        </s:is>
      </s:c>
      <s:c r="J1" s="1" t="inlineStr">
        <s:is>
          <s:t>PV cash flow</s:t>
        </s:is>
      </s:c>
      <s:c r="K1" s="1" t="inlineStr">
        <s:is>
          <s:t>Cumulative operating cash</s:t>
        </s:is>
      </s:c>
      <s:c r="L1" s="1" t="inlineStr">
        <s:is>
          <s:t>PV revenue per EUR rent</s:t>
        </s:is>
      </s:c>
      <s:c r="M1" t="inlineStr">
        <s:is>
          <s:t>Payback crossing year</s:t>
        </s:is>
      </s:c>
      <s:c r="N1" t="inlineStr">
        <s:is>
          <s:t>Cumulative discounted cash</s:t>
        </s:is>
      </s:c>
      <s:c r="O1" t="inlineStr">
        <s:is>
          <s:t>Discounted crossing year</s:t>
        </s:is>
      </s:c>
    </s:row>
    <s:row r="2" ht="20" customHeight="1">
      <s:c r="A2" s="2" t="n">
        <s:v>0</s:v>
      </s:c>
      <s:c r="B2" s="2">
        <s:f>IF(AND(A2&gt;'S1 results'!$B$4,A2&lt;='S1 results'!$B$5),A2-'S1 results'!$B$4,0)</s:f>
        <s:v>0</s:v>
      </s:c>
      <s:c r="C2" s="5">
        <s:f>IF(B2&gt;0,'S1 inputs'!$B$16*(1+'S1 inputs'!$B$18)^(B2-1),0)</s:f>
        <s:v>0</s:v>
      </s:c>
      <s:c r="D2" s="5">
        <s:f>IF(B2&gt;0,'S1 inputs'!$B$2*'S1 inputs'!$B$14*'S1 inputs'!$B$15*C2,0)</s:f>
        <s:v>0</s:v>
      </s:c>
      <s:c r="E2" s="5">
        <s:f>IF(B2&gt;0,('S1 inputs'!$B$20+'S1 inputs'!$B$21+'S1 inputs'!$B$2*'S1 inputs'!$B$14*('S1 inputs'!$B$22+'S1 inputs'!$B$23)+('S1 inputs'!$B$2*'S1 inputs'!$B$3*'S1 inputs'!$B$5+'S1 inputs'!$B$6)*'S1 inputs'!$B$24)*(1+'S1 inputs'!$B$19)^(B2-1),0)</s:f>
        <s:v>0</s:v>
      </s:c>
      <s:c r="F2" s="5">
        <s:f>IF(AND(B2&gt;0,B2&lt;'S1 inputs'!$B$12,MOD(B2,'S1 inputs'!$B$25)=0),'S1 inputs'!$B$26*(1+'S1 inputs'!$B$19)^(B2-1),0)</s:f>
        <s:v>0</s:v>
      </s:c>
      <s:c r="G2" s="5">
        <s:f>IF(A2='S1 results'!$B$5,'S1 inputs'!$B$27*(1-'S1 inputs'!$B$28),0)</s:f>
        <s:v>0</s:v>
      </s:c>
      <s:c r="H2" s="5">
        <s:f> -'S1 results'!B3</s:f>
        <s:v>-8944000.000000002</s:v>
      </s:c>
      <s:c r="I2" s="5">
        <s:f>1/(1+'S1 inputs'!$B$13)^A2</s:f>
        <s:v>1.0</s:v>
      </s:c>
      <s:c r="J2" s="5">
        <s:f>H2*I2</s:f>
        <s:v>-8944000.000000002</s:v>
      </s:c>
      <s:c r="K2" s="5">
        <s:f>-'S1 results'!B3</s:f>
        <s:v>-8944000.000000002</s:v>
      </s:c>
      <s:c r="L2" s="5">
        <s:f>IF(B2&gt;0,'S1 inputs'!$B$2*'S1 inputs'!$B$14*'S1 inputs'!$B$15*(1+'S1 inputs'!$B$18)^(B2-1)*I2,0)</s:f>
        <s:v>0</s:v>
      </s:c>
      <s:c r="M2" s="11" t="inlineStr"/>
      <s:c r="N2" s="11">
        <s:f>J2</s:f>
        <s:v>-8944000.000000002</s:v>
      </s:c>
      <s:c r="O2" s="11" t="inlineStr"/>
    </s:row>
    <s:row r="3" ht="20" customHeight="1">
      <s:c r="A3" s="2" t="n">
        <s:v>1</s:v>
      </s:c>
      <s:c r="B3" s="2">
        <s:f>IF(AND(A3&gt;'S1 results'!$B$4,A3&lt;='S1 results'!$B$5),A3-'S1 results'!$B$4,0)</s:f>
        <s:v>0</s:v>
      </s:c>
      <s:c r="C3" s="5">
        <s:f>IF(B3&gt;0,'S1 inputs'!$B$16*(1+'S1 inputs'!$B$18)^(B3-1),0)</s:f>
        <s:v>0</s:v>
      </s:c>
      <s:c r="D3" s="5">
        <s:f>IF(B3&gt;0,'S1 inputs'!$B$2*'S1 inputs'!$B$14*'S1 inputs'!$B$15*C3,0)</s:f>
        <s:v>0</s:v>
      </s:c>
      <s:c r="E3" s="5">
        <s:f>IF(B3&gt;0,('S1 inputs'!$B$20+'S1 inputs'!$B$21+'S1 inputs'!$B$2*'S1 inputs'!$B$14*('S1 inputs'!$B$22+'S1 inputs'!$B$23)+('S1 inputs'!$B$2*'S1 inputs'!$B$3*'S1 inputs'!$B$5+'S1 inputs'!$B$6)*'S1 inputs'!$B$24)*(1+'S1 inputs'!$B$19)^(B3-1),0)</s:f>
        <s:v>0</s:v>
      </s:c>
      <s:c r="F3" s="5">
        <s:f>IF(AND(B3&gt;0,B3&lt;'S1 inputs'!$B$12,MOD(B3,'S1 inputs'!$B$25)=0),'S1 inputs'!$B$26*(1+'S1 inputs'!$B$19)^(B3-1),0)</s:f>
        <s:v>0</s:v>
      </s:c>
      <s:c r="G3" s="5">
        <s:f>IF(A3='S1 results'!$B$5,'S1 inputs'!$B$27*(1-'S1 inputs'!$B$28),0)</s:f>
        <s:v>0</s:v>
      </s:c>
      <s:c r="H3" s="5">
        <s:f>D3-E3-F3+G3</s:f>
        <s:v>0</s:v>
      </s:c>
      <s:c r="I3" s="5">
        <s:f>1/(1+'S1 inputs'!$B$13)^A3</s:f>
        <s:v>0.9433962264150942</s:v>
      </s:c>
      <s:c r="J3" s="5">
        <s:f>H3*I3</s:f>
        <s:v>0.0</s:v>
      </s:c>
      <s:c r="K3" s="5">
        <s:f>K2+H3-G3</s:f>
        <s:v>-8944000.000000002</s:v>
      </s:c>
      <s:c r="L3" s="5">
        <s:f>IF(B3&gt;0,'S1 inputs'!$B$2*'S1 inputs'!$B$14*'S1 inputs'!$B$15*(1+'S1 inputs'!$B$18)^(B3-1)*I3,0)</s:f>
        <s:v>0</s:v>
      </s:c>
      <s:c r="M3" s="11" t="str">
        <s:f>IF(AND(K3&gt;=0,K2&lt;0),A3-1-K2/(H3-G3),"")</s:f>
        <s:v/>
      </s:c>
      <s:c r="N3" s="11">
        <s:f>N2+J3-G3*I3</s:f>
        <s:v>-8944000.000000002</s:v>
      </s:c>
      <s:c r="O3" s="11" t="str">
        <s:f>IF(AND(N3&gt;=0,N2&lt;0),A3-1-N2/((H3-G3)*I3),"")</s:f>
        <s:v/>
      </s:c>
    </s:row>
    <s:row r="4" ht="20" customHeight="1">
      <s:c r="A4" s="2" t="n">
        <s:v>2</s:v>
      </s:c>
      <s:c r="B4" s="2">
        <s:f>IF(AND(A4&gt;'S1 results'!$B$4,A4&lt;='S1 results'!$B$5),A4-'S1 results'!$B$4,0)</s:f>
        <s:v>0</s:v>
      </s:c>
      <s:c r="C4" s="5">
        <s:f>IF(B4&gt;0,'S1 inputs'!$B$16*(1+'S1 inputs'!$B$18)^(B4-1),0)</s:f>
        <s:v>0</s:v>
      </s:c>
      <s:c r="D4" s="5">
        <s:f>IF(B4&gt;0,'S1 inputs'!$B$2*'S1 inputs'!$B$14*'S1 inputs'!$B$15*C4,0)</s:f>
        <s:v>0</s:v>
      </s:c>
      <s:c r="E4" s="5">
        <s:f>IF(B4&gt;0,('S1 inputs'!$B$20+'S1 inputs'!$B$21+'S1 inputs'!$B$2*'S1 inputs'!$B$14*('S1 inputs'!$B$22+'S1 inputs'!$B$23)+('S1 inputs'!$B$2*'S1 inputs'!$B$3*'S1 inputs'!$B$5+'S1 inputs'!$B$6)*'S1 inputs'!$B$24)*(1+'S1 inputs'!$B$19)^(B4-1),0)</s:f>
        <s:v>0</s:v>
      </s:c>
      <s:c r="F4" s="5">
        <s:f>IF(AND(B4&gt;0,B4&lt;'S1 inputs'!$B$12,MOD(B4,'S1 inputs'!$B$25)=0),'S1 inputs'!$B$26*(1+'S1 inputs'!$B$19)^(B4-1),0)</s:f>
        <s:v>0</s:v>
      </s:c>
      <s:c r="G4" s="5">
        <s:f>IF(A4='S1 results'!$B$5,'S1 inputs'!$B$27*(1-'S1 inputs'!$B$28),0)</s:f>
        <s:v>0</s:v>
      </s:c>
      <s:c r="H4" s="5">
        <s:f>D4-E4-F4+G4</s:f>
        <s:v>0</s:v>
      </s:c>
      <s:c r="I4" s="5">
        <s:f>1/(1+'S1 inputs'!$B$13)^A4</s:f>
        <s:v>0.8899964400142398</s:v>
      </s:c>
      <s:c r="J4" s="5">
        <s:f>H4*I4</s:f>
        <s:v>0.0</s:v>
      </s:c>
      <s:c r="K4" s="5">
        <s:f>K3+H4-G4</s:f>
        <s:v>-8944000.000000002</s:v>
      </s:c>
      <s:c r="L4" s="5">
        <s:f>IF(B4&gt;0,'S1 inputs'!$B$2*'S1 inputs'!$B$14*'S1 inputs'!$B$15*(1+'S1 inputs'!$B$18)^(B4-1)*I4,0)</s:f>
        <s:v>0</s:v>
      </s:c>
      <s:c r="M4" s="11" t="str">
        <s:f>IF(AND(K4&gt;=0,K3&lt;0),A4-1-K3/(H4-G4),"")</s:f>
        <s:v/>
      </s:c>
      <s:c r="N4" s="11">
        <s:f>N3+J4-G4*I4</s:f>
        <s:v>-8944000.000000002</s:v>
      </s:c>
      <s:c r="O4" s="11" t="str">
        <s:f>IF(AND(N4&gt;=0,N3&lt;0),A4-1-N3/((H4-G4)*I4),"")</s:f>
        <s:v/>
      </s:c>
    </s:row>
    <s:row r="5" ht="20" customHeight="1">
      <s:c r="A5" s="2" t="n">
        <s:v>3</s:v>
      </s:c>
      <s:c r="B5" s="2">
        <s:f>IF(AND(A5&gt;'S1 results'!$B$4,A5&lt;='S1 results'!$B$5),A5-'S1 results'!$B$4,0)</s:f>
        <s:v>1</s:v>
      </s:c>
      <s:c r="C5" s="5">
        <s:f>IF(B5&gt;0,'S1 inputs'!$B$16*(1+'S1 inputs'!$B$18)^(B5-1),0)</s:f>
        <s:v>600.0</s:v>
      </s:c>
      <s:c r="D5" s="5">
        <s:f>IF(B5&gt;0,'S1 inputs'!$B$2*'S1 inputs'!$B$14*'S1 inputs'!$B$15*C5,0)</s:f>
        <s:v>684000.0</s:v>
      </s:c>
      <s:c r="E5" s="5">
        <s:f>IF(B5&gt;0,('S1 inputs'!$B$20+'S1 inputs'!$B$21+'S1 inputs'!$B$2*'S1 inputs'!$B$14*('S1 inputs'!$B$22+'S1 inputs'!$B$23)+('S1 inputs'!$B$2*'S1 inputs'!$B$3*'S1 inputs'!$B$5+'S1 inputs'!$B$6)*'S1 inputs'!$B$24)*(1+'S1 inputs'!$B$19)^(B5-1),0)</s:f>
        <s:v>268000.0</s:v>
      </s:c>
      <s:c r="F5" s="5">
        <s:f>IF(AND(B5&gt;0,B5&lt;'S1 inputs'!$B$12,MOD(B5,'S1 inputs'!$B$25)=0),'S1 inputs'!$B$26*(1+'S1 inputs'!$B$19)^(B5-1),0)</s:f>
        <s:v>0</s:v>
      </s:c>
      <s:c r="G5" s="5">
        <s:f>IF(A5='S1 results'!$B$5,'S1 inputs'!$B$27*(1-'S1 inputs'!$B$28),0)</s:f>
        <s:v>0</s:v>
      </s:c>
      <s:c r="H5" s="5">
        <s:f>D5-E5-F5+G5</s:f>
        <s:v>416000.0</s:v>
      </s:c>
      <s:c r="I5" s="5">
        <s:f>1/(1+'S1 inputs'!$B$13)^A5</s:f>
        <s:v>0.8396192830323018</s:v>
      </s:c>
      <s:c r="J5" s="5">
        <s:f>H5*I5</s:f>
        <s:v>349281.6217414376</s:v>
      </s:c>
      <s:c r="K5" s="5">
        <s:f>K4+H5-G5</s:f>
        <s:v>-8528000.000000002</s:v>
      </s:c>
      <s:c r="L5" s="5">
        <s:f>IF(B5&gt;0,'S1 inputs'!$B$2*'S1 inputs'!$B$14*'S1 inputs'!$B$15*(1+'S1 inputs'!$B$18)^(B5-1)*I5,0)</s:f>
        <s:v>957.1659826568241</s:v>
      </s:c>
      <s:c r="M5" s="11" t="str">
        <s:f>IF(AND(K5&gt;=0,K4&lt;0),A5-1-K4/(H5-G5),"")</s:f>
        <s:v/>
      </s:c>
      <s:c r="N5" s="11">
        <s:f>N4+J5-G5*I5</s:f>
        <s:v>-8594718.378258564</s:v>
      </s:c>
      <s:c r="O5" s="11" t="str">
        <s:f>IF(AND(N5&gt;=0,N4&lt;0),A5-1-N4/((H5-G5)*I5),"")</s:f>
        <s:v/>
      </s:c>
    </s:row>
    <s:row r="6" ht="20" customHeight="1">
      <s:c r="A6" s="2" t="n">
        <s:v>4</s:v>
      </s:c>
      <s:c r="B6" s="2">
        <s:f>IF(AND(A6&gt;'S1 results'!$B$4,A6&lt;='S1 results'!$B$5),A6-'S1 results'!$B$4,0)</s:f>
        <s:v>2</s:v>
      </s:c>
      <s:c r="C6" s="5">
        <s:f>IF(B6&gt;0,'S1 inputs'!$B$16*(1+'S1 inputs'!$B$18)^(B6-1),0)</s:f>
        <s:v>612.0</s:v>
      </s:c>
      <s:c r="D6" s="5">
        <s:f>IF(B6&gt;0,'S1 inputs'!$B$2*'S1 inputs'!$B$14*'S1 inputs'!$B$15*C6,0)</s:f>
        <s:v>697680.0</s:v>
      </s:c>
      <s:c r="E6" s="5">
        <s:f>IF(B6&gt;0,('S1 inputs'!$B$20+'S1 inputs'!$B$21+'S1 inputs'!$B$2*'S1 inputs'!$B$14*('S1 inputs'!$B$22+'S1 inputs'!$B$23)+('S1 inputs'!$B$2*'S1 inputs'!$B$3*'S1 inputs'!$B$5+'S1 inputs'!$B$6)*'S1 inputs'!$B$24)*(1+'S1 inputs'!$B$19)^(B6-1),0)</s:f>
        <s:v>274700.0</s:v>
      </s:c>
      <s:c r="F6" s="5">
        <s:f>IF(AND(B6&gt;0,B6&lt;'S1 inputs'!$B$12,MOD(B6,'S1 inputs'!$B$25)=0),'S1 inputs'!$B$26*(1+'S1 inputs'!$B$19)^(B6-1),0)</s:f>
        <s:v>0</s:v>
      </s:c>
      <s:c r="G6" s="5">
        <s:f>IF(A6='S1 results'!$B$5,'S1 inputs'!$B$27*(1-'S1 inputs'!$B$28),0)</s:f>
        <s:v>0</s:v>
      </s:c>
      <s:c r="H6" s="5">
        <s:f>D6-E6-F6+G6</s:f>
        <s:v>422980.0</s:v>
      </s:c>
      <s:c r="I6" s="5">
        <s:f>1/(1+'S1 inputs'!$B$13)^A6</s:f>
        <s:v>0.7920936632380204</s:v>
      </s:c>
      <s:c r="J6" s="5">
        <s:f>H6*I6</s:f>
        <s:v>335039.7776764179</s:v>
      </s:c>
      <s:c r="K6" s="5">
        <s:f>K5+H6-G6</s:f>
        <s:v>-8105020.000000002</s:v>
      </s:c>
      <s:c r="L6" s="5">
        <s:f>IF(B6&gt;0,'S1 inputs'!$B$2*'S1 inputs'!$B$14*'S1 inputs'!$B$15*(1+'S1 inputs'!$B$18)^(B6-1)*I6,0)</s:f>
        <s:v>921.0465116131701</s:v>
      </s:c>
      <s:c r="M6" s="11" t="str">
        <s:f>IF(AND(K6&gt;=0,K5&lt;0),A6-1-K5/(H6-G6),"")</s:f>
        <s:v/>
      </s:c>
      <s:c r="N6" s="11">
        <s:f>N5+J6-G6*I6</s:f>
        <s:v>-8259678.600582146</s:v>
      </s:c>
      <s:c r="O6" s="11" t="str">
        <s:f>IF(AND(N6&gt;=0,N5&lt;0),A6-1-N5/((H6-G6)*I6),"")</s:f>
        <s:v/>
      </s:c>
    </s:row>
    <s:row r="7" ht="20" customHeight="1">
      <s:c r="A7" s="2" t="n">
        <s:v>5</s:v>
      </s:c>
      <s:c r="B7" s="2">
        <s:f>IF(AND(A7&gt;'S1 results'!$B$4,A7&lt;='S1 results'!$B$5),A7-'S1 results'!$B$4,0)</s:f>
        <s:v>3</s:v>
      </s:c>
      <s:c r="C7" s="5">
        <s:f>IF(B7&gt;0,'S1 inputs'!$B$16*(1+'S1 inputs'!$B$18)^(B7-1),0)</s:f>
        <s:v>624.24</s:v>
      </s:c>
      <s:c r="D7" s="5">
        <s:f>IF(B7&gt;0,'S1 inputs'!$B$2*'S1 inputs'!$B$14*'S1 inputs'!$B$15*C7,0)</s:f>
        <s:v>711633.6</s:v>
      </s:c>
      <s:c r="E7" s="5">
        <s:f>IF(B7&gt;0,('S1 inputs'!$B$20+'S1 inputs'!$B$21+'S1 inputs'!$B$2*'S1 inputs'!$B$14*('S1 inputs'!$B$22+'S1 inputs'!$B$23)+('S1 inputs'!$B$2*'S1 inputs'!$B$3*'S1 inputs'!$B$5+'S1 inputs'!$B$6)*'S1 inputs'!$B$24)*(1+'S1 inputs'!$B$19)^(B7-1),0)</s:f>
        <s:v>281567.5</s:v>
      </s:c>
      <s:c r="F7" s="5">
        <s:f>IF(AND(B7&gt;0,B7&lt;'S1 inputs'!$B$12,MOD(B7,'S1 inputs'!$B$25)=0),'S1 inputs'!$B$26*(1+'S1 inputs'!$B$19)^(B7-1),0)</s:f>
        <s:v>0</s:v>
      </s:c>
      <s:c r="G7" s="5">
        <s:f>IF(A7='S1 results'!$B$5,'S1 inputs'!$B$27*(1-'S1 inputs'!$B$28),0)</s:f>
        <s:v>0</s:v>
      </s:c>
      <s:c r="H7" s="5">
        <s:f>D7-E7-F7+G7</s:f>
        <s:v>430066.1</s:v>
      </s:c>
      <s:c r="I7" s="5">
        <s:f>1/(1+'S1 inputs'!$B$13)^A7</s:f>
        <s:v>0.747258172866057</s:v>
      </s:c>
      <s:c r="J7" s="5">
        <s:f>H7*I7</s:f>
        <s:v>321370.40809763095</s:v>
      </s:c>
      <s:c r="K7" s="5">
        <s:f>K6+H7-G7</s:f>
        <s:v>-7674953.900000002</s:v>
      </s:c>
      <s:c r="L7" s="5">
        <s:f>IF(B7&gt;0,'S1 inputs'!$B$2*'S1 inputs'!$B$14*'S1 inputs'!$B$15*(1+'S1 inputs'!$B$18)^(B7-1)*I7,0)</s:f>
        <s:v>886.2900394768242</s:v>
      </s:c>
      <s:c r="M7" s="11" t="str">
        <s:f>IF(AND(K7&gt;=0,K6&lt;0),A7-1-K6/(H7-G7),"")</s:f>
        <s:v/>
      </s:c>
      <s:c r="N7" s="11">
        <s:f>N6+J7-G7*I7</s:f>
        <s:v>-7938308.192484515</s:v>
      </s:c>
      <s:c r="O7" s="11" t="str">
        <s:f>IF(AND(N7&gt;=0,N6&lt;0),A7-1-N6/((H7-G7)*I7),"")</s:f>
        <s:v/>
      </s:c>
    </s:row>
    <s:row r="8" ht="20" customHeight="1">
      <s:c r="A8" s="2" t="n">
        <s:v>6</s:v>
      </s:c>
      <s:c r="B8" s="2">
        <s:f>IF(AND(A8&gt;'S1 results'!$B$4,A8&lt;='S1 results'!$B$5),A8-'S1 results'!$B$4,0)</s:f>
        <s:v>4</s:v>
      </s:c>
      <s:c r="C8" s="5">
        <s:f>IF(B8&gt;0,'S1 inputs'!$B$16*(1+'S1 inputs'!$B$18)^(B8-1),0)</s:f>
        <s:v>636.7248000000001</s:v>
      </s:c>
      <s:c r="D8" s="5">
        <s:f>IF(B8&gt;0,'S1 inputs'!$B$2*'S1 inputs'!$B$14*'S1 inputs'!$B$15*C8,0)</s:f>
        <s:v>725866.2720000001</s:v>
      </s:c>
      <s:c r="E8" s="5">
        <s:f>IF(B8&gt;0,('S1 inputs'!$B$20+'S1 inputs'!$B$21+'S1 inputs'!$B$2*'S1 inputs'!$B$14*('S1 inputs'!$B$22+'S1 inputs'!$B$23)+('S1 inputs'!$B$2*'S1 inputs'!$B$3*'S1 inputs'!$B$5+'S1 inputs'!$B$6)*'S1 inputs'!$B$24)*(1+'S1 inputs'!$B$19)^(B8-1),0)</s:f>
        <s:v>288606.6874999999</s:v>
      </s:c>
      <s:c r="F8" s="5">
        <s:f>IF(AND(B8&gt;0,B8&lt;'S1 inputs'!$B$12,MOD(B8,'S1 inputs'!$B$25)=0),'S1 inputs'!$B$26*(1+'S1 inputs'!$B$19)^(B8-1),0)</s:f>
        <s:v>0</s:v>
      </s:c>
      <s:c r="G8" s="5">
        <s:f>IF(A8='S1 results'!$B$5,'S1 inputs'!$B$27*(1-'S1 inputs'!$B$28),0)</s:f>
        <s:v>0</s:v>
      </s:c>
      <s:c r="H8" s="5">
        <s:f>D8-E8-F8+G8</s:f>
        <s:v>437259.58450000023</s:v>
      </s:c>
      <s:c r="I8" s="5">
        <s:f>1/(1+'S1 inputs'!$B$13)^A8</s:f>
        <s:v>0.7049605404396764</s:v>
      </s:c>
      <s:c r="J8" s="5">
        <s:f>H8*I8</s:f>
        <s:v>308250.7530015485</s:v>
      </s:c>
      <s:c r="K8" s="5">
        <s:f>K7+H8-G8</s:f>
        <s:v>-7237694.315500002</s:v>
      </s:c>
      <s:c r="L8" s="5">
        <s:f>IF(B8&gt;0,'S1 inputs'!$B$2*'S1 inputs'!$B$14*'S1 inputs'!$B$15*(1+'S1 inputs'!$B$18)^(B8-1)*I8,0)</s:f>
        <s:v>852.8451323267553</s:v>
      </s:c>
      <s:c r="M8" s="11" t="str">
        <s:f>IF(AND(K8&gt;=0,K7&lt;0),A8-1-K7/(H8-G8),"")</s:f>
        <s:v/>
      </s:c>
      <s:c r="N8" s="11">
        <s:f>N7+J8-G8*I8</s:f>
        <s:v>-7630057.439482966</s:v>
      </s:c>
      <s:c r="O8" s="11" t="str">
        <s:f>IF(AND(N8&gt;=0,N7&lt;0),A8-1-N7/((H8-G8)*I8),"")</s:f>
        <s:v/>
      </s:c>
    </s:row>
    <s:row r="9" ht="20" customHeight="1">
      <s:c r="A9" s="2" t="n">
        <s:v>7</s:v>
      </s:c>
      <s:c r="B9" s="2">
        <s:f>IF(AND(A9&gt;'S1 results'!$B$4,A9&lt;='S1 results'!$B$5),A9-'S1 results'!$B$4,0)</s:f>
        <s:v>5</s:v>
      </s:c>
      <s:c r="C9" s="5">
        <s:f>IF(B9&gt;0,'S1 inputs'!$B$16*(1+'S1 inputs'!$B$18)^(B9-1),0)</s:f>
        <s:v>649.459296</s:v>
      </s:c>
      <s:c r="D9" s="5">
        <s:f>IF(B9&gt;0,'S1 inputs'!$B$2*'S1 inputs'!$B$14*'S1 inputs'!$B$15*C9,0)</s:f>
        <s:v>740383.59744</s:v>
      </s:c>
      <s:c r="E9" s="5">
        <s:f>IF(B9&gt;0,('S1 inputs'!$B$20+'S1 inputs'!$B$21+'S1 inputs'!$B$2*'S1 inputs'!$B$14*('S1 inputs'!$B$22+'S1 inputs'!$B$23)+('S1 inputs'!$B$2*'S1 inputs'!$B$3*'S1 inputs'!$B$5+'S1 inputs'!$B$6)*'S1 inputs'!$B$24)*(1+'S1 inputs'!$B$19)^(B9-1),0)</s:f>
        <s:v>295821.8546874999</s:v>
      </s:c>
      <s:c r="F9" s="5">
        <s:f>IF(AND(B9&gt;0,B9&lt;'S1 inputs'!$B$12,MOD(B9,'S1 inputs'!$B$25)=0),'S1 inputs'!$B$26*(1+'S1 inputs'!$B$19)^(B9-1),0)</s:f>
        <s:v>0</s:v>
      </s:c>
      <s:c r="G9" s="5">
        <s:f>IF(A9='S1 results'!$B$5,'S1 inputs'!$B$27*(1-'S1 inputs'!$B$28),0)</s:f>
        <s:v>0</s:v>
      </s:c>
      <s:c r="H9" s="5">
        <s:f>D9-E9-F9+G9</s:f>
        <s:v>444561.74275250017</s:v>
      </s:c>
      <s:c r="I9" s="5">
        <s:f>1/(1+'S1 inputs'!$B$13)^A9</s:f>
        <s:v>0.6650571136223361</s:v>
      </s:c>
      <s:c r="J9" s="5">
        <s:f>H9*I9</s:f>
        <s:v>295658.94946189324</s:v>
      </s:c>
      <s:c r="K9" s="5">
        <s:f>K8+H9-G9</s:f>
        <s:v>-6793132.5727475025</s:v>
      </s:c>
      <s:c r="L9" s="5">
        <s:f>IF(B9&gt;0,'S1 inputs'!$B$2*'S1 inputs'!$B$14*'S1 inputs'!$B$15*(1+'S1 inputs'!$B$18)^(B9-1)*I9,0)</s:f>
        <s:v>820.6622971446134</s:v>
      </s:c>
      <s:c r="M9" s="11" t="str">
        <s:f>IF(AND(K9&gt;=0,K8&lt;0),A9-1-K8/(H9-G9),"")</s:f>
        <s:v/>
      </s:c>
      <s:c r="N9" s="11">
        <s:f>N8+J9-G9*I9</s:f>
        <s:v>-7334398.490021073</s:v>
      </s:c>
      <s:c r="O9" s="11" t="str">
        <s:f>IF(AND(N9&gt;=0,N8&lt;0),A9-1-N8/((H9-G9)*I9),"")</s:f>
        <s:v/>
      </s:c>
    </s:row>
    <s:row r="10" ht="20" customHeight="1">
      <s:c r="A10" s="2" t="n">
        <s:v>8</s:v>
      </s:c>
      <s:c r="B10" s="2">
        <s:f>IF(AND(A10&gt;'S1 results'!$B$4,A10&lt;='S1 results'!$B$5),A10-'S1 results'!$B$4,0)</s:f>
        <s:v>6</s:v>
      </s:c>
      <s:c r="C10" s="5">
        <s:f>IF(B10&gt;0,'S1 inputs'!$B$16*(1+'S1 inputs'!$B$18)^(B10-1),0)</s:f>
        <s:v>662.4484819200001</s:v>
      </s:c>
      <s:c r="D10" s="5">
        <s:f>IF(B10&gt;0,'S1 inputs'!$B$2*'S1 inputs'!$B$14*'S1 inputs'!$B$15*C10,0)</s:f>
        <s:v>755191.2693888</s:v>
      </s:c>
      <s:c r="E10" s="5">
        <s:f>IF(B10&gt;0,('S1 inputs'!$B$20+'S1 inputs'!$B$21+'S1 inputs'!$B$2*'S1 inputs'!$B$14*('S1 inputs'!$B$22+'S1 inputs'!$B$23)+('S1 inputs'!$B$2*'S1 inputs'!$B$3*'S1 inputs'!$B$5+'S1 inputs'!$B$6)*'S1 inputs'!$B$24)*(1+'S1 inputs'!$B$19)^(B10-1),0)</s:f>
        <s:v>303217.40105468733</s:v>
      </s:c>
      <s:c r="F10" s="5">
        <s:f>IF(AND(B10&gt;0,B10&lt;'S1 inputs'!$B$12,MOD(B10,'S1 inputs'!$B$25)=0),'S1 inputs'!$B$26*(1+'S1 inputs'!$B$19)^(B10-1),0)</s:f>
        <s:v>0</s:v>
      </s:c>
      <s:c r="G10" s="5">
        <s:f>IF(A10='S1 results'!$B$5,'S1 inputs'!$B$27*(1-'S1 inputs'!$B$28),0)</s:f>
        <s:v>0</s:v>
      </s:c>
      <s:c r="H10" s="5">
        <s:f>D10-E10-F10+G10</s:f>
        <s:v>451973.8683341127</s:v>
      </s:c>
      <s:c r="I10" s="5">
        <s:f>1/(1+'S1 inputs'!$B$13)^A10</s:f>
        <s:v>0.6274123713418265</s:v>
      </s:c>
      <s:c r="J10" s="5">
        <s:f>H10*I10</s:f>
        <s:v>283573.9965160441</s:v>
      </s:c>
      <s:c r="K10" s="5">
        <s:f>K9+H10-G10</s:f>
        <s:v>-6341158.70441339</s:v>
      </s:c>
      <s:c r="L10" s="5">
        <s:f>IF(B10&gt;0,'S1 inputs'!$B$2*'S1 inputs'!$B$14*'S1 inputs'!$B$15*(1+'S1 inputs'!$B$18)^(B10-1)*I10,0)</s:f>
        <s:v>789.6939085731185</s:v>
      </s:c>
      <s:c r="M10" s="11" t="str">
        <s:f>IF(AND(K10&gt;=0,K9&lt;0),A10-1-K9/(H10-G10),"")</s:f>
        <s:v/>
      </s:c>
      <s:c r="N10" s="11">
        <s:f>N9+J10-G10*I10</s:f>
        <s:v>-7050824.493505029</s:v>
      </s:c>
      <s:c r="O10" s="11" t="str">
        <s:f>IF(AND(N10&gt;=0,N9&lt;0),A10-1-N9/((H10-G10)*I10),"")</s:f>
        <s:v/>
      </s:c>
    </s:row>
    <s:row r="11" ht="20" customHeight="1">
      <s:c r="A11" s="2" t="n">
        <s:v>9</s:v>
      </s:c>
      <s:c r="B11" s="2">
        <s:f>IF(AND(A11&gt;'S1 results'!$B$4,A11&lt;='S1 results'!$B$5),A11-'S1 results'!$B$4,0)</s:f>
        <s:v>7</s:v>
      </s:c>
      <s:c r="C11" s="5">
        <s:f>IF(B11&gt;0,'S1 inputs'!$B$16*(1+'S1 inputs'!$B$18)^(B11-1),0)</s:f>
        <s:v>675.6974515584001</s:v>
      </s:c>
      <s:c r="D11" s="5">
        <s:f>IF(B11&gt;0,'S1 inputs'!$B$2*'S1 inputs'!$B$14*'S1 inputs'!$B$15*C11,0)</s:f>
        <s:v>770295.094776576</s:v>
      </s:c>
      <s:c r="E11" s="5">
        <s:f>IF(B11&gt;0,('S1 inputs'!$B$20+'S1 inputs'!$B$21+'S1 inputs'!$B$2*'S1 inputs'!$B$14*('S1 inputs'!$B$22+'S1 inputs'!$B$23)+('S1 inputs'!$B$2*'S1 inputs'!$B$3*'S1 inputs'!$B$5+'S1 inputs'!$B$6)*'S1 inputs'!$B$24)*(1+'S1 inputs'!$B$19)^(B11-1),0)</s:f>
        <s:v>310797.8360810545</s:v>
      </s:c>
      <s:c r="F11" s="5">
        <s:f>IF(AND(B11&gt;0,B11&lt;'S1 inputs'!$B$12,MOD(B11,'S1 inputs'!$B$25)=0),'S1 inputs'!$B$26*(1+'S1 inputs'!$B$19)^(B11-1),0)</s:f>
        <s:v>0</s:v>
      </s:c>
      <s:c r="G11" s="5">
        <s:f>IF(A11='S1 results'!$B$5,'S1 inputs'!$B$27*(1-'S1 inputs'!$B$28),0)</s:f>
        <s:v>0</s:v>
      </s:c>
      <s:c r="H11" s="5">
        <s:f>D11-E11-F11+G11</s:f>
        <s:v>459497.2586955215</s:v>
      </s:c>
      <s:c r="I11" s="5">
        <s:f>1/(1+'S1 inputs'!$B$13)^A11</s:f>
        <s:v>0.591898463530025</s:v>
      </s:c>
      <s:c r="J11" s="5">
        <s:f>H11*I11</s:f>
        <s:v>271975.7214181376</s:v>
      </s:c>
      <s:c r="K11" s="5">
        <s:f>K10+H11-G11</s:f>
        <s:v>-5881661.445717868</s:v>
      </s:c>
      <s:c r="L11" s="5">
        <s:f>IF(B11&gt;0,'S1 inputs'!$B$2*'S1 inputs'!$B$14*'S1 inputs'!$B$15*(1+'S1 inputs'!$B$18)^(B11-1)*I11,0)</s:f>
        <s:v>759.8941384382838</s:v>
      </s:c>
      <s:c r="M11" s="11" t="str">
        <s:f>IF(AND(K11&gt;=0,K10&lt;0),A11-1-K10/(H11-G11),"")</s:f>
        <s:v/>
      </s:c>
      <s:c r="N11" s="11">
        <s:f>N10+J11-G11*I11</s:f>
        <s:v>-6778848.772086891</s:v>
      </s:c>
      <s:c r="O11" s="11" t="str">
        <s:f>IF(AND(N11&gt;=0,N10&lt;0),A11-1-N10/((H11-G11)*I11),"")</s:f>
        <s:v/>
      </s:c>
    </s:row>
    <s:row r="12" ht="20" customHeight="1">
      <s:c r="A12" s="2" t="n">
        <s:v>10</s:v>
      </s:c>
      <s:c r="B12" s="2">
        <s:f>IF(AND(A12&gt;'S1 results'!$B$4,A12&lt;='S1 results'!$B$5),A12-'S1 results'!$B$4,0)</s:f>
        <s:v>8</s:v>
      </s:c>
      <s:c r="C12" s="5">
        <s:f>IF(B12&gt;0,'S1 inputs'!$B$16*(1+'S1 inputs'!$B$18)^(B12-1),0)</s:f>
        <s:v>689.211400589568</s:v>
      </s:c>
      <s:c r="D12" s="5">
        <s:f>IF(B12&gt;0,'S1 inputs'!$B$2*'S1 inputs'!$B$14*'S1 inputs'!$B$15*C12,0)</s:f>
        <s:v>785700.9966721076</s:v>
      </s:c>
      <s:c r="E12" s="5">
        <s:f>IF(B12&gt;0,('S1 inputs'!$B$20+'S1 inputs'!$B$21+'S1 inputs'!$B$2*'S1 inputs'!$B$14*('S1 inputs'!$B$22+'S1 inputs'!$B$23)+('S1 inputs'!$B$2*'S1 inputs'!$B$3*'S1 inputs'!$B$5+'S1 inputs'!$B$6)*'S1 inputs'!$B$24)*(1+'S1 inputs'!$B$19)^(B12-1),0)</s:f>
        <s:v>318567.7819830809</s:v>
      </s:c>
      <s:c r="F12" s="5">
        <s:f>IF(AND(B12&gt;0,B12&lt;'S1 inputs'!$B$12,MOD(B12,'S1 inputs'!$B$25)=0),'S1 inputs'!$B$26*(1+'S1 inputs'!$B$19)^(B12-1),0)</s:f>
        <s:v>0</s:v>
      </s:c>
      <s:c r="G12" s="5">
        <s:f>IF(A12='S1 results'!$B$5,'S1 inputs'!$B$27*(1-'S1 inputs'!$B$28),0)</s:f>
        <s:v>0</s:v>
      </s:c>
      <s:c r="H12" s="5">
        <s:f>D12-E12-F12+G12</s:f>
        <s:v>467133.2146890267</s:v>
      </s:c>
      <s:c r="I12" s="5">
        <s:f>1/(1+'S1 inputs'!$B$13)^A12</s:f>
        <s:v>0.5583947769151179</s:v>
      </s:c>
      <s:c r="J12" s="5">
        <s:f>H12*I12</s:f>
        <s:v>260844.74720592092</s:v>
      </s:c>
      <s:c r="K12" s="5">
        <s:f>K11+H12-G12</s:f>
        <s:v>-5414528.231028842</s:v>
      </s:c>
      <s:c r="L12" s="5">
        <s:f>IF(B12&gt;0,'S1 inputs'!$B$2*'S1 inputs'!$B$14*'S1 inputs'!$B$15*(1+'S1 inputs'!$B$18)^(B12-1)*I12,0)</s:f>
        <s:v>731.2188879311788</s:v>
      </s:c>
      <s:c r="M12" s="11" t="str">
        <s:f>IF(AND(K12&gt;=0,K11&lt;0),A12-1-K11/(H12-G12),"")</s:f>
        <s:v/>
      </s:c>
      <s:c r="N12" s="11">
        <s:f>N11+J12-G12*I12</s:f>
        <s:v>-6518004.024880971</s:v>
      </s:c>
      <s:c r="O12" s="11" t="str">
        <s:f>IF(AND(N12&gt;=0,N11&lt;0),A12-1-N11/((H12-G12)*I12),"")</s:f>
        <s:v/>
      </s:c>
    </s:row>
    <s:row r="13" ht="20" customHeight="1">
      <s:c r="A13" s="2" t="n">
        <s:v>11</s:v>
      </s:c>
      <s:c r="B13" s="2">
        <s:f>IF(AND(A13&gt;'S1 results'!$B$4,A13&lt;='S1 results'!$B$5),A13-'S1 results'!$B$4,0)</s:f>
        <s:v>9</s:v>
      </s:c>
      <s:c r="C13" s="5">
        <s:f>IF(B13&gt;0,'S1 inputs'!$B$16*(1+'S1 inputs'!$B$18)^(B13-1),0)</s:f>
        <s:v>702.9956286013595</s:v>
      </s:c>
      <s:c r="D13" s="5">
        <s:f>IF(B13&gt;0,'S1 inputs'!$B$2*'S1 inputs'!$B$14*'S1 inputs'!$B$15*C13,0)</s:f>
        <s:v>801415.0166055498</s:v>
      </s:c>
      <s:c r="E13" s="5">
        <s:f>IF(B13&gt;0,('S1 inputs'!$B$20+'S1 inputs'!$B$21+'S1 inputs'!$B$2*'S1 inputs'!$B$14*('S1 inputs'!$B$22+'S1 inputs'!$B$23)+('S1 inputs'!$B$2*'S1 inputs'!$B$3*'S1 inputs'!$B$5+'S1 inputs'!$B$6)*'S1 inputs'!$B$24)*(1+'S1 inputs'!$B$19)^(B13-1),0)</s:f>
        <s:v>326531.9765326578</s:v>
      </s:c>
      <s:c r="F13" s="5">
        <s:f>IF(AND(B13&gt;0,B13&lt;'S1 inputs'!$B$12,MOD(B13,'S1 inputs'!$B$25)=0),'S1 inputs'!$B$26*(1+'S1 inputs'!$B$19)^(B13-1),0)</s:f>
        <s:v>0</s:v>
      </s:c>
      <s:c r="G13" s="5">
        <s:f>IF(A13='S1 results'!$B$5,'S1 inputs'!$B$27*(1-'S1 inputs'!$B$28),0)</s:f>
        <s:v>0</s:v>
      </s:c>
      <s:c r="H13" s="5">
        <s:f>D13-E13-F13+G13</s:f>
        <s:v>474883.04007289204</s:v>
      </s:c>
      <s:c r="I13" s="5">
        <s:f>1/(1+'S1 inputs'!$B$13)^A13</s:f>
        <s:v>0.5267875253916207</s:v>
      </s:c>
      <s:c r="J13" s="5">
        <s:f>H13*I13</s:f>
        <s:v>250162.46153044864</s:v>
      </s:c>
      <s:c r="K13" s="5">
        <s:f>K12+H13-G13</s:f>
        <s:v>-4939645.19095595</s:v>
      </s:c>
      <s:c r="L13" s="5">
        <s:f>IF(B13&gt;0,'S1 inputs'!$B$2*'S1 inputs'!$B$14*'S1 inputs'!$B$15*(1+'S1 inputs'!$B$18)^(B13-1)*I13,0)</s:f>
        <s:v>703.6257223488702</s:v>
      </s:c>
      <s:c r="M13" s="11" t="str">
        <s:f>IF(AND(K13&gt;=0,K12&lt;0),A13-1-K12/(H13-G13),"")</s:f>
        <s:v/>
      </s:c>
      <s:c r="N13" s="11">
        <s:f>N12+J13-G13*I13</s:f>
        <s:v>-6267841.563350522</s:v>
      </s:c>
      <s:c r="O13" s="11" t="str">
        <s:f>IF(AND(N13&gt;=0,N12&lt;0),A13-1-N12/((H13-G13)*I13),"")</s:f>
        <s:v/>
      </s:c>
    </s:row>
    <s:row r="14" ht="20" customHeight="1">
      <s:c r="A14" s="2" t="n">
        <s:v>12</s:v>
      </s:c>
      <s:c r="B14" s="2">
        <s:f>IF(AND(A14&gt;'S1 results'!$B$4,A14&lt;='S1 results'!$B$5),A14-'S1 results'!$B$4,0)</s:f>
        <s:v>10</s:v>
      </s:c>
      <s:c r="C14" s="5">
        <s:f>IF(B14&gt;0,'S1 inputs'!$B$16*(1+'S1 inputs'!$B$18)^(B14-1),0)</s:f>
        <s:v>717.0555411733866</s:v>
      </s:c>
      <s:c r="D14" s="5">
        <s:f>IF(B14&gt;0,'S1 inputs'!$B$2*'S1 inputs'!$B$14*'S1 inputs'!$B$15*C14,0)</s:f>
        <s:v>817443.3169376607</s:v>
      </s:c>
      <s:c r="E14" s="5">
        <s:f>IF(B14&gt;0,('S1 inputs'!$B$20+'S1 inputs'!$B$21+'S1 inputs'!$B$2*'S1 inputs'!$B$14*('S1 inputs'!$B$22+'S1 inputs'!$B$23)+('S1 inputs'!$B$2*'S1 inputs'!$B$3*'S1 inputs'!$B$5+'S1 inputs'!$B$6)*'S1 inputs'!$B$24)*(1+'S1 inputs'!$B$19)^(B14-1),0)</s:f>
        <s:v>334695.2759459743</s:v>
      </s:c>
      <s:c r="F14" s="5">
        <s:f>IF(AND(B14&gt;0,B14&lt;'S1 inputs'!$B$12,MOD(B14,'S1 inputs'!$B$25)=0),'S1 inputs'!$B$26*(1+'S1 inputs'!$B$19)^(B14-1),0)</s:f>
        <s:v>0</s:v>
      </s:c>
      <s:c r="G14" s="5">
        <s:f>IF(A14='S1 results'!$B$5,'S1 inputs'!$B$27*(1-'S1 inputs'!$B$28),0)</s:f>
        <s:v>0</s:v>
      </s:c>
      <s:c r="H14" s="5">
        <s:f>D14-E14-F14+G14</s:f>
        <s:v>482748.0409916864</s:v>
      </s:c>
      <s:c r="I14" s="5">
        <s:f>1/(1+'S1 inputs'!$B$13)^A14</s:f>
        <s:v>0.4969693635770006</s:v>
      </s:c>
      <s:c r="J14" s="5">
        <s:f>H14*I14</s:f>
        <s:v>239910.9866996822</s:v>
      </s:c>
      <s:c r="K14" s="5">
        <s:f>K13+H14-G14</s:f>
        <s:v>-4456897.149964264</s:v>
      </s:c>
      <s:c r="L14" s="5">
        <s:f>IF(B14&gt;0,'S1 inputs'!$B$2*'S1 inputs'!$B$14*'S1 inputs'!$B$15*(1+'S1 inputs'!$B$18)^(B14-1)*I14,0)</s:f>
        <s:v>677.0738082979694</s:v>
      </s:c>
      <s:c r="M14" s="11" t="str">
        <s:f>IF(AND(K14&gt;=0,K13&lt;0),A14-1-K13/(H14-G14),"")</s:f>
        <s:v/>
      </s:c>
      <s:c r="N14" s="11">
        <s:f>N13+J14-G14*I14</s:f>
        <s:v>-6027930.576650839</s:v>
      </s:c>
      <s:c r="O14" s="11" t="str">
        <s:f>IF(AND(N14&gt;=0,N13&lt;0),A14-1-N13/((H14-G14)*I14),"")</s:f>
        <s:v/>
      </s:c>
    </s:row>
    <s:row r="15" ht="20" customHeight="1">
      <s:c r="A15" s="2" t="n">
        <s:v>13</s:v>
      </s:c>
      <s:c r="B15" s="2">
        <s:f>IF(AND(A15&gt;'S1 results'!$B$4,A15&lt;='S1 results'!$B$5),A15-'S1 results'!$B$4,0)</s:f>
        <s:v>11</s:v>
      </s:c>
      <s:c r="C15" s="5">
        <s:f>IF(B15&gt;0,'S1 inputs'!$B$16*(1+'S1 inputs'!$B$18)^(B15-1),0)</s:f>
        <s:v>731.3966519968544</s:v>
      </s:c>
      <s:c r="D15" s="5">
        <s:f>IF(B15&gt;0,'S1 inputs'!$B$2*'S1 inputs'!$B$14*'S1 inputs'!$B$15*C15,0)</s:f>
        <s:v>833792.183276414</s:v>
      </s:c>
      <s:c r="E15" s="5">
        <s:f>IF(B15&gt;0,('S1 inputs'!$B$20+'S1 inputs'!$B$21+'S1 inputs'!$B$2*'S1 inputs'!$B$14*('S1 inputs'!$B$22+'S1 inputs'!$B$23)+('S1 inputs'!$B$2*'S1 inputs'!$B$3*'S1 inputs'!$B$5+'S1 inputs'!$B$6)*'S1 inputs'!$B$24)*(1+'S1 inputs'!$B$19)^(B15-1),0)</s:f>
        <s:v>343062.6578446236</s:v>
      </s:c>
      <s:c r="F15" s="5">
        <s:f>IF(AND(B15&gt;0,B15&lt;'S1 inputs'!$B$12,MOD(B15,'S1 inputs'!$B$25)=0),'S1 inputs'!$B$26*(1+'S1 inputs'!$B$19)^(B15-1),0)</s:f>
        <s:v>0</s:v>
      </s:c>
      <s:c r="G15" s="5">
        <s:f>IF(A15='S1 results'!$B$5,'S1 inputs'!$B$27*(1-'S1 inputs'!$B$28),0)</s:f>
        <s:v>0</s:v>
      </s:c>
      <s:c r="H15" s="5">
        <s:f>D15-E15-F15+G15</s:f>
        <s:v>490729.52543179045</s:v>
      </s:c>
      <s:c r="I15" s="5">
        <s:f>1/(1+'S1 inputs'!$B$13)^A15</s:f>
        <s:v>0.46883902224245333</s:v>
      </s:c>
      <s:c r="J15" s="5">
        <s:f>H15*I15</s:f>
        <s:v>230073.15088894378</s:v>
      </s:c>
      <s:c r="K15" s="5">
        <s:f>K14+H15-G15</s:f>
        <s:v>-3966167.6245324733</s:v>
      </s:c>
      <s:c r="L15" s="5">
        <s:f>IF(B15&gt;0,'S1 inputs'!$B$2*'S1 inputs'!$B$14*'S1 inputs'!$B$15*(1+'S1 inputs'!$B$18)^(B15-1)*I15,0)</s:f>
        <s:v>651.5238532678574</s:v>
      </s:c>
      <s:c r="M15" s="11" t="str">
        <s:f>IF(AND(K15&gt;=0,K14&lt;0),A15-1-K14/(H15-G15),"")</s:f>
        <s:v/>
      </s:c>
      <s:c r="N15" s="11">
        <s:f>N14+J15-G15*I15</s:f>
        <s:v>-5797857.425761895</s:v>
      </s:c>
      <s:c r="O15" s="11" t="str">
        <s:f>IF(AND(N15&gt;=0,N14&lt;0),A15-1-N14/((H15-G15)*I15),"")</s:f>
        <s:v/>
      </s:c>
    </s:row>
    <s:row r="16" ht="20" customHeight="1">
      <s:c r="A16" s="2" t="n">
        <s:v>14</s:v>
      </s:c>
      <s:c r="B16" s="2">
        <s:f>IF(AND(A16&gt;'S1 results'!$B$4,A16&lt;='S1 results'!$B$5),A16-'S1 results'!$B$4,0)</s:f>
        <s:v>12</s:v>
      </s:c>
      <s:c r="C16" s="5">
        <s:f>IF(B16&gt;0,'S1 inputs'!$B$16*(1+'S1 inputs'!$B$18)^(B16-1),0)</s:f>
        <s:v>746.0245850367914</s:v>
      </s:c>
      <s:c r="D16" s="5">
        <s:f>IF(B16&gt;0,'S1 inputs'!$B$2*'S1 inputs'!$B$14*'S1 inputs'!$B$15*C16,0)</s:f>
        <s:v>850468.0269419423</s:v>
      </s:c>
      <s:c r="E16" s="5">
        <s:f>IF(B16&gt;0,('S1 inputs'!$B$20+'S1 inputs'!$B$21+'S1 inputs'!$B$2*'S1 inputs'!$B$14*('S1 inputs'!$B$22+'S1 inputs'!$B$23)+('S1 inputs'!$B$2*'S1 inputs'!$B$3*'S1 inputs'!$B$5+'S1 inputs'!$B$6)*'S1 inputs'!$B$24)*(1+'S1 inputs'!$B$19)^(B16-1),0)</s:f>
        <s:v>351639.22429073916</s:v>
      </s:c>
      <s:c r="F16" s="5">
        <s:f>IF(AND(B16&gt;0,B16&lt;'S1 inputs'!$B$12,MOD(B16,'S1 inputs'!$B$25)=0),'S1 inputs'!$B$26*(1+'S1 inputs'!$B$19)^(B16-1),0)</s:f>
        <s:v>0</s:v>
      </s:c>
      <s:c r="G16" s="5">
        <s:f>IF(A16='S1 results'!$B$5,'S1 inputs'!$B$27*(1-'S1 inputs'!$B$28),0)</s:f>
        <s:v>0</s:v>
      </s:c>
      <s:c r="H16" s="5">
        <s:f>D16-E16-F16+G16</s:f>
        <s:v>498828.8026512031</s:v>
      </s:c>
      <s:c r="I16" s="5">
        <s:f>1/(1+'S1 inputs'!$B$13)^A16</s:f>
        <s:v>0.4423009643796729</s:v>
      </s:c>
      <s:c r="J16" s="5">
        <s:f>H16*I16</s:f>
        <s:v>220632.46047298468</s:v>
      </s:c>
      <s:c r="K16" s="5">
        <s:f>K15+H16-G16</s:f>
        <s:v>-3467338.82188127</s:v>
      </s:c>
      <s:c r="L16" s="5">
        <s:f>IF(B16&gt;0,'S1 inputs'!$B$2*'S1 inputs'!$B$14*'S1 inputs'!$B$15*(1+'S1 inputs'!$B$18)^(B16-1)*I16,0)</s:f>
        <s:v>626.9380474841645</s:v>
      </s:c>
      <s:c r="M16" s="11" t="str">
        <s:f>IF(AND(K16&gt;=0,K15&lt;0),A16-1-K15/(H16-G16),"")</s:f>
        <s:v/>
      </s:c>
      <s:c r="N16" s="11">
        <s:f>N15+J16-G16*I16</s:f>
        <s:v>-5577224.965288911</s:v>
      </s:c>
      <s:c r="O16" s="11" t="str">
        <s:f>IF(AND(N16&gt;=0,N15&lt;0),A16-1-N15/((H16-G16)*I16),"")</s:f>
        <s:v/>
      </s:c>
    </s:row>
    <s:row r="17" ht="20" customHeight="1">
      <s:c r="A17" s="2" t="n">
        <s:v>15</s:v>
      </s:c>
      <s:c r="B17" s="2">
        <s:f>IF(AND(A17&gt;'S1 results'!$B$4,A17&lt;='S1 results'!$B$5),A17-'S1 results'!$B$4,0)</s:f>
        <s:v>13</s:v>
      </s:c>
      <s:c r="C17" s="5">
        <s:f>IF(B17&gt;0,'S1 inputs'!$B$16*(1+'S1 inputs'!$B$18)^(B17-1),0)</s:f>
        <s:v>760.9450767375273</s:v>
      </s:c>
      <s:c r="D17" s="5">
        <s:f>IF(B17&gt;0,'S1 inputs'!$B$2*'S1 inputs'!$B$14*'S1 inputs'!$B$15*C17,0)</s:f>
        <s:v>867477.3874807812</s:v>
      </s:c>
      <s:c r="E17" s="5">
        <s:f>IF(B17&gt;0,('S1 inputs'!$B$20+'S1 inputs'!$B$21+'S1 inputs'!$B$2*'S1 inputs'!$B$14*('S1 inputs'!$B$22+'S1 inputs'!$B$23)+('S1 inputs'!$B$2*'S1 inputs'!$B$3*'S1 inputs'!$B$5+'S1 inputs'!$B$6)*'S1 inputs'!$B$24)*(1+'S1 inputs'!$B$19)^(B17-1),0)</s:f>
        <s:v>360430.2048980076</s:v>
      </s:c>
      <s:c r="F17" s="5">
        <s:f>IF(AND(B17&gt;0,B17&lt;'S1 inputs'!$B$12,MOD(B17,'S1 inputs'!$B$25)=0),'S1 inputs'!$B$26*(1+'S1 inputs'!$B$19)^(B17-1),0)</s:f>
        <s:v>0</s:v>
      </s:c>
      <s:c r="G17" s="5">
        <s:f>IF(A17='S1 results'!$B$5,'S1 inputs'!$B$27*(1-'S1 inputs'!$B$28),0)</s:f>
        <s:v>0</s:v>
      </s:c>
      <s:c r="H17" s="5">
        <s:f>D17-E17-F17+G17</s:f>
        <s:v>507047.18258277356</s:v>
      </s:c>
      <s:c r="I17" s="5">
        <s:f>1/(1+'S1 inputs'!$B$13)^A17</s:f>
        <s:v>0.4172650607355405</s:v>
      </s:c>
      <s:c r="J17" s="5">
        <s:f>H17*I17</s:f>
        <s:v>211573.0734361857</s:v>
      </s:c>
      <s:c r="K17" s="5">
        <s:f>K16+H17-G17</s:f>
        <s:v>-2960291.6392984963</s:v>
      </s:c>
      <s:c r="L17" s="5">
        <s:f>IF(B17&gt;0,'S1 inputs'!$B$2*'S1 inputs'!$B$14*'S1 inputs'!$B$15*(1+'S1 inputs'!$B$18)^(B17-1)*I17,0)</s:f>
        <s:v>603.2800079564602</s:v>
      </s:c>
      <s:c r="M17" s="11" t="str">
        <s:f>IF(AND(K17&gt;=0,K16&lt;0),A17-1-K16/(H17-G17),"")</s:f>
        <s:v/>
      </s:c>
      <s:c r="N17" s="11">
        <s:f>N16+J17-G17*I17</s:f>
        <s:v>-5365651.891852725</s:v>
      </s:c>
      <s:c r="O17" s="11" t="str">
        <s:f>IF(AND(N17&gt;=0,N16&lt;0),A17-1-N16/((H17-G17)*I17),"")</s:f>
        <s:v/>
      </s:c>
    </s:row>
    <s:row r="18" ht="20" customHeight="1">
      <s:c r="A18" s="2" t="n">
        <s:v>16</s:v>
      </s:c>
      <s:c r="B18" s="2">
        <s:f>IF(AND(A18&gt;'S1 results'!$B$4,A18&lt;='S1 results'!$B$5),A18-'S1 results'!$B$4,0)</s:f>
        <s:v>14</s:v>
      </s:c>
      <s:c r="C18" s="5">
        <s:f>IF(B18&gt;0,'S1 inputs'!$B$16*(1+'S1 inputs'!$B$18)^(B18-1),0)</s:f>
        <s:v>776.163978272278</s:v>
      </s:c>
      <s:c r="D18" s="5">
        <s:f>IF(B18&gt;0,'S1 inputs'!$B$2*'S1 inputs'!$B$14*'S1 inputs'!$B$15*C18,0)</s:f>
        <s:v>884826.9352303969</s:v>
      </s:c>
      <s:c r="E18" s="5">
        <s:f>IF(B18&gt;0,('S1 inputs'!$B$20+'S1 inputs'!$B$21+'S1 inputs'!$B$2*'S1 inputs'!$B$14*('S1 inputs'!$B$22+'S1 inputs'!$B$23)+('S1 inputs'!$B$2*'S1 inputs'!$B$3*'S1 inputs'!$B$5+'S1 inputs'!$B$6)*'S1 inputs'!$B$24)*(1+'S1 inputs'!$B$19)^(B18-1),0)</s:f>
        <s:v>369440.96002045774</s:v>
      </s:c>
      <s:c r="F18" s="5">
        <s:f>IF(AND(B18&gt;0,B18&lt;'S1 inputs'!$B$12,MOD(B18,'S1 inputs'!$B$25)=0),'S1 inputs'!$B$26*(1+'S1 inputs'!$B$19)^(B18-1),0)</s:f>
        <s:v>0</s:v>
      </s:c>
      <s:c r="G18" s="5">
        <s:f>IF(A18='S1 results'!$B$5,'S1 inputs'!$B$27*(1-'S1 inputs'!$B$28),0)</s:f>
        <s:v>0</s:v>
      </s:c>
      <s:c r="H18" s="5">
        <s:f>D18-E18-F18+G18</s:f>
        <s:v>515385.9752099392</s:v>
      </s:c>
      <s:c r="I18" s="5">
        <s:f>1/(1+'S1 inputs'!$B$13)^A18</s:f>
        <s:v>0.39364628371277405</s:v>
      </s:c>
      <s:c r="J18" s="5">
        <s:f>H18*I18</s:f>
        <s:v>202879.77381907645</s:v>
      </s:c>
      <s:c r="K18" s="5">
        <s:f>K17+H18-G18</s:f>
        <s:v>-2444905.664088557</s:v>
      </s:c>
      <s:c r="L18" s="5">
        <s:f>IF(B18&gt;0,'S1 inputs'!$B$2*'S1 inputs'!$B$14*'S1 inputs'!$B$15*(1+'S1 inputs'!$B$18)^(B18-1)*I18,0)</s:f>
        <s:v>580.5147246373485</s:v>
      </s:c>
      <s:c r="M18" s="11" t="str">
        <s:f>IF(AND(K18&gt;=0,K17&lt;0),A18-1-K17/(H18-G18),"")</s:f>
        <s:v/>
      </s:c>
      <s:c r="N18" s="11">
        <s:f>N17+J18-G18*I18</s:f>
        <s:v>-5162772.1180336485</s:v>
      </s:c>
      <s:c r="O18" s="11" t="str">
        <s:f>IF(AND(N18&gt;=0,N17&lt;0),A18-1-N17/((H18-G18)*I18),"")</s:f>
        <s:v/>
      </s:c>
    </s:row>
    <s:row r="19" ht="20" customHeight="1">
      <s:c r="A19" s="2" t="n">
        <s:v>17</s:v>
      </s:c>
      <s:c r="B19" s="2">
        <s:f>IF(AND(A19&gt;'S1 results'!$B$4,A19&lt;='S1 results'!$B$5),A19-'S1 results'!$B$4,0)</s:f>
        <s:v>15</s:v>
      </s:c>
      <s:c r="C19" s="5">
        <s:f>IF(B19&gt;0,'S1 inputs'!$B$16*(1+'S1 inputs'!$B$18)^(B19-1),0)</s:f>
        <s:v>791.6872578377235</s:v>
      </s:c>
      <s:c r="D19" s="5">
        <s:f>IF(B19&gt;0,'S1 inputs'!$B$2*'S1 inputs'!$B$14*'S1 inputs'!$B$15*C19,0)</s:f>
        <s:v>902523.4739350048</s:v>
      </s:c>
      <s:c r="E19" s="5">
        <s:f>IF(B19&gt;0,('S1 inputs'!$B$20+'S1 inputs'!$B$21+'S1 inputs'!$B$2*'S1 inputs'!$B$14*('S1 inputs'!$B$22+'S1 inputs'!$B$23)+('S1 inputs'!$B$2*'S1 inputs'!$B$3*'S1 inputs'!$B$5+'S1 inputs'!$B$6)*'S1 inputs'!$B$24)*(1+'S1 inputs'!$B$19)^(B19-1),0)</s:f>
        <s:v>378676.9840209692</s:v>
      </s:c>
      <s:c r="F19" s="5">
        <s:f>IF(AND(B19&gt;0,B19&lt;'S1 inputs'!$B$12,MOD(B19,'S1 inputs'!$B$25)=0),'S1 inputs'!$B$26*(1+'S1 inputs'!$B$19)^(B19-1),0)</s:f>
        <s:v>423892.1462921297</s:v>
      </s:c>
      <s:c r="G19" s="5">
        <s:f>IF(A19='S1 results'!$B$5,'S1 inputs'!$B$27*(1-'S1 inputs'!$B$28),0)</s:f>
        <s:v>0</s:v>
      </s:c>
      <s:c r="H19" s="5">
        <s:f>D19-E19-F19+G19</s:f>
        <s:v>99954.3436219059</s:v>
      </s:c>
      <s:c r="I19" s="5">
        <s:f>1/(1+'S1 inputs'!$B$13)^A19</s:f>
        <s:v>0.3713644185969566</s:v>
      </s:c>
      <s:c r="J19" s="5">
        <s:f>H19*I19</s:f>
        <s:v>37119.4867053895</s:v>
      </s:c>
      <s:c r="K19" s="5">
        <s:f>K18+H19-G19</s:f>
        <s:v>-2344951.320466651</s:v>
      </s:c>
      <s:c r="L19" s="5">
        <s:f>IF(B19&gt;0,'S1 inputs'!$B$2*'S1 inputs'!$B$14*'S1 inputs'!$B$15*(1+'S1 inputs'!$B$18)^(B19-1)*I19,0)</s:f>
        <s:v>558.6085086132977</s:v>
      </s:c>
      <s:c r="M19" s="11" t="str">
        <s:f>IF(AND(K19&gt;=0,K18&lt;0),A19-1-K18/(H19-G19),"")</s:f>
        <s:v/>
      </s:c>
      <s:c r="N19" s="11">
        <s:f>N18+J19-G19*I19</s:f>
        <s:v>-5125652.631328259</s:v>
      </s:c>
      <s:c r="O19" s="11" t="str">
        <s:f>IF(AND(N19&gt;=0,N18&lt;0),A19-1-N18/((H19-G19)*I19),"")</s:f>
        <s:v/>
      </s:c>
    </s:row>
    <s:row r="20" ht="20" customHeight="1">
      <s:c r="A20" s="2" t="n">
        <s:v>18</s:v>
      </s:c>
      <s:c r="B20" s="2">
        <s:f>IF(AND(A20&gt;'S1 results'!$B$4,A20&lt;='S1 results'!$B$5),A20-'S1 results'!$B$4,0)</s:f>
        <s:v>16</s:v>
      </s:c>
      <s:c r="C20" s="5">
        <s:f>IF(B20&gt;0,'S1 inputs'!$B$16*(1+'S1 inputs'!$B$18)^(B20-1),0)</s:f>
        <s:v>807.521002994478</s:v>
      </s:c>
      <s:c r="D20" s="5">
        <s:f>IF(B20&gt;0,'S1 inputs'!$B$2*'S1 inputs'!$B$14*'S1 inputs'!$B$15*C20,0)</s:f>
        <s:v>920573.9434137049</s:v>
      </s:c>
      <s:c r="E20" s="5">
        <s:f>IF(B20&gt;0,('S1 inputs'!$B$20+'S1 inputs'!$B$21+'S1 inputs'!$B$2*'S1 inputs'!$B$14*('S1 inputs'!$B$22+'S1 inputs'!$B$23)+('S1 inputs'!$B$2*'S1 inputs'!$B$3*'S1 inputs'!$B$5+'S1 inputs'!$B$6)*'S1 inputs'!$B$24)*(1+'S1 inputs'!$B$19)^(B20-1),0)</s:f>
        <s:v>388143.9086214934</s:v>
      </s:c>
      <s:c r="F20" s="5">
        <s:f>IF(AND(B20&gt;0,B20&lt;'S1 inputs'!$B$12,MOD(B20,'S1 inputs'!$B$25)=0),'S1 inputs'!$B$26*(1+'S1 inputs'!$B$19)^(B20-1),0)</s:f>
        <s:v>0</s:v>
      </s:c>
      <s:c r="G20" s="5">
        <s:f>IF(A20='S1 results'!$B$5,'S1 inputs'!$B$27*(1-'S1 inputs'!$B$28),0)</s:f>
        <s:v>0</s:v>
      </s:c>
      <s:c r="H20" s="5">
        <s:f>D20-E20-F20+G20</s:f>
        <s:v>532430.0347922115</s:v>
      </s:c>
      <s:c r="I20" s="5">
        <s:f>1/(1+'S1 inputs'!$B$13)^A20</s:f>
        <s:v>0.35034379112920433</s:v>
      </s:c>
      <s:c r="J20" s="5">
        <s:f>H20*I20</s:f>
        <s:v>186533.55690015753</s:v>
      </s:c>
      <s:c r="K20" s="5">
        <s:f>K19+H20-G20</s:f>
        <s:v>-1812521.2856744397</s:v>
      </s:c>
      <s:c r="L20" s="5">
        <s:f>IF(B20&gt;0,'S1 inputs'!$B$2*'S1 inputs'!$B$14*'S1 inputs'!$B$15*(1+'S1 inputs'!$B$18)^(B20-1)*I20,0)</s:f>
        <s:v>537.5289422505316</s:v>
      </s:c>
      <s:c r="M20" s="11" t="str">
        <s:f>IF(AND(K20&gt;=0,K19&lt;0),A20-1-K19/(H20-G20),"")</s:f>
        <s:v/>
      </s:c>
      <s:c r="N20" s="11">
        <s:f>N19+J20-G20*I20</s:f>
        <s:v>-4939119.074428101</s:v>
      </s:c>
      <s:c r="O20" s="11" t="str">
        <s:f>IF(AND(N20&gt;=0,N19&lt;0),A20-1-N19/((H20-G20)*I20),"")</s:f>
        <s:v/>
      </s:c>
    </s:row>
    <s:row r="21" ht="20" customHeight="1">
      <s:c r="A21" s="2" t="n">
        <s:v>19</s:v>
      </s:c>
      <s:c r="B21" s="2">
        <s:f>IF(AND(A21&gt;'S1 results'!$B$4,A21&lt;='S1 results'!$B$5),A21-'S1 results'!$B$4,0)</s:f>
        <s:v>17</s:v>
      </s:c>
      <s:c r="C21" s="5">
        <s:f>IF(B21&gt;0,'S1 inputs'!$B$16*(1+'S1 inputs'!$B$18)^(B21-1),0)</s:f>
        <s:v>823.6714230543674</s:v>
      </s:c>
      <s:c r="D21" s="5">
        <s:f>IF(B21&gt;0,'S1 inputs'!$B$2*'S1 inputs'!$B$14*'S1 inputs'!$B$15*C21,0)</s:f>
        <s:v>938985.4222819789</s:v>
      </s:c>
      <s:c r="E21" s="5">
        <s:f>IF(B21&gt;0,('S1 inputs'!$B$20+'S1 inputs'!$B$21+'S1 inputs'!$B$2*'S1 inputs'!$B$14*('S1 inputs'!$B$22+'S1 inputs'!$B$23)+('S1 inputs'!$B$2*'S1 inputs'!$B$3*'S1 inputs'!$B$5+'S1 inputs'!$B$6)*'S1 inputs'!$B$24)*(1+'S1 inputs'!$B$19)^(B21-1),0)</s:f>
        <s:v>397847.5063370307</s:v>
      </s:c>
      <s:c r="F21" s="5">
        <s:f>IF(AND(B21&gt;0,B21&lt;'S1 inputs'!$B$12,MOD(B21,'S1 inputs'!$B$25)=0),'S1 inputs'!$B$26*(1+'S1 inputs'!$B$19)^(B21-1),0)</s:f>
        <s:v>0</s:v>
      </s:c>
      <s:c r="G21" s="5">
        <s:f>IF(A21='S1 results'!$B$5,'S1 inputs'!$B$27*(1-'S1 inputs'!$B$28),0)</s:f>
        <s:v>0</s:v>
      </s:c>
      <s:c r="H21" s="5">
        <s:f>D21-E21-F21+G21</s:f>
        <s:v>541137.9159449482</s:v>
      </s:c>
      <s:c r="I21" s="5">
        <s:f>1/(1+'S1 inputs'!$B$13)^A21</s:f>
        <s:v>0.33051301049924936</s:v>
      </s:c>
      <s:c r="J21" s="5">
        <s:f>H21*I21</s:f>
        <s:v>178853.12169425457</s:v>
      </s:c>
      <s:c r="K21" s="5">
        <s:f>K20+H21-G21</s:f>
        <s:v>-1271383.3697294914</s:v>
      </s:c>
      <s:c r="L21" s="5">
        <s:f>IF(B21&gt;0,'S1 inputs'!$B$2*'S1 inputs'!$B$14*'S1 inputs'!$B$15*(1+'S1 inputs'!$B$18)^(B21-1)*I21,0)</s:f>
        <s:v>517.2448312222097</s:v>
      </s:c>
      <s:c r="M21" s="11" t="str">
        <s:f>IF(AND(K21&gt;=0,K20&lt;0),A21-1-K20/(H21-G21),"")</s:f>
        <s:v/>
      </s:c>
      <s:c r="N21" s="11">
        <s:f>N20+J21-G21*I21</s:f>
        <s:v>-4760265.952733846</s:v>
      </s:c>
      <s:c r="O21" s="11" t="str">
        <s:f>IF(AND(N21&gt;=0,N20&lt;0),A21-1-N20/((H21-G21)*I21),"")</s:f>
        <s:v/>
      </s:c>
    </s:row>
    <s:row r="22" ht="20" customHeight="1">
      <s:c r="A22" s="2" t="n">
        <s:v>20</s:v>
      </s:c>
      <s:c r="B22" s="2">
        <s:f>IF(AND(A22&gt;'S1 results'!$B$4,A22&lt;='S1 results'!$B$5),A22-'S1 results'!$B$4,0)</s:f>
        <s:v>18</s:v>
      </s:c>
      <s:c r="C22" s="5">
        <s:f>IF(B22&gt;0,'S1 inputs'!$B$16*(1+'S1 inputs'!$B$18)^(B22-1),0)</s:f>
        <s:v>840.1448515154549</s:v>
      </s:c>
      <s:c r="D22" s="5">
        <s:f>IF(B22&gt;0,'S1 inputs'!$B$2*'S1 inputs'!$B$14*'S1 inputs'!$B$15*C22,0)</s:f>
        <s:v>957765.1307276186</s:v>
      </s:c>
      <s:c r="E22" s="5">
        <s:f>IF(B22&gt;0,('S1 inputs'!$B$20+'S1 inputs'!$B$21+'S1 inputs'!$B$2*'S1 inputs'!$B$14*('S1 inputs'!$B$22+'S1 inputs'!$B$23)+('S1 inputs'!$B$2*'S1 inputs'!$B$3*'S1 inputs'!$B$5+'S1 inputs'!$B$6)*'S1 inputs'!$B$24)*(1+'S1 inputs'!$B$19)^(B22-1),0)</s:f>
        <s:v>407793.6939954564</s:v>
      </s:c>
      <s:c r="F22" s="5">
        <s:f>IF(AND(B22&gt;0,B22&lt;'S1 inputs'!$B$12,MOD(B22,'S1 inputs'!$B$25)=0),'S1 inputs'!$B$26*(1+'S1 inputs'!$B$19)^(B22-1),0)</s:f>
        <s:v>0</s:v>
      </s:c>
      <s:c r="G22" s="5">
        <s:f>IF(A22='S1 results'!$B$5,'S1 inputs'!$B$27*(1-'S1 inputs'!$B$28),0)</s:f>
        <s:v>0</s:v>
      </s:c>
      <s:c r="H22" s="5">
        <s:f>D22-E22-F22+G22</s:f>
        <s:v>549971.4367321623</s:v>
      </s:c>
      <s:c r="I22" s="5">
        <s:f>1/(1+'S1 inputs'!$B$13)^A22</s:f>
        <s:v>0.3118047268860843</s:v>
      </s:c>
      <s:c r="J22" s="5">
        <s:f>H22*I22</s:f>
        <s:v>171483.69362541923</s:v>
      </s:c>
      <s:c r="K22" s="5">
        <s:f>K21+H22-G22</s:f>
        <s:v>-721411.9329973292</s:v>
      </s:c>
      <s:c r="L22" s="5">
        <s:f>IF(B22&gt;0,'S1 inputs'!$B$2*'S1 inputs'!$B$14*'S1 inputs'!$B$15*(1+'S1 inputs'!$B$18)^(B22-1)*I22,0)</s:f>
        <s:v>497.72615834589993</s:v>
      </s:c>
      <s:c r="M22" s="11" t="str">
        <s:f>IF(AND(K22&gt;=0,K21&lt;0),A22-1-K21/(H22-G22),"")</s:f>
        <s:v/>
      </s:c>
      <s:c r="N22" s="11">
        <s:f>N21+J22-G22*I22</s:f>
        <s:v>-4588782.259108427</s:v>
      </s:c>
      <s:c r="O22" s="11" t="str">
        <s:f>IF(AND(N22&gt;=0,N21&lt;0),A22-1-N21/((H22-G22)*I22),"")</s:f>
        <s:v/>
      </s:c>
    </s:row>
    <s:row r="23" ht="20" customHeight="1">
      <s:c r="A23" s="2" t="n">
        <s:v>21</s:v>
      </s:c>
      <s:c r="B23" s="2">
        <s:f>IF(AND(A23&gt;'S1 results'!$B$4,A23&lt;='S1 results'!$B$5),A23-'S1 results'!$B$4,0)</s:f>
        <s:v>19</s:v>
      </s:c>
      <s:c r="C23" s="5">
        <s:f>IF(B23&gt;0,'S1 inputs'!$B$16*(1+'S1 inputs'!$B$18)^(B23-1),0)</s:f>
        <s:v>856.9477485457641</s:v>
      </s:c>
      <s:c r="D23" s="5">
        <s:f>IF(B23&gt;0,'S1 inputs'!$B$2*'S1 inputs'!$B$14*'S1 inputs'!$B$15*C23,0)</s:f>
        <s:v>976920.433342171</s:v>
      </s:c>
      <s:c r="E23" s="5">
        <s:f>IF(B23&gt;0,('S1 inputs'!$B$20+'S1 inputs'!$B$21+'S1 inputs'!$B$2*'S1 inputs'!$B$14*('S1 inputs'!$B$22+'S1 inputs'!$B$23)+('S1 inputs'!$B$2*'S1 inputs'!$B$3*'S1 inputs'!$B$5+'S1 inputs'!$B$6)*'S1 inputs'!$B$24)*(1+'S1 inputs'!$B$19)^(B23-1),0)</s:f>
        <s:v>417988.53634534276</s:v>
      </s:c>
      <s:c r="F23" s="5">
        <s:f>IF(AND(B23&gt;0,B23&lt;'S1 inputs'!$B$12,MOD(B23,'S1 inputs'!$B$25)=0),'S1 inputs'!$B$26*(1+'S1 inputs'!$B$19)^(B23-1),0)</s:f>
        <s:v>0</s:v>
      </s:c>
      <s:c r="G23" s="5">
        <s:f>IF(A23='S1 results'!$B$5,'S1 inputs'!$B$27*(1-'S1 inputs'!$B$28),0)</s:f>
        <s:v>0</s:v>
      </s:c>
      <s:c r="H23" s="5">
        <s:f>D23-E23-F23+G23</s:f>
        <s:v>558931.8969968283</s:v>
      </s:c>
      <s:c r="I23" s="5">
        <s:f>1/(1+'S1 inputs'!$B$13)^A23</s:f>
        <s:v>0.294155402722721</s:v>
      </s:c>
      <s:c r="J23" s="5">
        <s:f>H23*I23</s:f>
        <s:v>164412.83725567642</s:v>
      </s:c>
      <s:c r="K23" s="5">
        <s:f>K22+H23-G23</s:f>
        <s:v>-162480.0360005009</s:v>
      </s:c>
      <s:c r="L23" s="5">
        <s:f>IF(B23&gt;0,'S1 inputs'!$B$2*'S1 inputs'!$B$14*'S1 inputs'!$B$15*(1+'S1 inputs'!$B$18)^(B23-1)*I23,0)</s:f>
        <s:v>478.9440391630357</s:v>
      </s:c>
      <s:c r="M23" s="11" t="str">
        <s:f>IF(AND(K23&gt;=0,K22&lt;0),A23-1-K22/(H23-G23),"")</s:f>
        <s:v/>
      </s:c>
      <s:c r="N23" s="11">
        <s:f>N22+J23-G23*I23</s:f>
        <s:v>-4424369.421852751</s:v>
      </s:c>
      <s:c r="O23" s="11" t="str">
        <s:f>IF(AND(N23&gt;=0,N22&lt;0),A23-1-N22/((H23-G23)*I23),"")</s:f>
        <s:v/>
      </s:c>
    </s:row>
    <s:row r="24" ht="20" customHeight="1">
      <s:c r="A24" s="2" t="n">
        <s:v>22</s:v>
      </s:c>
      <s:c r="B24" s="2">
        <s:f>IF(AND(A24&gt;'S1 results'!$B$4,A24&lt;='S1 results'!$B$5),A24-'S1 results'!$B$4,0)</s:f>
        <s:v>20</s:v>
      </s:c>
      <s:c r="C24" s="5">
        <s:f>IF(B24&gt;0,'S1 inputs'!$B$16*(1+'S1 inputs'!$B$18)^(B24-1),0)</s:f>
        <s:v>874.0867035166792</s:v>
      </s:c>
      <s:c r="D24" s="5">
        <s:f>IF(B24&gt;0,'S1 inputs'!$B$2*'S1 inputs'!$B$14*'S1 inputs'!$B$15*C24,0)</s:f>
        <s:v>996458.8420090143</s:v>
      </s:c>
      <s:c r="E24" s="5">
        <s:f>IF(B24&gt;0,('S1 inputs'!$B$20+'S1 inputs'!$B$21+'S1 inputs'!$B$2*'S1 inputs'!$B$14*('S1 inputs'!$B$22+'S1 inputs'!$B$23)+('S1 inputs'!$B$2*'S1 inputs'!$B$3*'S1 inputs'!$B$5+'S1 inputs'!$B$6)*'S1 inputs'!$B$24)*(1+'S1 inputs'!$B$19)^(B24-1),0)</s:f>
        <s:v>428438.2497539763</s:v>
      </s:c>
      <s:c r="F24" s="5">
        <s:f>IF(AND(B24&gt;0,B24&lt;'S1 inputs'!$B$12,MOD(B24,'S1 inputs'!$B$25)=0),'S1 inputs'!$B$26*(1+'S1 inputs'!$B$19)^(B24-1),0)</s:f>
        <s:v>0</s:v>
      </s:c>
      <s:c r="G24" s="5">
        <s:f>IF(A24='S1 results'!$B$5,'S1 inputs'!$B$27*(1-'S1 inputs'!$B$28),0)</s:f>
        <s:v>0</s:v>
      </s:c>
      <s:c r="H24" s="5">
        <s:f>D24-E24-F24+G24</s:f>
        <s:v>568020.592255038</s:v>
      </s:c>
      <s:c r="I24" s="5">
        <s:f>1/(1+'S1 inputs'!$B$13)^A24</s:f>
        <s:v>0.27750509690822733</s:v>
      </s:c>
      <s:c r="J24" s="5">
        <s:f>H24*I24</s:f>
        <s:v>157628.609499603</s:v>
      </s:c>
      <s:c r="K24" s="5">
        <s:f>K23+H24-G24</s:f>
        <s:v>405540.5562545371</s:v>
      </s:c>
      <s:c r="L24" s="5">
        <s:f>IF(B24&gt;0,'S1 inputs'!$B$2*'S1 inputs'!$B$14*'S1 inputs'!$B$15*(1+'S1 inputs'!$B$18)^(B24-1)*I24,0)</s:f>
        <s:v>460.87067919461924</s:v>
      </s:c>
      <s:c r="M24" s="11">
        <s:f>IF(AND(K24&gt;=0,K23&lt;0),A24-1-K23/(H24-G24),"")</s:f>
        <s:v>21.286046031105062</s:v>
      </s:c>
      <s:c r="N24" s="11">
        <s:f>N23+J24-G24*I24</s:f>
        <s:v>-4266740.812353148</s:v>
      </s:c>
      <s:c r="O24" s="11" t="str">
        <s:f>IF(AND(N24&gt;=0,N23&lt;0),A24-1-N23/((H24-G24)*I24),"")</s:f>
        <s:v/>
      </s:c>
    </s:row>
    <s:row r="25" ht="20" customHeight="1">
      <s:c r="A25" s="2" t="n">
        <s:v>23</s:v>
      </s:c>
      <s:c r="B25" s="2">
        <s:f>IF(AND(A25&gt;'S1 results'!$B$4,A25&lt;='S1 results'!$B$5),A25-'S1 results'!$B$4,0)</s:f>
        <s:v>21</s:v>
      </s:c>
      <s:c r="C25" s="5">
        <s:f>IF(B25&gt;0,'S1 inputs'!$B$16*(1+'S1 inputs'!$B$18)^(B25-1),0)</s:f>
        <s:v>891.5684375870129</s:v>
      </s:c>
      <s:c r="D25" s="5">
        <s:f>IF(B25&gt;0,'S1 inputs'!$B$2*'S1 inputs'!$B$14*'S1 inputs'!$B$15*C25,0)</s:f>
        <s:v>1016388.0188491947</s:v>
      </s:c>
      <s:c r="E25" s="5">
        <s:f>IF(B25&gt;0,('S1 inputs'!$B$20+'S1 inputs'!$B$21+'S1 inputs'!$B$2*'S1 inputs'!$B$14*('S1 inputs'!$B$22+'S1 inputs'!$B$23)+('S1 inputs'!$B$2*'S1 inputs'!$B$3*'S1 inputs'!$B$5+'S1 inputs'!$B$6)*'S1 inputs'!$B$24)*(1+'S1 inputs'!$B$19)^(B25-1),0)</s:f>
        <s:v>439149.20599782566</s:v>
      </s:c>
      <s:c r="F25" s="5">
        <s:f>IF(AND(B25&gt;0,B25&lt;'S1 inputs'!$B$12,MOD(B25,'S1 inputs'!$B$25)=0),'S1 inputs'!$B$26*(1+'S1 inputs'!$B$19)^(B25-1),0)</s:f>
        <s:v>0</s:v>
      </s:c>
      <s:c r="G25" s="5">
        <s:f>IF(A25='S1 results'!$B$5,'S1 inputs'!$B$27*(1-'S1 inputs'!$B$28),0)</s:f>
        <s:v>0</s:v>
      </s:c>
      <s:c r="H25" s="5">
        <s:f>D25-E25-F25+G25</s:f>
        <s:v>577238.8128513691</s:v>
      </s:c>
      <s:c r="I25" s="5">
        <s:f>1/(1+'S1 inputs'!$B$13)^A25</s:f>
        <s:v>0.26179726123417674</s:v>
      </s:c>
      <s:c r="J25" s="5">
        <s:f>H25*I25</s:f>
        <s:v>151119.54028255594</s:v>
      </s:c>
      <s:c r="K25" s="5">
        <s:f>K24+H25-G25</s:f>
        <s:v>982779.3691059062</s:v>
      </s:c>
      <s:c r="L25" s="5">
        <s:f>IF(B25&gt;0,'S1 inputs'!$B$2*'S1 inputs'!$B$14*'S1 inputs'!$B$15*(1+'S1 inputs'!$B$18)^(B25-1)*I25,0)</s:f>
        <s:v>443.4793328099167</s:v>
      </s:c>
      <s:c r="M25" s="11" t="str">
        <s:f>IF(AND(K25&gt;=0,K24&lt;0),A25-1-K24/(H25-G25),"")</s:f>
        <s:v/>
      </s:c>
      <s:c r="N25" s="11">
        <s:f>N24+J25-G25*I25</s:f>
        <s:v>-4115621.2720705923</s:v>
      </s:c>
      <s:c r="O25" s="11" t="str">
        <s:f>IF(AND(N25&gt;=0,N24&lt;0),A25-1-N24/((H25-G25)*I25),"")</s:f>
        <s:v/>
      </s:c>
    </s:row>
    <s:row r="26" ht="20" customHeight="1">
      <s:c r="A26" s="2" t="n">
        <s:v>24</s:v>
      </s:c>
      <s:c r="B26" s="2">
        <s:f>IF(AND(A26&gt;'S1 results'!$B$4,A26&lt;='S1 results'!$B$5),A26-'S1 results'!$B$4,0)</s:f>
        <s:v>22</s:v>
      </s:c>
      <s:c r="C26" s="5">
        <s:f>IF(B26&gt;0,'S1 inputs'!$B$16*(1+'S1 inputs'!$B$18)^(B26-1),0)</s:f>
        <s:v>909.3998063387531</s:v>
      </s:c>
      <s:c r="D26" s="5">
        <s:f>IF(B26&gt;0,'S1 inputs'!$B$2*'S1 inputs'!$B$14*'S1 inputs'!$B$15*C26,0)</s:f>
        <s:v>1036715.7792261785</s:v>
      </s:c>
      <s:c r="E26" s="5">
        <s:f>IF(B26&gt;0,('S1 inputs'!$B$20+'S1 inputs'!$B$21+'S1 inputs'!$B$2*'S1 inputs'!$B$14*('S1 inputs'!$B$22+'S1 inputs'!$B$23)+('S1 inputs'!$B$2*'S1 inputs'!$B$3*'S1 inputs'!$B$5+'S1 inputs'!$B$6)*'S1 inputs'!$B$24)*(1+'S1 inputs'!$B$19)^(B26-1),0)</s:f>
        <s:v>450127.9361477713</s:v>
      </s:c>
      <s:c r="F26" s="5">
        <s:f>IF(AND(B26&gt;0,B26&lt;'S1 inputs'!$B$12,MOD(B26,'S1 inputs'!$B$25)=0),'S1 inputs'!$B$26*(1+'S1 inputs'!$B$19)^(B26-1),0)</s:f>
        <s:v>0</s:v>
      </s:c>
      <s:c r="G26" s="5">
        <s:f>IF(A26='S1 results'!$B$5,'S1 inputs'!$B$27*(1-'S1 inputs'!$B$28),0)</s:f>
        <s:v>0</s:v>
      </s:c>
      <s:c r="H26" s="5">
        <s:f>D26-E26-F26+G26</s:f>
        <s:v>586587.8430784072</s:v>
      </s:c>
      <s:c r="I26" s="5">
        <s:f>1/(1+'S1 inputs'!$B$13)^A26</s:f>
        <s:v>0.24697854833412897</s:v>
      </s:c>
      <s:c r="J26" s="5">
        <s:f>H26*I26</s:f>
        <s:v>144874.61395395285</s:v>
      </s:c>
      <s:c r="K26" s="5">
        <s:f>K25+H26-G26</s:f>
        <s:v>1569367.2121843135</s:v>
      </s:c>
      <s:c r="L26" s="5">
        <s:f>IF(B26&gt;0,'S1 inputs'!$B$2*'S1 inputs'!$B$14*'S1 inputs'!$B$15*(1+'S1 inputs'!$B$18)^(B26-1)*I26,0)</s:f>
        <s:v>426.74426364727816</s:v>
      </s:c>
      <s:c r="M26" s="11" t="str">
        <s:f>IF(AND(K26&gt;=0,K25&lt;0),A26-1-K25/(H26-G26),"")</s:f>
        <s:v/>
      </s:c>
      <s:c r="N26" s="11">
        <s:f>N25+J26-G26*I26</s:f>
        <s:v>-3970746.6581166396</s:v>
      </s:c>
      <s:c r="O26" s="11" t="str">
        <s:f>IF(AND(N26&gt;=0,N25&lt;0),A26-1-N25/((H26-G26)*I26),"")</s:f>
        <s:v/>
      </s:c>
    </s:row>
    <s:row r="27" ht="20" customHeight="1">
      <s:c r="A27" s="2" t="n">
        <s:v>25</s:v>
      </s:c>
      <s:c r="B27" s="2">
        <s:f>IF(AND(A27&gt;'S1 results'!$B$4,A27&lt;='S1 results'!$B$5),A27-'S1 results'!$B$4,0)</s:f>
        <s:v>23</s:v>
      </s:c>
      <s:c r="C27" s="5">
        <s:f>IF(B27&gt;0,'S1 inputs'!$B$16*(1+'S1 inputs'!$B$18)^(B27-1),0)</s:f>
        <s:v>927.5878024655283</s:v>
      </s:c>
      <s:c r="D27" s="5">
        <s:f>IF(B27&gt;0,'S1 inputs'!$B$2*'S1 inputs'!$B$14*'S1 inputs'!$B$15*C27,0)</s:f>
        <s:v>1057450.0948107021</s:v>
      </s:c>
      <s:c r="E27" s="5">
        <s:f>IF(B27&gt;0,('S1 inputs'!$B$20+'S1 inputs'!$B$21+'S1 inputs'!$B$2*'S1 inputs'!$B$14*('S1 inputs'!$B$22+'S1 inputs'!$B$23)+('S1 inputs'!$B$2*'S1 inputs'!$B$3*'S1 inputs'!$B$5+'S1 inputs'!$B$6)*'S1 inputs'!$B$24)*(1+'S1 inputs'!$B$19)^(B27-1),0)</s:f>
        <s:v>461381.1345514655</s:v>
      </s:c>
      <s:c r="F27" s="5">
        <s:f>IF(AND(B27&gt;0,B27&lt;'S1 inputs'!$B$12,MOD(B27,'S1 inputs'!$B$25)=0),'S1 inputs'!$B$26*(1+'S1 inputs'!$B$19)^(B27-1),0)</s:f>
        <s:v>0</s:v>
      </s:c>
      <s:c r="G27" s="5">
        <s:f>IF(A27='S1 results'!$B$5,'S1 inputs'!$B$27*(1-'S1 inputs'!$B$28),0)</s:f>
        <s:v>0</s:v>
      </s:c>
      <s:c r="H27" s="5">
        <s:f>D27-E27-F27+G27</s:f>
        <s:v>596068.9602592366</s:v>
      </s:c>
      <s:c r="I27" s="5">
        <s:f>1/(1+'S1 inputs'!$B$13)^A27</s:f>
        <s:v>0.23299863050389524</s:v>
      </s:c>
      <s:c r="J27" s="5">
        <s:f>H27*I27</s:f>
        <s:v>138883.2514262829</s:v>
      </s:c>
      <s:c r="K27" s="5">
        <s:f>K26+H27-G27</s:f>
        <s:v>2165436.17244355</s:v>
      </s:c>
      <s:c r="L27" s="5">
        <s:f>IF(B27&gt;0,'S1 inputs'!$B$2*'S1 inputs'!$B$14*'S1 inputs'!$B$15*(1+'S1 inputs'!$B$18)^(B27-1)*I27,0)</s:f>
        <s:v>410.64070652851296</s:v>
      </s:c>
      <s:c r="M27" s="11" t="str">
        <s:f>IF(AND(K27&gt;=0,K26&lt;0),A27-1-K26/(H27-G27),"")</s:f>
        <s:v/>
      </s:c>
      <s:c r="N27" s="11">
        <s:f>N26+J27-G27*I27</s:f>
        <s:v>-3831863.406690357</s:v>
      </s:c>
      <s:c r="O27" s="11" t="str">
        <s:f>IF(AND(N27&gt;=0,N26&lt;0),A27-1-N26/((H27-G27)*I27),"")</s:f>
        <s:v/>
      </s:c>
    </s:row>
    <s:row r="28" ht="20" customHeight="1">
      <s:c r="A28" s="2" t="n">
        <s:v>26</s:v>
      </s:c>
      <s:c r="B28" s="2">
        <s:f>IF(AND(A28&gt;'S1 results'!$B$4,A28&lt;='S1 results'!$B$5),A28-'S1 results'!$B$4,0)</s:f>
        <s:v>24</s:v>
      </s:c>
      <s:c r="C28" s="5">
        <s:f>IF(B28&gt;0,'S1 inputs'!$B$16*(1+'S1 inputs'!$B$18)^(B28-1),0)</s:f>
        <s:v>946.1395585148389</s:v>
      </s:c>
      <s:c r="D28" s="5">
        <s:f>IF(B28&gt;0,'S1 inputs'!$B$2*'S1 inputs'!$B$14*'S1 inputs'!$B$15*C28,0)</s:f>
        <s:v>1078599.0967069163</s:v>
      </s:c>
      <s:c r="E28" s="5">
        <s:f>IF(B28&gt;0,('S1 inputs'!$B$20+'S1 inputs'!$B$21+'S1 inputs'!$B$2*'S1 inputs'!$B$14*('S1 inputs'!$B$22+'S1 inputs'!$B$23)+('S1 inputs'!$B$2*'S1 inputs'!$B$3*'S1 inputs'!$B$5+'S1 inputs'!$B$6)*'S1 inputs'!$B$24)*(1+'S1 inputs'!$B$19)^(B28-1),0)</s:f>
        <s:v>472915.66291525215</s:v>
      </s:c>
      <s:c r="F28" s="5">
        <s:f>IF(AND(B28&gt;0,B28&lt;'S1 inputs'!$B$12,MOD(B28,'S1 inputs'!$B$25)=0),'S1 inputs'!$B$26*(1+'S1 inputs'!$B$19)^(B28-1),0)</s:f>
        <s:v>0</s:v>
      </s:c>
      <s:c r="G28" s="5">
        <s:f>IF(A28='S1 results'!$B$5,'S1 inputs'!$B$27*(1-'S1 inputs'!$B$28),0)</s:f>
        <s:v>0</s:v>
      </s:c>
      <s:c r="H28" s="5">
        <s:f>D28-E28-F28+G28</s:f>
        <s:v>605683.4337916642</s:v>
      </s:c>
      <s:c r="I28" s="5">
        <s:f>1/(1+'S1 inputs'!$B$13)^A28</s:f>
        <s:v>0.21981002877725966</s:v>
      </s:c>
      <s:c r="J28" s="5">
        <s:f>H28*I28</s:f>
        <s:v>133135.29301165516</s:v>
      </s:c>
      <s:c r="K28" s="5">
        <s:f>K27+H28-G28</s:f>
        <s:v>2771119.6062352145</s:v>
      </s:c>
      <s:c r="L28" s="5">
        <s:f>IF(B28&gt;0,'S1 inputs'!$B$2*'S1 inputs'!$B$14*'S1 inputs'!$B$15*(1+'S1 inputs'!$B$18)^(B28-1)*I28,0)</s:f>
        <s:v>395.1448308104559</s:v>
      </s:c>
      <s:c r="M28" s="11" t="str">
        <s:f>IF(AND(K28&gt;=0,K27&lt;0),A28-1-K27/(H28-G28),"")</s:f>
        <s:v/>
      </s:c>
      <s:c r="N28" s="11">
        <s:f>N27+J28-G28*I28</s:f>
        <s:v>-3698728.1136787017</s:v>
      </s:c>
      <s:c r="O28" s="11" t="str">
        <s:f>IF(AND(N28&gt;=0,N27&lt;0),A28-1-N27/((H28-G28)*I28),"")</s:f>
        <s:v/>
      </s:c>
    </s:row>
    <s:row r="29" ht="20" customHeight="1">
      <s:c r="A29" s="2" t="n">
        <s:v>27</s:v>
      </s:c>
      <s:c r="B29" s="2">
        <s:f>IF(AND(A29&gt;'S1 results'!$B$4,A29&lt;='S1 results'!$B$5),A29-'S1 results'!$B$4,0)</s:f>
        <s:v>25</s:v>
      </s:c>
      <s:c r="C29" s="5">
        <s:f>IF(B29&gt;0,'S1 inputs'!$B$16*(1+'S1 inputs'!$B$18)^(B29-1),0)</s:f>
        <s:v>965.0623496851357</s:v>
      </s:c>
      <s:c r="D29" s="5">
        <s:f>IF(B29&gt;0,'S1 inputs'!$B$2*'S1 inputs'!$B$14*'S1 inputs'!$B$15*C29,0)</s:f>
        <s:v>1100171.0786410547</s:v>
      </s:c>
      <s:c r="E29" s="5">
        <s:f>IF(B29&gt;0,('S1 inputs'!$B$20+'S1 inputs'!$B$21+'S1 inputs'!$B$2*'S1 inputs'!$B$14*('S1 inputs'!$B$22+'S1 inputs'!$B$23)+('S1 inputs'!$B$2*'S1 inputs'!$B$3*'S1 inputs'!$B$5+'S1 inputs'!$B$6)*'S1 inputs'!$B$24)*(1+'S1 inputs'!$B$19)^(B29-1),0)</s:f>
        <s:v>484738.55448813335</s:v>
      </s:c>
      <s:c r="F29" s="5">
        <s:f>IF(AND(B29&gt;0,B29&lt;'S1 inputs'!$B$12,MOD(B29,'S1 inputs'!$B$25)=0),'S1 inputs'!$B$26*(1+'S1 inputs'!$B$19)^(B29-1),0)</s:f>
        <s:v>0</s:v>
      </s:c>
      <s:c r="G29" s="5">
        <s:f>IF(A29='S1 results'!$B$5,'S1 inputs'!$B$27*(1-'S1 inputs'!$B$28),0)</s:f>
        <s:v>0</s:v>
      </s:c>
      <s:c r="H29" s="5">
        <s:f>D29-E29-F29+G29</s:f>
        <s:v>615432.5241529213</s:v>
      </s:c>
      <s:c r="I29" s="5">
        <s:f>1/(1+'S1 inputs'!$B$13)^A29</s:f>
        <s:v>0.20736795167666006</s:v>
      </s:c>
      <s:c r="J29" s="5">
        <s:f>H29*I29</s:f>
        <s:v>127620.9819287879</s:v>
      </s:c>
      <s:c r="K29" s="5">
        <s:f>K28+H29-G29</s:f>
        <s:v>3386552.130388136</s:v>
      </s:c>
      <s:c r="L29" s="5">
        <s:f>IF(B29&gt;0,'S1 inputs'!$B$2*'S1 inputs'!$B$14*'S1 inputs'!$B$15*(1+'S1 inputs'!$B$18)^(B29-1)*I29,0)</s:f>
        <s:v>380.2337051194953</s:v>
      </s:c>
      <s:c r="M29" s="11" t="str">
        <s:f>IF(AND(K29&gt;=0,K28&lt;0),A29-1-K28/(H29-G29),"")</s:f>
        <s:v/>
      </s:c>
      <s:c r="N29" s="11">
        <s:f>N28+J29-G29*I29</s:f>
        <s:v>-3571107.1317499136</s:v>
      </s:c>
      <s:c r="O29" s="11" t="str">
        <s:f>IF(AND(N29&gt;=0,N28&lt;0),A29-1-N28/((H29-G29)*I29),"")</s:f>
        <s:v/>
      </s:c>
    </s:row>
    <s:row r="30" ht="20" customHeight="1">
      <s:c r="A30" s="2" t="n">
        <s:v>28</s:v>
      </s:c>
      <s:c r="B30" s="2">
        <s:f>IF(AND(A30&gt;'S1 results'!$B$4,A30&lt;='S1 results'!$B$5),A30-'S1 results'!$B$4,0)</s:f>
        <s:v>26</s:v>
      </s:c>
      <s:c r="C30" s="5">
        <s:f>IF(B30&gt;0,'S1 inputs'!$B$16*(1+'S1 inputs'!$B$18)^(B30-1),0)</s:f>
        <s:v>984.3635966788383</s:v>
      </s:c>
      <s:c r="D30" s="5">
        <s:f>IF(B30&gt;0,'S1 inputs'!$B$2*'S1 inputs'!$B$14*'S1 inputs'!$B$15*C30,0)</s:f>
        <s:v>1122174.5002138757</s:v>
      </s:c>
      <s:c r="E30" s="5">
        <s:f>IF(B30&gt;0,('S1 inputs'!$B$20+'S1 inputs'!$B$21+'S1 inputs'!$B$2*'S1 inputs'!$B$14*('S1 inputs'!$B$22+'S1 inputs'!$B$23)+('S1 inputs'!$B$2*'S1 inputs'!$B$3*'S1 inputs'!$B$5+'S1 inputs'!$B$6)*'S1 inputs'!$B$24)*(1+'S1 inputs'!$B$19)^(B30-1),0)</s:f>
        <s:v>496857.0183503367</s:v>
      </s:c>
      <s:c r="F30" s="5">
        <s:f>IF(AND(B30&gt;0,B30&lt;'S1 inputs'!$B$12,MOD(B30,'S1 inputs'!$B$25)=0),'S1 inputs'!$B$26*(1+'S1 inputs'!$B$19)^(B30-1),0)</s:f>
        <s:v>0</s:v>
      </s:c>
      <s:c r="G30" s="5">
        <s:f>IF(A30='S1 results'!$B$5,'S1 inputs'!$B$27*(1-'S1 inputs'!$B$28),0)</s:f>
        <s:v>0</s:v>
      </s:c>
      <s:c r="H30" s="5">
        <s:f>D30-E30-F30+G30</s:f>
        <s:v>625317.481863539</s:v>
      </s:c>
      <s:c r="I30" s="5">
        <s:f>1/(1+'S1 inputs'!$B$13)^A30</s:f>
        <s:v>0.19563014309118873</s:v>
      </s:c>
      <s:c r="J30" s="5">
        <s:f>H30*I30</s:f>
        <s:v>122330.94845438594</s:v>
      </s:c>
      <s:c r="K30" s="5">
        <s:f>K29+H30-G30</s:f>
        <s:v>4011869.6122516748</s:v>
      </s:c>
      <s:c r="L30" s="5">
        <s:f>IF(B30&gt;0,'S1 inputs'!$B$2*'S1 inputs'!$B$14*'S1 inputs'!$B$15*(1+'S1 inputs'!$B$18)^(B30-1)*I30,0)</s:f>
        <s:v>365.8852634168728</s:v>
      </s:c>
      <s:c r="M30" s="11" t="str">
        <s:f>IF(AND(K30&gt;=0,K29&lt;0),A30-1-K29/(H30-G30),"")</s:f>
        <s:v/>
      </s:c>
      <s:c r="N30" s="11">
        <s:f>N29+J30-G30*I30</s:f>
        <s:v>-3448776.1832955275</s:v>
      </s:c>
      <s:c r="O30" s="11" t="str">
        <s:f>IF(AND(N30&gt;=0,N29&lt;0),A30-1-N29/((H30-G30)*I30),"")</s:f>
        <s:v/>
      </s:c>
    </s:row>
    <s:row r="31" ht="20" customHeight="1">
      <s:c r="A31" s="2" t="n">
        <s:v>29</s:v>
      </s:c>
      <s:c r="B31" s="2">
        <s:f>IF(AND(A31&gt;'S1 results'!$B$4,A31&lt;='S1 results'!$B$5),A31-'S1 results'!$B$4,0)</s:f>
        <s:v>27</s:v>
      </s:c>
      <s:c r="C31" s="5">
        <s:f>IF(B31&gt;0,'S1 inputs'!$B$16*(1+'S1 inputs'!$B$18)^(B31-1),0)</s:f>
        <s:v>1004.0508686124151</s:v>
      </s:c>
      <s:c r="D31" s="5">
        <s:f>IF(B31&gt;0,'S1 inputs'!$B$2*'S1 inputs'!$B$14*'S1 inputs'!$B$15*C31,0)</s:f>
        <s:v>1144617.9902181532</s:v>
      </s:c>
      <s:c r="E31" s="5">
        <s:f>IF(B31&gt;0,('S1 inputs'!$B$20+'S1 inputs'!$B$21+'S1 inputs'!$B$2*'S1 inputs'!$B$14*('S1 inputs'!$B$22+'S1 inputs'!$B$23)+('S1 inputs'!$B$2*'S1 inputs'!$B$3*'S1 inputs'!$B$5+'S1 inputs'!$B$6)*'S1 inputs'!$B$24)*(1+'S1 inputs'!$B$19)^(B31-1),0)</s:f>
        <s:v>509278.443809095</s:v>
      </s:c>
      <s:c r="F31" s="5">
        <s:f>IF(AND(B31&gt;0,B31&lt;'S1 inputs'!$B$12,MOD(B31,'S1 inputs'!$B$25)=0),'S1 inputs'!$B$26*(1+'S1 inputs'!$B$19)^(B31-1),0)</s:f>
        <s:v>0</s:v>
      </s:c>
      <s:c r="G31" s="5">
        <s:f>IF(A31='S1 results'!$B$5,'S1 inputs'!$B$27*(1-'S1 inputs'!$B$28),0)</s:f>
        <s:v>0</s:v>
      </s:c>
      <s:c r="H31" s="5">
        <s:f>D31-E31-F31+G31</s:f>
        <s:v>635339.5464090582</s:v>
      </s:c>
      <s:c r="I31" s="5">
        <s:f>1/(1+'S1 inputs'!$B$13)^A31</s:f>
        <s:v>0.18455673876527237</s:v>
      </s:c>
      <s:c r="J31" s="5">
        <s:f>H31*I31</s:f>
        <s:v>117256.19469386319</s:v>
      </s:c>
      <s:c r="K31" s="5">
        <s:f>K30+H31-G31</s:f>
        <s:v>4647209.158660733</s:v>
      </s:c>
      <s:c r="L31" s="5">
        <s:f>IF(B31&gt;0,'S1 inputs'!$B$2*'S1 inputs'!$B$14*'S1 inputs'!$B$15*(1+'S1 inputs'!$B$18)^(B31-1)*I31,0)</s:f>
        <s:v>352.078272344538</s:v>
      </s:c>
      <s:c r="M31" s="11" t="str">
        <s:f>IF(AND(K31&gt;=0,K30&lt;0),A31-1-K30/(H31-G31),"")</s:f>
        <s:v/>
      </s:c>
      <s:c r="N31" s="11">
        <s:f>N30+J31-G31*I31</s:f>
        <s:v>-3331519.988601664</s:v>
      </s:c>
      <s:c r="O31" s="11" t="str">
        <s:f>IF(AND(N31&gt;=0,N30&lt;0),A31-1-N30/((H31-G31)*I31),"")</s:f>
        <s:v/>
      </s:c>
    </s:row>
    <s:row r="32" ht="20" customHeight="1">
      <s:c r="A32" s="2" t="n">
        <s:v>30</s:v>
      </s:c>
      <s:c r="B32" s="2">
        <s:f>IF(AND(A32&gt;'S1 results'!$B$4,A32&lt;='S1 results'!$B$5),A32-'S1 results'!$B$4,0)</s:f>
        <s:v>28</s:v>
      </s:c>
      <s:c r="C32" s="5">
        <s:f>IF(B32&gt;0,'S1 inputs'!$B$16*(1+'S1 inputs'!$B$18)^(B32-1),0)</s:f>
        <s:v>1024.1318859846635</s:v>
      </s:c>
      <s:c r="D32" s="5">
        <s:f>IF(B32&gt;0,'S1 inputs'!$B$2*'S1 inputs'!$B$14*'S1 inputs'!$B$15*C32,0)</s:f>
        <s:v>1167510.3500225164</s:v>
      </s:c>
      <s:c r="E32" s="5">
        <s:f>IF(B32&gt;0,('S1 inputs'!$B$20+'S1 inputs'!$B$21+'S1 inputs'!$B$2*'S1 inputs'!$B$14*('S1 inputs'!$B$22+'S1 inputs'!$B$23)+('S1 inputs'!$B$2*'S1 inputs'!$B$3*'S1 inputs'!$B$5+'S1 inputs'!$B$6)*'S1 inputs'!$B$24)*(1+'S1 inputs'!$B$19)^(B32-1),0)</s:f>
        <s:v>522010.4049043224</s:v>
      </s:c>
      <s:c r="F32" s="5">
        <s:f>IF(AND(B32&gt;0,B32&lt;'S1 inputs'!$B$12,MOD(B32,'S1 inputs'!$B$25)=0),'S1 inputs'!$B$26*(1+'S1 inputs'!$B$19)^(B32-1),0)</s:f>
        <s:v>0</s:v>
      </s:c>
      <s:c r="G32" s="5">
        <s:f>IF(A32='S1 results'!$B$5,'S1 inputs'!$B$27*(1-'S1 inputs'!$B$28),0)</s:f>
        <s:v>0</s:v>
      </s:c>
      <s:c r="H32" s="5">
        <s:f>D32-E32-F32+G32</s:f>
        <s:v>645499.945118194</s:v>
      </s:c>
      <s:c r="I32" s="5">
        <s:f>1/(1+'S1 inputs'!$B$13)^A32</s:f>
        <s:v>0.1741101309106343</s:v>
      </s:c>
      <s:c r="J32" s="5">
        <s:f>H32*I32</s:f>
        <s:v>112388.07994733601</s:v>
      </s:c>
      <s:c r="K32" s="5">
        <s:f>K31+H32-G32</s:f>
        <s:v>5292709.103778927</s:v>
      </s:c>
      <s:c r="L32" s="5">
        <s:f>IF(B32&gt;0,'S1 inputs'!$B$2*'S1 inputs'!$B$14*'S1 inputs'!$B$15*(1+'S1 inputs'!$B$18)^(B32-1)*I32,0)</s:f>
        <s:v>338.79229980323464</s:v>
      </s:c>
      <s:c r="M32" s="11" t="str">
        <s:f>IF(AND(K32&gt;=0,K31&lt;0),A32-1-K31/(H32-G32),"")</s:f>
        <s:v/>
      </s:c>
      <s:c r="N32" s="11">
        <s:f>N31+J32-G32*I32</s:f>
        <s:v>-3219131.908654328</s:v>
      </s:c>
      <s:c r="O32" s="11" t="str">
        <s:f>IF(AND(N32&gt;=0,N31&lt;0),A32-1-N31/((H32-G32)*I32),"")</s:f>
        <s:v/>
      </s:c>
    </s:row>
    <s:row r="33" ht="20" customHeight="1">
      <s:c r="A33" s="2" t="n">
        <s:v>31</s:v>
      </s:c>
      <s:c r="B33" s="2">
        <s:f>IF(AND(A33&gt;'S1 results'!$B$4,A33&lt;='S1 results'!$B$5),A33-'S1 results'!$B$4,0)</s:f>
        <s:v>29</s:v>
      </s:c>
      <s:c r="C33" s="5">
        <s:f>IF(B33&gt;0,'S1 inputs'!$B$16*(1+'S1 inputs'!$B$18)^(B33-1),0)</s:f>
        <s:v>1044.6145237043568</s:v>
      </s:c>
      <s:c r="D33" s="5">
        <s:f>IF(B33&gt;0,'S1 inputs'!$B$2*'S1 inputs'!$B$14*'S1 inputs'!$B$15*C33,0)</s:f>
        <s:v>1190860.5570229667</s:v>
      </s:c>
      <s:c r="E33" s="5">
        <s:f>IF(B33&gt;0,('S1 inputs'!$B$20+'S1 inputs'!$B$21+'S1 inputs'!$B$2*'S1 inputs'!$B$14*('S1 inputs'!$B$22+'S1 inputs'!$B$23)+('S1 inputs'!$B$2*'S1 inputs'!$B$3*'S1 inputs'!$B$5+'S1 inputs'!$B$6)*'S1 inputs'!$B$24)*(1+'S1 inputs'!$B$19)^(B33-1),0)</s:f>
        <s:v>535060.6650269304</s:v>
      </s:c>
      <s:c r="F33" s="5">
        <s:f>IF(AND(B33&gt;0,B33&lt;'S1 inputs'!$B$12,MOD(B33,'S1 inputs'!$B$25)=0),'S1 inputs'!$B$26*(1+'S1 inputs'!$B$19)^(B33-1),0)</s:f>
        <s:v>0</s:v>
      </s:c>
      <s:c r="G33" s="5">
        <s:f>IF(A33='S1 results'!$B$5,'S1 inputs'!$B$27*(1-'S1 inputs'!$B$28),0)</s:f>
        <s:v>0</s:v>
      </s:c>
      <s:c r="H33" s="5">
        <s:f>D33-E33-F33+G33</s:f>
        <s:v>655799.8919960363</s:v>
      </s:c>
      <s:c r="I33" s="5">
        <s:f>1/(1+'S1 inputs'!$B$13)^A33</s:f>
        <s:v>0.16425484048173045</s:v>
      </s:c>
      <s:c r="J33" s="5">
        <s:f>H33*I33</s:f>
        <s:v>107718.30664774499</s:v>
      </s:c>
      <s:c r="K33" s="5">
        <s:f>K32+H33-G33</s:f>
        <s:v>5948508.995774963</s:v>
      </s:c>
      <s:c r="L33" s="5">
        <s:f>IF(B33&gt;0,'S1 inputs'!$B$2*'S1 inputs'!$B$14*'S1 inputs'!$B$15*(1+'S1 inputs'!$B$18)^(B33-1)*I33,0)</s:f>
        <s:v>326.0076847163201</s:v>
      </s:c>
      <s:c r="M33" s="11" t="str">
        <s:f>IF(AND(K33&gt;=0,K32&lt;0),A33-1-K32/(H33-G33),"")</s:f>
        <s:v/>
      </s:c>
      <s:c r="N33" s="11">
        <s:f>N32+J33-G33*I33</s:f>
        <s:v>-3111413.602006583</s:v>
      </s:c>
      <s:c r="O33" s="11" t="str">
        <s:f>IF(AND(N33&gt;=0,N32&lt;0),A33-1-N32/((H33-G33)*I33),"")</s:f>
        <s:v/>
      </s:c>
    </s:row>
    <s:row r="34" ht="20" customHeight="1">
      <s:c r="A34" s="2" t="n">
        <s:v>32</s:v>
      </s:c>
      <s:c r="B34" s="2">
        <s:f>IF(AND(A34&gt;'S1 results'!$B$4,A34&lt;='S1 results'!$B$5),A34-'S1 results'!$B$4,0)</s:f>
        <s:v>30</s:v>
      </s:c>
      <s:c r="C34" s="5">
        <s:f>IF(B34&gt;0,'S1 inputs'!$B$16*(1+'S1 inputs'!$B$18)^(B34-1),0)</s:f>
        <s:v>1065.5068141784438</s:v>
      </s:c>
      <s:c r="D34" s="5">
        <s:f>IF(B34&gt;0,'S1 inputs'!$B$2*'S1 inputs'!$B$14*'S1 inputs'!$B$15*C34,0)</s:f>
        <s:v>1214677.768163426</s:v>
      </s:c>
      <s:c r="E34" s="5">
        <s:f>IF(B34&gt;0,('S1 inputs'!$B$20+'S1 inputs'!$B$21+'S1 inputs'!$B$2*'S1 inputs'!$B$14*('S1 inputs'!$B$22+'S1 inputs'!$B$23)+('S1 inputs'!$B$2*'S1 inputs'!$B$3*'S1 inputs'!$B$5+'S1 inputs'!$B$6)*'S1 inputs'!$B$24)*(1+'S1 inputs'!$B$19)^(B34-1),0)</s:f>
        <s:v>548437.1816526037</s:v>
      </s:c>
      <s:c r="F34" s="5">
        <s:f>IF(AND(B34&gt;0,B34&lt;'S1 inputs'!$B$12,MOD(B34,'S1 inputs'!$B$25)=0),'S1 inputs'!$B$26*(1+'S1 inputs'!$B$19)^(B34-1),0)</s:f>
        <s:v>613922.2182678399</s:v>
      </s:c>
      <s:c r="G34" s="5">
        <s:f>IF(A34='S1 results'!$B$5,'S1 inputs'!$B$27*(1-'S1 inputs'!$B$28),0)</s:f>
        <s:v>0</s:v>
      </s:c>
      <s:c r="H34" s="5">
        <s:f>D34-E34-F34+G34</s:f>
        <s:v>52318.36824298254</s:v>
      </s:c>
      <s:c r="I34" s="5">
        <s:f>1/(1+'S1 inputs'!$B$13)^A34</s:f>
        <s:v>0.15495739668087777</s:v>
      </s:c>
      <s:c r="J34" s="5">
        <s:f>H34*I34</s:f>
        <s:v>8107.1181415240835</s:v>
      </s:c>
      <s:c r="K34" s="5">
        <s:f>K33+H34-G34</s:f>
        <s:v>6000827.364017946</s:v>
      </s:c>
      <s:c r="L34" s="5">
        <s:f>IF(B34&gt;0,'S1 inputs'!$B$2*'S1 inputs'!$B$14*'S1 inputs'!$B$15*(1+'S1 inputs'!$B$18)^(B34-1)*I34,0)</s:f>
        <s:v>313.70550793457215</s:v>
      </s:c>
      <s:c r="M34" s="11" t="str">
        <s:f>IF(AND(K34&gt;=0,K33&lt;0),A34-1-K33/(H34-G34),"")</s:f>
        <s:v/>
      </s:c>
      <s:c r="N34" s="11">
        <s:f>N33+J34-G34*I34</s:f>
        <s:v>-3103306.483865059</s:v>
      </s:c>
      <s:c r="O34" s="11" t="str">
        <s:f>IF(AND(N34&gt;=0,N33&lt;0),A34-1-N33/((H34-G34)*I34),"")</s:f>
        <s:v/>
      </s:c>
    </s:row>
    <s:row r="35" ht="20" customHeight="1">
      <s:c r="A35" s="2" t="n">
        <s:v>33</s:v>
      </s:c>
      <s:c r="B35" s="2">
        <s:f>IF(AND(A35&gt;'S1 results'!$B$4,A35&lt;='S1 results'!$B$5),A35-'S1 results'!$B$4,0)</s:f>
        <s:v>31</s:v>
      </s:c>
      <s:c r="C35" s="5">
        <s:f>IF(B35&gt;0,'S1 inputs'!$B$16*(1+'S1 inputs'!$B$18)^(B35-1),0)</s:f>
        <s:v>1086.816950462013</s:v>
      </s:c>
      <s:c r="D35" s="5">
        <s:f>IF(B35&gt;0,'S1 inputs'!$B$2*'S1 inputs'!$B$14*'S1 inputs'!$B$15*C35,0)</s:f>
        <s:v>1238971.323526695</s:v>
      </s:c>
      <s:c r="E35" s="5">
        <s:f>IF(B35&gt;0,('S1 inputs'!$B$20+'S1 inputs'!$B$21+'S1 inputs'!$B$2*'S1 inputs'!$B$14*('S1 inputs'!$B$22+'S1 inputs'!$B$23)+('S1 inputs'!$B$2*'S1 inputs'!$B$3*'S1 inputs'!$B$5+'S1 inputs'!$B$6)*'S1 inputs'!$B$24)*(1+'S1 inputs'!$B$19)^(B35-1),0)</s:f>
        <s:v>562148.1111939186</s:v>
      </s:c>
      <s:c r="F35" s="5">
        <s:f>IF(AND(B35&gt;0,B35&lt;'S1 inputs'!$B$12,MOD(B35,'S1 inputs'!$B$25)=0),'S1 inputs'!$B$26*(1+'S1 inputs'!$B$19)^(B35-1),0)</s:f>
        <s:v>0</s:v>
      </s:c>
      <s:c r="G35" s="5">
        <s:f>IF(A35='S1 results'!$B$5,'S1 inputs'!$B$27*(1-'S1 inputs'!$B$28),0)</s:f>
        <s:v>0</s:v>
      </s:c>
      <s:c r="H35" s="5">
        <s:f>D35-E35-F35+G35</s:f>
        <s:v>676823.2123327763</s:v>
      </s:c>
      <s:c r="I35" s="5">
        <s:f>1/(1+'S1 inputs'!$B$13)^A35</s:f>
        <s:v>0.14618622328384695</s:v>
      </s:c>
      <s:c r="J35" s="5">
        <s:f>H35*I35</s:f>
        <s:v>98942.22924176979</s:v>
      </s:c>
      <s:c r="K35" s="5">
        <s:f>K34+H35-G35</s:f>
        <s:v>6677650.576350722</s:v>
      </s:c>
      <s:c r="L35" s="5">
        <s:f>IF(B35&gt;0,'S1 inputs'!$B$2*'S1 inputs'!$B$14*'S1 inputs'!$B$15*(1+'S1 inputs'!$B$18)^(B35-1)*I35,0)</s:f>
        <s:v>301.8675642389279</s:v>
      </s:c>
      <s:c r="M35" s="11" t="str">
        <s:f>IF(AND(K35&gt;=0,K34&lt;0),A35-1-K34/(H35-G35),"")</s:f>
        <s:v/>
      </s:c>
      <s:c r="N35" s="11">
        <s:f>N34+J35-G35*I35</s:f>
        <s:v>-3004364.254623289</s:v>
      </s:c>
      <s:c r="O35" s="11" t="str">
        <s:f>IF(AND(N35&gt;=0,N34&lt;0),A35-1-N34/((H35-G35)*I35),"")</s:f>
        <s:v/>
      </s:c>
    </s:row>
    <s:row r="36" ht="20" customHeight="1">
      <s:c r="A36" s="2" t="n">
        <s:v>34</s:v>
      </s:c>
      <s:c r="B36" s="2">
        <s:f>IF(AND(A36&gt;'S1 results'!$B$4,A36&lt;='S1 results'!$B$5),A36-'S1 results'!$B$4,0)</s:f>
        <s:v>32</s:v>
      </s:c>
      <s:c r="C36" s="5">
        <s:f>IF(B36&gt;0,'S1 inputs'!$B$16*(1+'S1 inputs'!$B$18)^(B36-1),0)</s:f>
        <s:v>1108.553289471253</s:v>
      </s:c>
      <s:c r="D36" s="5">
        <s:f>IF(B36&gt;0,'S1 inputs'!$B$2*'S1 inputs'!$B$14*'S1 inputs'!$B$15*C36,0)</s:f>
        <s:v>1263750.7499972284</s:v>
      </s:c>
      <s:c r="E36" s="5">
        <s:f>IF(B36&gt;0,('S1 inputs'!$B$20+'S1 inputs'!$B$21+'S1 inputs'!$B$2*'S1 inputs'!$B$14*('S1 inputs'!$B$22+'S1 inputs'!$B$23)+('S1 inputs'!$B$2*'S1 inputs'!$B$3*'S1 inputs'!$B$5+'S1 inputs'!$B$6)*'S1 inputs'!$B$24)*(1+'S1 inputs'!$B$19)^(B36-1),0)</s:f>
        <s:v>576201.8139737666</s:v>
      </s:c>
      <s:c r="F36" s="5">
        <s:f>IF(AND(B36&gt;0,B36&lt;'S1 inputs'!$B$12,MOD(B36,'S1 inputs'!$B$25)=0),'S1 inputs'!$B$26*(1+'S1 inputs'!$B$19)^(B36-1),0)</s:f>
        <s:v>0</s:v>
      </s:c>
      <s:c r="G36" s="5">
        <s:f>IF(A36='S1 results'!$B$5,'S1 inputs'!$B$27*(1-'S1 inputs'!$B$28),0)</s:f>
        <s:v>0</s:v>
      </s:c>
      <s:c r="H36" s="5">
        <s:f>D36-E36-F36+G36</s:f>
        <s:v>687548.9360234617</s:v>
      </s:c>
      <s:c r="I36" s="5">
        <s:f>1/(1+'S1 inputs'!$B$13)^A36</s:f>
        <s:v>0.13791153139985562</s:v>
      </s:c>
      <s:c r="J36" s="5">
        <s:f>H36*I36</s:f>
        <s:v>94820.92667933698</s:v>
      </s:c>
      <s:c r="K36" s="5">
        <s:f>K35+H36-G36</s:f>
        <s:v>7365199.512374184</s:v>
      </s:c>
      <s:c r="L36" s="5">
        <s:f>IF(B36&gt;0,'S1 inputs'!$B$2*'S1 inputs'!$B$14*'S1 inputs'!$B$15*(1+'S1 inputs'!$B$18)^(B36-1)*I36,0)</s:f>
        <s:v>290.47633539972315</s:v>
      </s:c>
      <s:c r="M36" s="11" t="str">
        <s:f>IF(AND(K36&gt;=0,K35&lt;0),A36-1-K35/(H36-G36),"")</s:f>
        <s:v/>
      </s:c>
      <s:c r="N36" s="11">
        <s:f>N35+J36-G36*I36</s:f>
        <s:v>-2909543.3279439523</s:v>
      </s:c>
      <s:c r="O36" s="11" t="str">
        <s:f>IF(AND(N36&gt;=0,N35&lt;0),A36-1-N35/((H36-G36)*I36),"")</s:f>
        <s:v/>
      </s:c>
    </s:row>
    <s:row r="37" ht="20" customHeight="1">
      <s:c r="A37" s="2" t="n">
        <s:v>35</s:v>
      </s:c>
      <s:c r="B37" s="2">
        <s:f>IF(AND(A37&gt;'S1 results'!$B$4,A37&lt;='S1 results'!$B$5),A37-'S1 results'!$B$4,0)</s:f>
        <s:v>33</s:v>
      </s:c>
      <s:c r="C37" s="5">
        <s:f>IF(B37&gt;0,'S1 inputs'!$B$16*(1+'S1 inputs'!$B$18)^(B37-1),0)</s:f>
        <s:v>1130.724355260678</s:v>
      </s:c>
      <s:c r="D37" s="5">
        <s:f>IF(B37&gt;0,'S1 inputs'!$B$2*'S1 inputs'!$B$14*'S1 inputs'!$B$15*C37,0)</s:f>
        <s:v>1289025.764997173</s:v>
      </s:c>
      <s:c r="E37" s="5">
        <s:f>IF(B37&gt;0,('S1 inputs'!$B$20+'S1 inputs'!$B$21+'S1 inputs'!$B$2*'S1 inputs'!$B$14*('S1 inputs'!$B$22+'S1 inputs'!$B$23)+('S1 inputs'!$B$2*'S1 inputs'!$B$3*'S1 inputs'!$B$5+'S1 inputs'!$B$6)*'S1 inputs'!$B$24)*(1+'S1 inputs'!$B$19)^(B37-1),0)</s:f>
        <s:v>590606.8593231107</s:v>
      </s:c>
      <s:c r="F37" s="5">
        <s:f>IF(AND(B37&gt;0,B37&lt;'S1 inputs'!$B$12,MOD(B37,'S1 inputs'!$B$25)=0),'S1 inputs'!$B$26*(1+'S1 inputs'!$B$19)^(B37-1),0)</s:f>
        <s:v>0</s:v>
      </s:c>
      <s:c r="G37" s="5">
        <s:f>IF(A37='S1 results'!$B$5,'S1 inputs'!$B$27*(1-'S1 inputs'!$B$28),0)</s:f>
        <s:v>0</s:v>
      </s:c>
      <s:c r="H37" s="5">
        <s:f>D37-E37-F37+G37</s:f>
        <s:v>698418.9056740624</s:v>
      </s:c>
      <s:c r="I37" s="5">
        <s:f>1/(1+'S1 inputs'!$B$13)^A37</s:f>
        <s:v>0.13010521830175056</s:v>
      </s:c>
      <s:c r="J37" s="5">
        <s:f>H37*I37</s:f>
        <s:v>90867.94418879363</s:v>
      </s:c>
      <s:c r="K37" s="5">
        <s:f>K36+H37-G37</s:f>
        <s:v>8063618.418048247</s:v>
      </s:c>
      <s:c r="L37" s="5">
        <s:f>IF(B37&gt;0,'S1 inputs'!$B$2*'S1 inputs'!$B$14*'S1 inputs'!$B$15*(1+'S1 inputs'!$B$18)^(B37-1)*I37,0)</s:f>
        <s:v>279.5149642525637</s:v>
      </s:c>
      <s:c r="M37" s="11" t="str">
        <s:f>IF(AND(K37&gt;=0,K36&lt;0),A37-1-K36/(H37-G37),"")</s:f>
        <s:v/>
      </s:c>
      <s:c r="N37" s="11">
        <s:f>N36+J37-G37*I37</s:f>
        <s:v>-2818675.3837551586</s:v>
      </s:c>
      <s:c r="O37" s="11" t="str">
        <s:f>IF(AND(N37&gt;=0,N36&lt;0),A37-1-N36/((H37-G37)*I37),"")</s:f>
        <s:v/>
      </s:c>
    </s:row>
    <s:row r="38" ht="20" customHeight="1">
      <s:c r="A38" s="2" t="n">
        <s:v>36</s:v>
      </s:c>
      <s:c r="B38" s="2">
        <s:f>IF(AND(A38&gt;'S1 results'!$B$4,A38&lt;='S1 results'!$B$5),A38-'S1 results'!$B$4,0)</s:f>
        <s:v>34</s:v>
      </s:c>
      <s:c r="C38" s="5">
        <s:f>IF(B38&gt;0,'S1 inputs'!$B$16*(1+'S1 inputs'!$B$18)^(B38-1),0)</s:f>
        <s:v>1153.3388423658919</s:v>
      </s:c>
      <s:c r="D38" s="5">
        <s:f>IF(B38&gt;0,'S1 inputs'!$B$2*'S1 inputs'!$B$14*'S1 inputs'!$B$15*C38,0)</s:f>
        <s:v>1314806.2802971168</s:v>
      </s:c>
      <s:c r="E38" s="5">
        <s:f>IF(B38&gt;0,('S1 inputs'!$B$20+'S1 inputs'!$B$21+'S1 inputs'!$B$2*'S1 inputs'!$B$14*('S1 inputs'!$B$22+'S1 inputs'!$B$23)+('S1 inputs'!$B$2*'S1 inputs'!$B$3*'S1 inputs'!$B$5+'S1 inputs'!$B$6)*'S1 inputs'!$B$24)*(1+'S1 inputs'!$B$19)^(B38-1),0)</s:f>
        <s:v>605372.0308061885</s:v>
      </s:c>
      <s:c r="F38" s="5">
        <s:f>IF(AND(B38&gt;0,B38&lt;'S1 inputs'!$B$12,MOD(B38,'S1 inputs'!$B$25)=0),'S1 inputs'!$B$26*(1+'S1 inputs'!$B$19)^(B38-1),0)</s:f>
        <s:v>0</s:v>
      </s:c>
      <s:c r="G38" s="5">
        <s:f>IF(A38='S1 results'!$B$5,'S1 inputs'!$B$27*(1-'S1 inputs'!$B$28),0)</s:f>
        <s:v>0</s:v>
      </s:c>
      <s:c r="H38" s="5">
        <s:f>D38-E38-F38+G38</s:f>
        <s:v>709434.2494909284</s:v>
      </s:c>
      <s:c r="I38" s="5">
        <s:f>1/(1+'S1 inputs'!$B$13)^A38</s:f>
        <s:v>0.12274077198278356</s:v>
      </s:c>
      <s:c r="J38" s="5">
        <s:f>H38*I38</s:f>
        <s:v>87076.50745354322</s:v>
      </s:c>
      <s:c r="K38" s="5">
        <s:f>K37+H38-G38</s:f>
        <s:v>8773052.667539176</s:v>
      </s:c>
      <s:c r="L38" s="5">
        <s:f>IF(B38&gt;0,'S1 inputs'!$B$2*'S1 inputs'!$B$14*'S1 inputs'!$B$15*(1+'S1 inputs'!$B$18)^(B38-1)*I38,0)</s:f>
        <s:v>268.967229752467</s:v>
      </s:c>
      <s:c r="M38" s="11" t="str">
        <s:f>IF(AND(K38&gt;=0,K37&lt;0),A38-1-K37/(H38-G38),"")</s:f>
        <s:v/>
      </s:c>
      <s:c r="N38" s="11">
        <s:f>N37+J38-G38*I38</s:f>
        <s:v>-2731598.8763016155</s:v>
      </s:c>
      <s:c r="O38" s="11" t="str">
        <s:f>IF(AND(N38&gt;=0,N37&lt;0),A38-1-N37/((H38-G38)*I38),"")</s:f>
        <s:v/>
      </s:c>
    </s:row>
    <s:row r="39" ht="20" customHeight="1">
      <s:c r="A39" s="2" t="n">
        <s:v>37</s:v>
      </s:c>
      <s:c r="B39" s="2">
        <s:f>IF(AND(A39&gt;'S1 results'!$B$4,A39&lt;='S1 results'!$B$5),A39-'S1 results'!$B$4,0)</s:f>
        <s:v>35</s:v>
      </s:c>
      <s:c r="C39" s="5">
        <s:f>IF(B39&gt;0,'S1 inputs'!$B$16*(1+'S1 inputs'!$B$18)^(B39-1),0)</s:f>
        <s:v>1176.4056192132095</s:v>
      </s:c>
      <s:c r="D39" s="5">
        <s:f>IF(B39&gt;0,'S1 inputs'!$B$2*'S1 inputs'!$B$14*'S1 inputs'!$B$15*C39,0)</s:f>
        <s:v>1341102.4059030588</s:v>
      </s:c>
      <s:c r="E39" s="5">
        <s:f>IF(B39&gt;0,('S1 inputs'!$B$20+'S1 inputs'!$B$21+'S1 inputs'!$B$2*'S1 inputs'!$B$14*('S1 inputs'!$B$22+'S1 inputs'!$B$23)+('S1 inputs'!$B$2*'S1 inputs'!$B$3*'S1 inputs'!$B$5+'S1 inputs'!$B$6)*'S1 inputs'!$B$24)*(1+'S1 inputs'!$B$19)^(B39-1),0)</s:f>
        <s:v>620506.331576343</s:v>
      </s:c>
      <s:c r="F39" s="5">
        <s:f>IF(AND(B39&gt;0,B39&lt;'S1 inputs'!$B$12,MOD(B39,'S1 inputs'!$B$25)=0),'S1 inputs'!$B$26*(1+'S1 inputs'!$B$19)^(B39-1),0)</s:f>
        <s:v>0</s:v>
      </s:c>
      <s:c r="G39" s="5">
        <s:f>IF(A39='S1 results'!$B$5,'S1 inputs'!$B$27*(1-'S1 inputs'!$B$28),0)</s:f>
        <s:v>0</s:v>
      </s:c>
      <s:c r="H39" s="5">
        <s:f>D39-E39-F39+G39</s:f>
        <s:v>720596.0743267158</s:v>
      </s:c>
      <s:c r="I39" s="5">
        <s:f>1/(1+'S1 inputs'!$B$13)^A39</s:f>
        <s:v>0.11579318111583355</s:v>
      </s:c>
      <s:c r="J39" s="5">
        <s:f>H39*I39</s:f>
        <s:v>83440.11174587205</s:v>
      </s:c>
      <s:c r="K39" s="5">
        <s:f>K38+H39-G39</s:f>
        <s:v>9493648.741865892</s:v>
      </s:c>
      <s:c r="L39" s="5">
        <s:f>IF(B39&gt;0,'S1 inputs'!$B$2*'S1 inputs'!$B$14*'S1 inputs'!$B$15*(1+'S1 inputs'!$B$18)^(B39-1)*I39,0)</s:f>
        <s:v>258.817522969355</s:v>
      </s:c>
      <s:c r="M39" s="11" t="str">
        <s:f>IF(AND(K39&gt;=0,K38&lt;0),A39-1-K38/(H39-G39),"")</s:f>
        <s:v/>
      </s:c>
      <s:c r="N39" s="11">
        <s:f>N38+J39-G39*I39</s:f>
        <s:v>-2648158.7645557434</s:v>
      </s:c>
      <s:c r="O39" s="11" t="str">
        <s:f>IF(AND(N39&gt;=0,N38&lt;0),A39-1-N38/((H39-G39)*I39),"")</s:f>
        <s:v/>
      </s:c>
    </s:row>
    <s:row r="40" ht="20" customHeight="1">
      <s:c r="A40" s="2" t="n">
        <s:v>38</s:v>
      </s:c>
      <s:c r="B40" s="2">
        <s:f>IF(AND(A40&gt;'S1 results'!$B$4,A40&lt;='S1 results'!$B$5),A40-'S1 results'!$B$4,0)</s:f>
        <s:v>36</s:v>
      </s:c>
      <s:c r="C40" s="5">
        <s:f>IF(B40&gt;0,'S1 inputs'!$B$16*(1+'S1 inputs'!$B$18)^(B40-1),0)</s:f>
        <s:v>1199.933731597474</s:v>
      </s:c>
      <s:c r="D40" s="5">
        <s:f>IF(B40&gt;0,'S1 inputs'!$B$2*'S1 inputs'!$B$14*'S1 inputs'!$B$15*C40,0)</s:f>
        <s:v>1367924.4540211204</s:v>
      </s:c>
      <s:c r="E40" s="5">
        <s:f>IF(B40&gt;0,('S1 inputs'!$B$20+'S1 inputs'!$B$21+'S1 inputs'!$B$2*'S1 inputs'!$B$14*('S1 inputs'!$B$22+'S1 inputs'!$B$23)+('S1 inputs'!$B$2*'S1 inputs'!$B$3*'S1 inputs'!$B$5+'S1 inputs'!$B$6)*'S1 inputs'!$B$24)*(1+'S1 inputs'!$B$19)^(B40-1),0)</s:f>
        <s:v>636018.9898657516</s:v>
      </s:c>
      <s:c r="F40" s="5">
        <s:f>IF(AND(B40&gt;0,B40&lt;'S1 inputs'!$B$12,MOD(B40,'S1 inputs'!$B$25)=0),'S1 inputs'!$B$26*(1+'S1 inputs'!$B$19)^(B40-1),0)</s:f>
        <s:v>0</s:v>
      </s:c>
      <s:c r="G40" s="5">
        <s:f>IF(A40='S1 results'!$B$5,'S1 inputs'!$B$27*(1-'S1 inputs'!$B$28),0)</s:f>
        <s:v>0</s:v>
      </s:c>
      <s:c r="H40" s="5">
        <s:f>D40-E40-F40+G40</s:f>
        <s:v>731905.4641553689</s:v>
      </s:c>
      <s:c r="I40" s="5">
        <s:f>1/(1+'S1 inputs'!$B$13)^A40</s:f>
        <s:v>0.1092388501092769</s:v>
      </s:c>
      <s:c r="J40" s="5">
        <s:f>H40*I40</s:f>
        <s:v>79952.51129302908</s:v>
      </s:c>
      <s:c r="K40" s="5">
        <s:f>K39+H40-G40</s:f>
        <s:v>10225554.20602126</s:v>
      </s:c>
      <s:c r="L40" s="5">
        <s:f>IF(B40&gt;0,'S1 inputs'!$B$2*'S1 inputs'!$B$14*'S1 inputs'!$B$15*(1+'S1 inputs'!$B$18)^(B40-1)*I40,0)</s:f>
        <s:v>249.05082398937935</s:v>
      </s:c>
      <s:c r="M40" s="11" t="str">
        <s:f>IF(AND(K40&gt;=0,K39&lt;0),A40-1-K39/(H40-G40),"")</s:f>
        <s:v/>
      </s:c>
      <s:c r="N40" s="11">
        <s:f>N39+J40-G40*I40</s:f>
        <s:v>-2568206.2532627145</s:v>
      </s:c>
      <s:c r="O40" s="11" t="str">
        <s:f>IF(AND(N40&gt;=0,N39&lt;0),A40-1-N39/((H40-G40)*I40),"")</s:f>
        <s:v/>
      </s:c>
    </s:row>
    <s:row r="41" ht="20" customHeight="1">
      <s:c r="A41" s="2" t="n">
        <s:v>39</s:v>
      </s:c>
      <s:c r="B41" s="2">
        <s:f>IF(AND(A41&gt;'S1 results'!$B$4,A41&lt;='S1 results'!$B$5),A41-'S1 results'!$B$4,0)</s:f>
        <s:v>37</s:v>
      </s:c>
      <s:c r="C41" s="5">
        <s:f>IF(B41&gt;0,'S1 inputs'!$B$16*(1+'S1 inputs'!$B$18)^(B41-1),0)</s:f>
        <s:v>1223.9324062294233</s:v>
      </s:c>
      <s:c r="D41" s="5">
        <s:f>IF(B41&gt;0,'S1 inputs'!$B$2*'S1 inputs'!$B$14*'S1 inputs'!$B$15*C41,0)</s:f>
        <s:v>1395282.9431015425</s:v>
      </s:c>
      <s:c r="E41" s="5">
        <s:f>IF(B41&gt;0,('S1 inputs'!$B$20+'S1 inputs'!$B$21+'S1 inputs'!$B$2*'S1 inputs'!$B$14*('S1 inputs'!$B$22+'S1 inputs'!$B$23)+('S1 inputs'!$B$2*'S1 inputs'!$B$3*'S1 inputs'!$B$5+'S1 inputs'!$B$6)*'S1 inputs'!$B$24)*(1+'S1 inputs'!$B$19)^(B41-1),0)</s:f>
        <s:v>651919.4646123953</s:v>
      </s:c>
      <s:c r="F41" s="5">
        <s:f>IF(AND(B41&gt;0,B41&lt;'S1 inputs'!$B$12,MOD(B41,'S1 inputs'!$B$25)=0),'S1 inputs'!$B$26*(1+'S1 inputs'!$B$19)^(B41-1),0)</s:f>
        <s:v>0</s:v>
      </s:c>
      <s:c r="G41" s="5">
        <s:f>IF(A41='S1 results'!$B$5,'S1 inputs'!$B$27*(1-'S1 inputs'!$B$28),0)</s:f>
        <s:v>0</s:v>
      </s:c>
      <s:c r="H41" s="5">
        <s:f>D41-E41-F41+G41</s:f>
        <s:v>743363.4784891473</s:v>
      </s:c>
      <s:c r="I41" s="5">
        <s:f>1/(1+'S1 inputs'!$B$13)^A41</s:f>
        <s:v>0.10305551897101596</s:v>
      </s:c>
      <s:c r="J41" s="5">
        <s:f>H41*I41</s:f>
        <s:v>76607.70905979873</s:v>
      </s:c>
      <s:c r="K41" s="5">
        <s:f>K40+H41-G41</s:f>
        <s:v>10968917.684510408</s:v>
      </s:c>
      <s:c r="L41" s="5">
        <s:f>IF(B41&gt;0,'S1 inputs'!$B$2*'S1 inputs'!$B$14*'S1 inputs'!$B$15*(1+'S1 inputs'!$B$18)^(B41-1)*I41,0)</s:f>
        <s:v>239.65267968789334</s:v>
      </s:c>
      <s:c r="M41" s="11" t="str">
        <s:f>IF(AND(K41&gt;=0,K40&lt;0),A41-1-K40/(H41-G41),"")</s:f>
        <s:v/>
      </s:c>
      <s:c r="N41" s="11">
        <s:f>N40+J41-G41*I41</s:f>
        <s:v>-2491598.544202916</s:v>
      </s:c>
      <s:c r="O41" s="11" t="str">
        <s:f>IF(AND(N41&gt;=0,N40&lt;0),A41-1-N40/((H41-G41)*I41),"")</s:f>
        <s:v/>
      </s:c>
    </s:row>
    <s:row r="42" ht="20" customHeight="1">
      <s:c r="A42" s="2" t="n">
        <s:v>40</s:v>
      </s:c>
      <s:c r="B42" s="2">
        <s:f>IF(AND(A42&gt;'S1 results'!$B$4,A42&lt;='S1 results'!$B$5),A42-'S1 results'!$B$4,0)</s:f>
        <s:v>38</s:v>
      </s:c>
      <s:c r="C42" s="5">
        <s:f>IF(B42&gt;0,'S1 inputs'!$B$16*(1+'S1 inputs'!$B$18)^(B42-1),0)</s:f>
        <s:v>1248.4110543540119</s:v>
      </s:c>
      <s:c r="D42" s="5">
        <s:f>IF(B42&gt;0,'S1 inputs'!$B$2*'S1 inputs'!$B$14*'S1 inputs'!$B$15*C42,0)</s:f>
        <s:v>1423188.6019635736</s:v>
      </s:c>
      <s:c r="E42" s="5">
        <s:f>IF(B42&gt;0,('S1 inputs'!$B$20+'S1 inputs'!$B$21+'S1 inputs'!$B$2*'S1 inputs'!$B$14*('S1 inputs'!$B$22+'S1 inputs'!$B$23)+('S1 inputs'!$B$2*'S1 inputs'!$B$3*'S1 inputs'!$B$5+'S1 inputs'!$B$6)*'S1 inputs'!$B$24)*(1+'S1 inputs'!$B$19)^(B42-1),0)</s:f>
        <s:v>668217.4512277051</s:v>
      </s:c>
      <s:c r="F42" s="5">
        <s:f>IF(AND(B42&gt;0,B42&lt;'S1 inputs'!$B$12,MOD(B42,'S1 inputs'!$B$25)=0),'S1 inputs'!$B$26*(1+'S1 inputs'!$B$19)^(B42-1),0)</s:f>
        <s:v>0</s:v>
      </s:c>
      <s:c r="G42" s="5">
        <s:f>IF(A42='S1 results'!$B$5,'S1 inputs'!$B$27*(1-'S1 inputs'!$B$28),0)</s:f>
        <s:v>0</s:v>
      </s:c>
      <s:c r="H42" s="5">
        <s:f>D42-E42-F42+G42</s:f>
        <s:v>754971.1507358685</s:v>
      </s:c>
      <s:c r="I42" s="5">
        <s:f>1/(1+'S1 inputs'!$B$13)^A42</s:f>
        <s:v>0.09722218770850562</s:v>
      </s:c>
      <s:c r="J42" s="5">
        <s:f>H42*I42</s:f>
        <s:v>73399.9469313491</s:v>
      </s:c>
      <s:c r="K42" s="5">
        <s:f>K41+H42-G42</s:f>
        <s:v>11723888.835246276</s:v>
      </s:c>
      <s:c r="L42" s="5">
        <s:f>IF(B42&gt;0,'S1 inputs'!$B$2*'S1 inputs'!$B$14*'S1 inputs'!$B$15*(1+'S1 inputs'!$B$18)^(B42-1)*I42,0)</s:f>
        <s:v>230.6091823411804</s:v>
      </s:c>
      <s:c r="M42" s="11" t="str">
        <s:f>IF(AND(K42&gt;=0,K41&lt;0),A42-1-K41/(H42-G42),"")</s:f>
        <s:v/>
      </s:c>
      <s:c r="N42" s="11">
        <s:f>N41+J42-G42*I42</s:f>
        <s:v>-2418198.5972715667</s:v>
      </s:c>
      <s:c r="O42" s="11" t="str">
        <s:f>IF(AND(N42&gt;=0,N41&lt;0),A42-1-N41/((H42-G42)*I42),"")</s:f>
        <s:v/>
      </s:c>
    </s:row>
    <s:row r="43" ht="20" customHeight="1">
      <s:c r="A43" s="2" t="n">
        <s:v>41</s:v>
      </s:c>
      <s:c r="B43" s="2">
        <s:f>IF(AND(A43&gt;'S1 results'!$B$4,A43&lt;='S1 results'!$B$5),A43-'S1 results'!$B$4,0)</s:f>
        <s:v>39</s:v>
      </s:c>
      <s:c r="C43" s="5">
        <s:f>IF(B43&gt;0,'S1 inputs'!$B$16*(1+'S1 inputs'!$B$18)^(B43-1),0)</s:f>
        <s:v>1273.379275441092</s:v>
      </s:c>
      <s:c r="D43" s="5">
        <s:f>IF(B43&gt;0,'S1 inputs'!$B$2*'S1 inputs'!$B$14*'S1 inputs'!$B$15*C43,0)</s:f>
        <s:v>1451652.3740028448</s:v>
      </s:c>
      <s:c r="E43" s="5">
        <s:f>IF(B43&gt;0,('S1 inputs'!$B$20+'S1 inputs'!$B$21+'S1 inputs'!$B$2*'S1 inputs'!$B$14*('S1 inputs'!$B$22+'S1 inputs'!$B$23)+('S1 inputs'!$B$2*'S1 inputs'!$B$3*'S1 inputs'!$B$5+'S1 inputs'!$B$6)*'S1 inputs'!$B$24)*(1+'S1 inputs'!$B$19)^(B43-1),0)</s:f>
        <s:v>684922.8875083977</s:v>
      </s:c>
      <s:c r="F43" s="5">
        <s:f>IF(AND(B43&gt;0,B43&lt;'S1 inputs'!$B$12,MOD(B43,'S1 inputs'!$B$25)=0),'S1 inputs'!$B$26*(1+'S1 inputs'!$B$19)^(B43-1),0)</s:f>
        <s:v>0</s:v>
      </s:c>
      <s:c r="G43" s="5">
        <s:f>IF(A43='S1 results'!$B$5,'S1 inputs'!$B$27*(1-'S1 inputs'!$B$28),0)</s:f>
        <s:v>0</s:v>
      </s:c>
      <s:c r="H43" s="5">
        <s:f>D43-E43-F43+G43</s:f>
        <s:v>766729.4864944471</s:v>
      </s:c>
      <s:c r="I43" s="5">
        <s:f>1/(1+'S1 inputs'!$B$13)^A43</s:f>
        <s:v>0.09171904500802415</s:v>
      </s:c>
      <s:c r="J43" s="5">
        <s:f>H43*I43</s:f>
        <s:v>70323.69628076344</s:v>
      </s:c>
      <s:c r="K43" s="5">
        <s:f>K42+H43-G43</s:f>
        <s:v>12490618.321740724</s:v>
      </s:c>
      <s:c r="L43" s="5">
        <s:f>IF(B43&gt;0,'S1 inputs'!$B$2*'S1 inputs'!$B$14*'S1 inputs'!$B$15*(1+'S1 inputs'!$B$18)^(B43-1)*I43,0)</s:f>
        <s:v>221.90694904528672</s:v>
      </s:c>
      <s:c r="M43" s="11" t="str">
        <s:f>IF(AND(K43&gt;=0,K42&lt;0),A43-1-K42/(H43-G43),"")</s:f>
        <s:v/>
      </s:c>
      <s:c r="N43" s="11">
        <s:f>N42+J43-G43*I43</s:f>
        <s:v>-2347874.9009908033</s:v>
      </s:c>
      <s:c r="O43" s="11" t="str">
        <s:f>IF(AND(N43&gt;=0,N42&lt;0),A43-1-N42/((H43-G43)*I43),"")</s:f>
        <s:v/>
      </s:c>
    </s:row>
    <s:row r="44" ht="20" customHeight="1">
      <s:c r="A44" s="2" t="n">
        <s:v>42</s:v>
      </s:c>
      <s:c r="B44" s="2">
        <s:f>IF(AND(A44&gt;'S1 results'!$B$4,A44&lt;='S1 results'!$B$5),A44-'S1 results'!$B$4,0)</s:f>
        <s:v>40</s:v>
      </s:c>
      <s:c r="C44" s="5">
        <s:f>IF(B44&gt;0,'S1 inputs'!$B$16*(1+'S1 inputs'!$B$18)^(B44-1),0)</s:f>
        <s:v>1298.846860949914</s:v>
      </s:c>
      <s:c r="D44" s="5">
        <s:f>IF(B44&gt;0,'S1 inputs'!$B$2*'S1 inputs'!$B$14*'S1 inputs'!$B$15*C44,0)</s:f>
        <s:v>1480685.4214829018</s:v>
      </s:c>
      <s:c r="E44" s="5">
        <s:f>IF(B44&gt;0,('S1 inputs'!$B$20+'S1 inputs'!$B$21+'S1 inputs'!$B$2*'S1 inputs'!$B$14*('S1 inputs'!$B$22+'S1 inputs'!$B$23)+('S1 inputs'!$B$2*'S1 inputs'!$B$3*'S1 inputs'!$B$5+'S1 inputs'!$B$6)*'S1 inputs'!$B$24)*(1+'S1 inputs'!$B$19)^(B44-1),0)</s:f>
        <s:v>702045.9596961075</s:v>
      </s:c>
      <s:c r="F44" s="5">
        <s:f>IF(AND(B44&gt;0,B44&lt;'S1 inputs'!$B$12,MOD(B44,'S1 inputs'!$B$25)=0),'S1 inputs'!$B$26*(1+'S1 inputs'!$B$19)^(B44-1),0)</s:f>
        <s:v>0</s:v>
      </s:c>
      <s:c r="G44" s="5">
        <s:f>IF(A44='S1 results'!$B$5,'S1 inputs'!$B$27*(1-'S1 inputs'!$B$28),0)</s:f>
        <s:v>0.0</s:v>
      </s:c>
      <s:c r="H44" s="5">
        <s:f>D44-E44-F44+G44</s:f>
        <s:v>778639.4617867942</s:v>
      </s:c>
      <s:c r="I44" s="5">
        <s:f>1/(1+'S1 inputs'!$B$13)^A44</s:f>
        <s:v>0.08652740095096619</s:v>
      </s:c>
      <s:c r="J44" s="5">
        <s:f>H44*I44</s:f>
        <s:v>67373.64890627046</s:v>
      </s:c>
      <s:c r="K44" s="5">
        <s:f>K43+H44-G44</s:f>
        <s:v>13269257.783527518</s:v>
      </s:c>
      <s:c r="L44" s="5">
        <s:f>IF(B44&gt;0,'S1 inputs'!$B$2*'S1 inputs'!$B$14*'S1 inputs'!$B$15*(1+'S1 inputs'!$B$18)^(B44-1)*I44,0)</s:f>
        <s:v>213.5331019115023</s:v>
      </s:c>
      <s:c r="M44" s="11" t="str">
        <s:f>IF(AND(K44&gt;=0,K43&lt;0),A44-1-K43/(H44-G44),"")</s:f>
        <s:v/>
      </s:c>
      <s:c r="N44" s="11">
        <s:f>N43+J44-G44*I44</s:f>
        <s:v>-2280501.2520845328</s:v>
      </s:c>
      <s:c r="O44" s="11" t="str">
        <s:f>IF(AND(N44&gt;=0,N43&lt;0),A44-1-N43/((H44-G44)*I44),"")</s:f>
        <s:v/>
      </s:c>
    </s:row>
    <s:row r="45" ht="20" customHeight="1">
      <s:c r="A45" s="2" t="n">
        <s:v>43</s:v>
      </s:c>
      <s:c r="B45" s="2">
        <s:f>IF(AND(A45&gt;'S1 results'!$B$4,A45&lt;='S1 results'!$B$5),A45-'S1 results'!$B$4,0)</s:f>
        <s:v>0</s:v>
      </s:c>
      <s:c r="C45" s="5">
        <s:f>IF(B45&gt;0,'S1 inputs'!$B$16*(1+'S1 inputs'!$B$18)^(B45-1),0)</s:f>
        <s:v>0</s:v>
      </s:c>
      <s:c r="D45" s="5">
        <s:f>IF(B45&gt;0,'S1 inputs'!$B$2*'S1 inputs'!$B$14*'S1 inputs'!$B$15*C45,0)</s:f>
        <s:v>0</s:v>
      </s:c>
      <s:c r="E45" s="5">
        <s:f>IF(B45&gt;0,('S1 inputs'!$B$20+'S1 inputs'!$B$21+'S1 inputs'!$B$2*'S1 inputs'!$B$14*('S1 inputs'!$B$22+'S1 inputs'!$B$23)+('S1 inputs'!$B$2*'S1 inputs'!$B$3*'S1 inputs'!$B$5+'S1 inputs'!$B$6)*'S1 inputs'!$B$24)*(1+'S1 inputs'!$B$19)^(B45-1),0)</s:f>
        <s:v>0</s:v>
      </s:c>
      <s:c r="F45" s="5">
        <s:f>IF(AND(B45&gt;0,B45&lt;'S1 inputs'!$B$12,MOD(B45,'S1 inputs'!$B$25)=0),'S1 inputs'!$B$26*(1+'S1 inputs'!$B$19)^(B45-1),0)</s:f>
        <s:v>0</s:v>
      </s:c>
      <s:c r="G45" s="5">
        <s:f>IF(A45='S1 results'!$B$5,'S1 inputs'!$B$27*(1-'S1 inputs'!$B$28),0)</s:f>
        <s:v>0</s:v>
      </s:c>
      <s:c r="H45" s="5">
        <s:f>D45-E45-F45+G45</s:f>
        <s:v>0</s:v>
      </s:c>
      <s:c r="I45" s="5">
        <s:f>1/(1+'S1 inputs'!$B$13)^A45</s:f>
        <s:v>0.08162962353864733</s:v>
      </s:c>
      <s:c r="J45" s="5">
        <s:f>H45*I45</s:f>
        <s:v>0.0</s:v>
      </s:c>
      <s:c r="K45" s="5">
        <s:f>K44+H45-G45</s:f>
        <s:v>13269257.783527518</s:v>
      </s:c>
      <s:c r="L45" s="5">
        <s:f>IF(B45&gt;0,'S1 inputs'!$B$2*'S1 inputs'!$B$14*'S1 inputs'!$B$15*(1+'S1 inputs'!$B$18)^(B45-1)*I45,0)</s:f>
        <s:v>0</s:v>
      </s:c>
      <s:c r="M45" s="11" t="str">
        <s:f>IF(AND(K45&gt;=0,K44&lt;0),A45-1-K44/(H45-G45),"")</s:f>
        <s:v/>
      </s:c>
      <s:c r="N45" s="11">
        <s:f>N44+J45-G45*I45</s:f>
        <s:v>-2280501.2520845328</s:v>
      </s:c>
      <s:c r="O45" s="11" t="str">
        <s:f>IF(AND(N45&gt;=0,N44&lt;0),A45-1-N44/((H45-G45)*I45),"")</s:f>
        <s:v/>
      </s:c>
    </s:row>
    <s:row r="46" ht="20" customHeight="1">
      <s:c r="A46" s="2" t="n">
        <s:v>44</s:v>
      </s:c>
      <s:c r="B46" s="2">
        <s:f>IF(AND(A46&gt;'S1 results'!$B$4,A46&lt;='S1 results'!$B$5),A46-'S1 results'!$B$4,0)</s:f>
        <s:v>0</s:v>
      </s:c>
      <s:c r="C46" s="5">
        <s:f>IF(B46&gt;0,'S1 inputs'!$B$16*(1+'S1 inputs'!$B$18)^(B46-1),0)</s:f>
        <s:v>0</s:v>
      </s:c>
      <s:c r="D46" s="5">
        <s:f>IF(B46&gt;0,'S1 inputs'!$B$2*'S1 inputs'!$B$14*'S1 inputs'!$B$15*C46,0)</s:f>
        <s:v>0</s:v>
      </s:c>
      <s:c r="E46" s="5">
        <s:f>IF(B46&gt;0,('S1 inputs'!$B$20+'S1 inputs'!$B$21+'S1 inputs'!$B$2*'S1 inputs'!$B$14*('S1 inputs'!$B$22+'S1 inputs'!$B$23)+('S1 inputs'!$B$2*'S1 inputs'!$B$3*'S1 inputs'!$B$5+'S1 inputs'!$B$6)*'S1 inputs'!$B$24)*(1+'S1 inputs'!$B$19)^(B46-1),0)</s:f>
        <s:v>0</s:v>
      </s:c>
      <s:c r="F46" s="5">
        <s:f>IF(AND(B46&gt;0,B46&lt;'S1 inputs'!$B$12,MOD(B46,'S1 inputs'!$B$25)=0),'S1 inputs'!$B$26*(1+'S1 inputs'!$B$19)^(B46-1),0)</s:f>
        <s:v>0</s:v>
      </s:c>
      <s:c r="G46" s="5">
        <s:f>IF(A46='S1 results'!$B$5,'S1 inputs'!$B$27*(1-'S1 inputs'!$B$28),0)</s:f>
        <s:v>0</s:v>
      </s:c>
      <s:c r="H46" s="5">
        <s:f>D46-E46-F46+G46</s:f>
        <s:v>0</s:v>
      </s:c>
      <s:c r="I46" s="5">
        <s:f>1/(1+'S1 inputs'!$B$13)^A46</s:f>
        <s:v>0.07700907881004465</s:v>
      </s:c>
      <s:c r="J46" s="5">
        <s:f>H46*I46</s:f>
        <s:v>0.0</s:v>
      </s:c>
      <s:c r="K46" s="5">
        <s:f>K45+H46-G46</s:f>
        <s:v>13269257.783527518</s:v>
      </s:c>
      <s:c r="L46" s="5">
        <s:f>IF(B46&gt;0,'S1 inputs'!$B$2*'S1 inputs'!$B$14*'S1 inputs'!$B$15*(1+'S1 inputs'!$B$18)^(B46-1)*I46,0)</s:f>
        <s:v>0</s:v>
      </s:c>
      <s:c r="M46" s="11" t="str">
        <s:f>IF(AND(K46&gt;=0,K45&lt;0),A46-1-K45/(H46-G46),"")</s:f>
        <s:v/>
      </s:c>
      <s:c r="N46" s="11">
        <s:f>N45+J46-G46*I46</s:f>
        <s:v>-2280501.2520845328</s:v>
      </s:c>
      <s:c r="O46" s="11" t="str">
        <s:f>IF(AND(N46&gt;=0,N45&lt;0),A46-1-N45/((H46-G46)*I46),"")</s:f>
        <s:v/>
      </s:c>
    </s:row>
    <s:row r="47" ht="20" customHeight="1">
      <s:c r="A47" s="2" t="n">
        <s:v>45</s:v>
      </s:c>
      <s:c r="B47" s="2">
        <s:f>IF(AND(A47&gt;'S1 results'!$B$4,A47&lt;='S1 results'!$B$5),A47-'S1 results'!$B$4,0)</s:f>
        <s:v>0</s:v>
      </s:c>
      <s:c r="C47" s="5">
        <s:f>IF(B47&gt;0,'S1 inputs'!$B$16*(1+'S1 inputs'!$B$18)^(B47-1),0)</s:f>
        <s:v>0</s:v>
      </s:c>
      <s:c r="D47" s="5">
        <s:f>IF(B47&gt;0,'S1 inputs'!$B$2*'S1 inputs'!$B$14*'S1 inputs'!$B$15*C47,0)</s:f>
        <s:v>0</s:v>
      </s:c>
      <s:c r="E47" s="5">
        <s:f>IF(B47&gt;0,('S1 inputs'!$B$20+'S1 inputs'!$B$21+'S1 inputs'!$B$2*'S1 inputs'!$B$14*('S1 inputs'!$B$22+'S1 inputs'!$B$23)+('S1 inputs'!$B$2*'S1 inputs'!$B$3*'S1 inputs'!$B$5+'S1 inputs'!$B$6)*'S1 inputs'!$B$24)*(1+'S1 inputs'!$B$19)^(B47-1),0)</s:f>
        <s:v>0</s:v>
      </s:c>
      <s:c r="F47" s="5">
        <s:f>IF(AND(B47&gt;0,B47&lt;'S1 inputs'!$B$12,MOD(B47,'S1 inputs'!$B$25)=0),'S1 inputs'!$B$26*(1+'S1 inputs'!$B$19)^(B47-1),0)</s:f>
        <s:v>0</s:v>
      </s:c>
      <s:c r="G47" s="5">
        <s:f>IF(A47='S1 results'!$B$5,'S1 inputs'!$B$27*(1-'S1 inputs'!$B$28),0)</s:f>
        <s:v>0</s:v>
      </s:c>
      <s:c r="H47" s="5">
        <s:f>D47-E47-F47+G47</s:f>
        <s:v>0</s:v>
      </s:c>
      <s:c r="I47" s="5">
        <s:f>1/(1+'S1 inputs'!$B$13)^A47</s:f>
        <s:v>0.07265007434909872</s:v>
      </s:c>
      <s:c r="J47" s="5">
        <s:f>H47*I47</s:f>
        <s:v>0.0</s:v>
      </s:c>
      <s:c r="K47" s="5">
        <s:f>K46+H47-G47</s:f>
        <s:v>13269257.783527518</s:v>
      </s:c>
      <s:c r="L47" s="5">
        <s:f>IF(B47&gt;0,'S1 inputs'!$B$2*'S1 inputs'!$B$14*'S1 inputs'!$B$15*(1+'S1 inputs'!$B$18)^(B47-1)*I47,0)</s:f>
        <s:v>0</s:v>
      </s:c>
      <s:c r="M47" s="11" t="str">
        <s:f>IF(AND(K47&gt;=0,K46&lt;0),A47-1-K46/(H47-G47),"")</s:f>
        <s:v/>
      </s:c>
      <s:c r="N47" s="11">
        <s:f>N46+J47-G47*I47</s:f>
        <s:v>-2280501.2520845328</s:v>
      </s:c>
      <s:c r="O47" s="11" t="str">
        <s:f>IF(AND(N47&gt;=0,N46&lt;0),A47-1-N46/((H47-G47)*I47),"")</s:f>
        <s:v/>
      </s:c>
    </s:row>
    <s:row r="48" ht="20" customHeight="1">
      <s:c r="A48" s="2" t="n">
        <s:v>46</s:v>
      </s:c>
      <s:c r="B48" s="2">
        <s:f>IF(AND(A48&gt;'S1 results'!$B$4,A48&lt;='S1 results'!$B$5),A48-'S1 results'!$B$4,0)</s:f>
        <s:v>0</s:v>
      </s:c>
      <s:c r="C48" s="5">
        <s:f>IF(B48&gt;0,'S1 inputs'!$B$16*(1+'S1 inputs'!$B$18)^(B48-1),0)</s:f>
        <s:v>0</s:v>
      </s:c>
      <s:c r="D48" s="5">
        <s:f>IF(B48&gt;0,'S1 inputs'!$B$2*'S1 inputs'!$B$14*'S1 inputs'!$B$15*C48,0)</s:f>
        <s:v>0</s:v>
      </s:c>
      <s:c r="E48" s="5">
        <s:f>IF(B48&gt;0,('S1 inputs'!$B$20+'S1 inputs'!$B$21+'S1 inputs'!$B$2*'S1 inputs'!$B$14*('S1 inputs'!$B$22+'S1 inputs'!$B$23)+('S1 inputs'!$B$2*'S1 inputs'!$B$3*'S1 inputs'!$B$5+'S1 inputs'!$B$6)*'S1 inputs'!$B$24)*(1+'S1 inputs'!$B$19)^(B48-1),0)</s:f>
        <s:v>0</s:v>
      </s:c>
      <s:c r="F48" s="5">
        <s:f>IF(AND(B48&gt;0,B48&lt;'S1 inputs'!$B$12,MOD(B48,'S1 inputs'!$B$25)=0),'S1 inputs'!$B$26*(1+'S1 inputs'!$B$19)^(B48-1),0)</s:f>
        <s:v>0</s:v>
      </s:c>
      <s:c r="G48" s="5">
        <s:f>IF(A48='S1 results'!$B$5,'S1 inputs'!$B$27*(1-'S1 inputs'!$B$28),0)</s:f>
        <s:v>0</s:v>
      </s:c>
      <s:c r="H48" s="5">
        <s:f>D48-E48-F48+G48</s:f>
        <s:v>0</s:v>
      </s:c>
      <s:c r="I48" s="5">
        <s:f>1/(1+'S1 inputs'!$B$13)^A48</s:f>
        <s:v>0.06853780598971577</s:v>
      </s:c>
      <s:c r="J48" s="5">
        <s:f>H48*I48</s:f>
        <s:v>0.0</s:v>
      </s:c>
      <s:c r="K48" s="5">
        <s:f>K47+H48-G48</s:f>
        <s:v>13269257.783527518</s:v>
      </s:c>
      <s:c r="L48" s="5">
        <s:f>IF(B48&gt;0,'S1 inputs'!$B$2*'S1 inputs'!$B$14*'S1 inputs'!$B$15*(1+'S1 inputs'!$B$18)^(B48-1)*I48,0)</s:f>
        <s:v>0</s:v>
      </s:c>
      <s:c r="M48" s="11" t="str">
        <s:f>IF(AND(K48&gt;=0,K47&lt;0),A48-1-K47/(H48-G48),"")</s:f>
        <s:v/>
      </s:c>
      <s:c r="N48" s="11">
        <s:f>N47+J48-G48*I48</s:f>
        <s:v>-2280501.2520845328</s:v>
      </s:c>
      <s:c r="O48" s="11" t="str">
        <s:f>IF(AND(N48&gt;=0,N47&lt;0),A48-1-N47/((H48-G48)*I48),"")</s:f>
        <s:v/>
      </s:c>
    </s:row>
    <s:row r="49" ht="20" customHeight="1">
      <s:c r="A49" s="2" t="n">
        <s:v>47</s:v>
      </s:c>
      <s:c r="B49" s="2">
        <s:f>IF(AND(A49&gt;'S1 results'!$B$4,A49&lt;='S1 results'!$B$5),A49-'S1 results'!$B$4,0)</s:f>
        <s:v>0</s:v>
      </s:c>
      <s:c r="C49" s="5">
        <s:f>IF(B49&gt;0,'S1 inputs'!$B$16*(1+'S1 inputs'!$B$18)^(B49-1),0)</s:f>
        <s:v>0</s:v>
      </s:c>
      <s:c r="D49" s="5">
        <s:f>IF(B49&gt;0,'S1 inputs'!$B$2*'S1 inputs'!$B$14*'S1 inputs'!$B$15*C49,0)</s:f>
        <s:v>0</s:v>
      </s:c>
      <s:c r="E49" s="5">
        <s:f>IF(B49&gt;0,('S1 inputs'!$B$20+'S1 inputs'!$B$21+'S1 inputs'!$B$2*'S1 inputs'!$B$14*('S1 inputs'!$B$22+'S1 inputs'!$B$23)+('S1 inputs'!$B$2*'S1 inputs'!$B$3*'S1 inputs'!$B$5+'S1 inputs'!$B$6)*'S1 inputs'!$B$24)*(1+'S1 inputs'!$B$19)^(B49-1),0)</s:f>
        <s:v>0</s:v>
      </s:c>
      <s:c r="F49" s="5">
        <s:f>IF(AND(B49&gt;0,B49&lt;'S1 inputs'!$B$12,MOD(B49,'S1 inputs'!$B$25)=0),'S1 inputs'!$B$26*(1+'S1 inputs'!$B$19)^(B49-1),0)</s:f>
        <s:v>0</s:v>
      </s:c>
      <s:c r="G49" s="5">
        <s:f>IF(A49='S1 results'!$B$5,'S1 inputs'!$B$27*(1-'S1 inputs'!$B$28),0)</s:f>
        <s:v>0</s:v>
      </s:c>
      <s:c r="H49" s="5">
        <s:f>D49-E49-F49+G49</s:f>
        <s:v>0</s:v>
      </s:c>
      <s:c r="I49" s="5">
        <s:f>1/(1+'S1 inputs'!$B$13)^A49</s:f>
        <s:v>0.06465830753746771</s:v>
      </s:c>
      <s:c r="J49" s="5">
        <s:f>H49*I49</s:f>
        <s:v>0.0</s:v>
      </s:c>
      <s:c r="K49" s="5">
        <s:f>K48+H49-G49</s:f>
        <s:v>13269257.783527518</s:v>
      </s:c>
      <s:c r="L49" s="5">
        <s:f>IF(B49&gt;0,'S1 inputs'!$B$2*'S1 inputs'!$B$14*'S1 inputs'!$B$15*(1+'S1 inputs'!$B$18)^(B49-1)*I49,0)</s:f>
        <s:v>0</s:v>
      </s:c>
      <s:c r="M49" s="11" t="str">
        <s:f>IF(AND(K49&gt;=0,K48&lt;0),A49-1-K48/(H49-G49),"")</s:f>
        <s:v/>
      </s:c>
      <s:c r="N49" s="11">
        <s:f>N48+J49-G49*I49</s:f>
        <s:v>-2280501.2520845328</s:v>
      </s:c>
      <s:c r="O49" s="11" t="str">
        <s:f>IF(AND(N49&gt;=0,N48&lt;0),A49-1-N48/((H49-G49)*I49),"")</s:f>
        <s:v/>
      </s:c>
    </s:row>
    <s:row r="50" ht="20" customHeight="1">
      <s:c r="A50" s="2" t="n">
        <s:v>48</s:v>
      </s:c>
      <s:c r="B50" s="2">
        <s:f>IF(AND(A50&gt;'S1 results'!$B$4,A50&lt;='S1 results'!$B$5),A50-'S1 results'!$B$4,0)</s:f>
        <s:v>0</s:v>
      </s:c>
      <s:c r="C50" s="5">
        <s:f>IF(B50&gt;0,'S1 inputs'!$B$16*(1+'S1 inputs'!$B$18)^(B50-1),0)</s:f>
        <s:v>0</s:v>
      </s:c>
      <s:c r="D50" s="5">
        <s:f>IF(B50&gt;0,'S1 inputs'!$B$2*'S1 inputs'!$B$14*'S1 inputs'!$B$15*C50,0)</s:f>
        <s:v>0</s:v>
      </s:c>
      <s:c r="E50" s="5">
        <s:f>IF(B50&gt;0,('S1 inputs'!$B$20+'S1 inputs'!$B$21+'S1 inputs'!$B$2*'S1 inputs'!$B$14*('S1 inputs'!$B$22+'S1 inputs'!$B$23)+('S1 inputs'!$B$2*'S1 inputs'!$B$3*'S1 inputs'!$B$5+'S1 inputs'!$B$6)*'S1 inputs'!$B$24)*(1+'S1 inputs'!$B$19)^(B50-1),0)</s:f>
        <s:v>0</s:v>
      </s:c>
      <s:c r="F50" s="5">
        <s:f>IF(AND(B50&gt;0,B50&lt;'S1 inputs'!$B$12,MOD(B50,'S1 inputs'!$B$25)=0),'S1 inputs'!$B$26*(1+'S1 inputs'!$B$19)^(B50-1),0)</s:f>
        <s:v>0</s:v>
      </s:c>
      <s:c r="G50" s="5">
        <s:f>IF(A50='S1 results'!$B$5,'S1 inputs'!$B$27*(1-'S1 inputs'!$B$28),0)</s:f>
        <s:v>0</s:v>
      </s:c>
      <s:c r="H50" s="5">
        <s:f>D50-E50-F50+G50</s:f>
        <s:v>0</s:v>
      </s:c>
      <s:c r="I50" s="5">
        <s:f>1/(1+'S1 inputs'!$B$13)^A50</s:f>
        <s:v>0.060998403337233685</s:v>
      </s:c>
      <s:c r="J50" s="5">
        <s:f>H50*I50</s:f>
        <s:v>0.0</s:v>
      </s:c>
      <s:c r="K50" s="5">
        <s:f>K49+H50-G50</s:f>
        <s:v>13269257.783527518</s:v>
      </s:c>
      <s:c r="L50" s="5">
        <s:f>IF(B50&gt;0,'S1 inputs'!$B$2*'S1 inputs'!$B$14*'S1 inputs'!$B$15*(1+'S1 inputs'!$B$18)^(B50-1)*I50,0)</s:f>
        <s:v>0</s:v>
      </s:c>
      <s:c r="M50" s="11" t="str">
        <s:f>IF(AND(K50&gt;=0,K49&lt;0),A50-1-K49/(H50-G50),"")</s:f>
        <s:v/>
      </s:c>
      <s:c r="N50" s="11">
        <s:f>N49+J50-G50*I50</s:f>
        <s:v>-2280501.2520845328</s:v>
      </s:c>
      <s:c r="O50" s="11" t="str">
        <s:f>IF(AND(N50&gt;=0,N49&lt;0),A50-1-N49/((H50-G50)*I50),"")</s:f>
        <s:v/>
      </s:c>
    </s:row>
    <s:row r="51" ht="20" customHeight="1">
      <s:c r="A51" s="2" t="n">
        <s:v>49</s:v>
      </s:c>
      <s:c r="B51" s="2">
        <s:f>IF(AND(A51&gt;'S1 results'!$B$4,A51&lt;='S1 results'!$B$5),A51-'S1 results'!$B$4,0)</s:f>
        <s:v>0</s:v>
      </s:c>
      <s:c r="C51" s="5">
        <s:f>IF(B51&gt;0,'S1 inputs'!$B$16*(1+'S1 inputs'!$B$18)^(B51-1),0)</s:f>
        <s:v>0</s:v>
      </s:c>
      <s:c r="D51" s="5">
        <s:f>IF(B51&gt;0,'S1 inputs'!$B$2*'S1 inputs'!$B$14*'S1 inputs'!$B$15*C51,0)</s:f>
        <s:v>0</s:v>
      </s:c>
      <s:c r="E51" s="5">
        <s:f>IF(B51&gt;0,('S1 inputs'!$B$20+'S1 inputs'!$B$21+'S1 inputs'!$B$2*'S1 inputs'!$B$14*('S1 inputs'!$B$22+'S1 inputs'!$B$23)+('S1 inputs'!$B$2*'S1 inputs'!$B$3*'S1 inputs'!$B$5+'S1 inputs'!$B$6)*'S1 inputs'!$B$24)*(1+'S1 inputs'!$B$19)^(B51-1),0)</s:f>
        <s:v>0</s:v>
      </s:c>
      <s:c r="F51" s="5">
        <s:f>IF(AND(B51&gt;0,B51&lt;'S1 inputs'!$B$12,MOD(B51,'S1 inputs'!$B$25)=0),'S1 inputs'!$B$26*(1+'S1 inputs'!$B$19)^(B51-1),0)</s:f>
        <s:v>0</s:v>
      </s:c>
      <s:c r="G51" s="5">
        <s:f>IF(A51='S1 results'!$B$5,'S1 inputs'!$B$27*(1-'S1 inputs'!$B$28),0)</s:f>
        <s:v>0</s:v>
      </s:c>
      <s:c r="H51" s="5">
        <s:f>D51-E51-F51+G51</s:f>
        <s:v>0</s:v>
      </s:c>
      <s:c r="I51" s="5">
        <s:f>1/(1+'S1 inputs'!$B$13)^A51</s:f>
        <s:v>0.05754566352569215</s:v>
      </s:c>
      <s:c r="J51" s="5">
        <s:f>H51*I51</s:f>
        <s:v>0.0</s:v>
      </s:c>
      <s:c r="K51" s="5">
        <s:f>K50+H51-G51</s:f>
        <s:v>13269257.783527518</s:v>
      </s:c>
      <s:c r="L51" s="5">
        <s:f>IF(B51&gt;0,'S1 inputs'!$B$2*'S1 inputs'!$B$14*'S1 inputs'!$B$15*(1+'S1 inputs'!$B$18)^(B51-1)*I51,0)</s:f>
        <s:v>0</s:v>
      </s:c>
      <s:c r="M51" s="11" t="str">
        <s:f>IF(AND(K51&gt;=0,K50&lt;0),A51-1-K50/(H51-G51),"")</s:f>
        <s:v/>
      </s:c>
      <s:c r="N51" s="11">
        <s:f>N50+J51-G51*I51</s:f>
        <s:v>-2280501.2520845328</s:v>
      </s:c>
      <s:c r="O51" s="11" t="str">
        <s:f>IF(AND(N51&gt;=0,N50&lt;0),A51-1-N50/((H51-G51)*I51),"")</s:f>
        <s:v/>
      </s:c>
    </s:row>
    <s:row r="52" ht="20" customHeight="1">
      <s:c r="A52" s="2" t="n">
        <s:v>50</s:v>
      </s:c>
      <s:c r="B52" s="2">
        <s:f>IF(AND(A52&gt;'S1 results'!$B$4,A52&lt;='S1 results'!$B$5),A52-'S1 results'!$B$4,0)</s:f>
        <s:v>0</s:v>
      </s:c>
      <s:c r="C52" s="5">
        <s:f>IF(B52&gt;0,'S1 inputs'!$B$16*(1+'S1 inputs'!$B$18)^(B52-1),0)</s:f>
        <s:v>0</s:v>
      </s:c>
      <s:c r="D52" s="5">
        <s:f>IF(B52&gt;0,'S1 inputs'!$B$2*'S1 inputs'!$B$14*'S1 inputs'!$B$15*C52,0)</s:f>
        <s:v>0</s:v>
      </s:c>
      <s:c r="E52" s="5">
        <s:f>IF(B52&gt;0,('S1 inputs'!$B$20+'S1 inputs'!$B$21+'S1 inputs'!$B$2*'S1 inputs'!$B$14*('S1 inputs'!$B$22+'S1 inputs'!$B$23)+('S1 inputs'!$B$2*'S1 inputs'!$B$3*'S1 inputs'!$B$5+'S1 inputs'!$B$6)*'S1 inputs'!$B$24)*(1+'S1 inputs'!$B$19)^(B52-1),0)</s:f>
        <s:v>0</s:v>
      </s:c>
      <s:c r="F52" s="5">
        <s:f>IF(AND(B52&gt;0,B52&lt;'S1 inputs'!$B$12,MOD(B52,'S1 inputs'!$B$25)=0),'S1 inputs'!$B$26*(1+'S1 inputs'!$B$19)^(B52-1),0)</s:f>
        <s:v>0</s:v>
      </s:c>
      <s:c r="G52" s="5">
        <s:f>IF(A52='S1 results'!$B$5,'S1 inputs'!$B$27*(1-'S1 inputs'!$B$28),0)</s:f>
        <s:v>0</s:v>
      </s:c>
      <s:c r="H52" s="5">
        <s:f>D52-E52-F52+G52</s:f>
        <s:v>0</s:v>
      </s:c>
      <s:c r="I52" s="5">
        <s:f>1/(1+'S1 inputs'!$B$13)^A52</s:f>
        <s:v>0.0542883618166907</s:v>
      </s:c>
      <s:c r="J52" s="5">
        <s:f>H52*I52</s:f>
        <s:v>0.0</s:v>
      </s:c>
      <s:c r="K52" s="5">
        <s:f>K51+H52-G52</s:f>
        <s:v>13269257.783527518</s:v>
      </s:c>
      <s:c r="L52" s="5">
        <s:f>IF(B52&gt;0,'S1 inputs'!$B$2*'S1 inputs'!$B$14*'S1 inputs'!$B$15*(1+'S1 inputs'!$B$18)^(B52-1)*I52,0)</s:f>
        <s:v>0</s:v>
      </s:c>
      <s:c r="M52" s="11" t="str">
        <s:f>IF(AND(K52&gt;=0,K51&lt;0),A52-1-K51/(H52-G52),"")</s:f>
        <s:v/>
      </s:c>
      <s:c r="N52" s="11">
        <s:f>N51+J52-G52*I52</s:f>
        <s:v>-2280501.2520845328</s:v>
      </s:c>
      <s:c r="O52" s="11" t="str">
        <s:f>IF(AND(N52&gt;=0,N51&lt;0),A52-1-N51/((H52-G52)*I52),"")</s:f>
        <s:v/>
      </s:c>
    </s:row>
    <s:row r="53" ht="20" customHeight="1">
      <s:c r="A53" s="2" t="n">
        <s:v>51</s:v>
      </s:c>
      <s:c r="B53" s="2">
        <s:f>IF(AND(A53&gt;'S1 results'!$B$4,A53&lt;='S1 results'!$B$5),A53-'S1 results'!$B$4,0)</s:f>
        <s:v>0</s:v>
      </s:c>
      <s:c r="C53" s="5">
        <s:f>IF(B53&gt;0,'S1 inputs'!$B$16*(1+'S1 inputs'!$B$18)^(B53-1),0)</s:f>
        <s:v>0</s:v>
      </s:c>
      <s:c r="D53" s="5">
        <s:f>IF(B53&gt;0,'S1 inputs'!$B$2*'S1 inputs'!$B$14*'S1 inputs'!$B$15*C53,0)</s:f>
        <s:v>0</s:v>
      </s:c>
      <s:c r="E53" s="5">
        <s:f>IF(B53&gt;0,('S1 inputs'!$B$20+'S1 inputs'!$B$21+'S1 inputs'!$B$2*'S1 inputs'!$B$14*('S1 inputs'!$B$22+'S1 inputs'!$B$23)+('S1 inputs'!$B$2*'S1 inputs'!$B$3*'S1 inputs'!$B$5+'S1 inputs'!$B$6)*'S1 inputs'!$B$24)*(1+'S1 inputs'!$B$19)^(B53-1),0)</s:f>
        <s:v>0</s:v>
      </s:c>
      <s:c r="F53" s="5">
        <s:f>IF(AND(B53&gt;0,B53&lt;'S1 inputs'!$B$12,MOD(B53,'S1 inputs'!$B$25)=0),'S1 inputs'!$B$26*(1+'S1 inputs'!$B$19)^(B53-1),0)</s:f>
        <s:v>0</s:v>
      </s:c>
      <s:c r="G53" s="5">
        <s:f>IF(A53='S1 results'!$B$5,'S1 inputs'!$B$27*(1-'S1 inputs'!$B$28),0)</s:f>
        <s:v>0</s:v>
      </s:c>
      <s:c r="H53" s="5">
        <s:f>D53-E53-F53+G53</s:f>
        <s:v>0</s:v>
      </s:c>
      <s:c r="I53" s="5">
        <s:f>1/(1+'S1 inputs'!$B$13)^A53</s:f>
        <s:v>0.05121543567612331</s:v>
      </s:c>
      <s:c r="J53" s="5">
        <s:f>H53*I53</s:f>
        <s:v>0.0</s:v>
      </s:c>
      <s:c r="K53" s="5">
        <s:f>K52+H53-G53</s:f>
        <s:v>13269257.783527518</s:v>
      </s:c>
      <s:c r="L53" s="5">
        <s:f>IF(B53&gt;0,'S1 inputs'!$B$2*'S1 inputs'!$B$14*'S1 inputs'!$B$15*(1+'S1 inputs'!$B$18)^(B53-1)*I53,0)</s:f>
        <s:v>0</s:v>
      </s:c>
      <s:c r="M53" s="11" t="str">
        <s:f>IF(AND(K53&gt;=0,K52&lt;0),A53-1-K52/(H53-G53),"")</s:f>
        <s:v/>
      </s:c>
      <s:c r="N53" s="11">
        <s:f>N52+J53-G53*I53</s:f>
        <s:v>-2280501.2520845328</s:v>
      </s:c>
      <s:c r="O53" s="11" t="str">
        <s:f>IF(AND(N53&gt;=0,N52&lt;0),A53-1-N52/((H53-G53)*I53),"")</s:f>
        <s:v/>
      </s:c>
    </s:row>
    <s:row r="54" ht="20" customHeight="1">
      <s:c r="A54" s="2" t="n">
        <s:v>52</s:v>
      </s:c>
      <s:c r="B54" s="2">
        <s:f>IF(AND(A54&gt;'S1 results'!$B$4,A54&lt;='S1 results'!$B$5),A54-'S1 results'!$B$4,0)</s:f>
        <s:v>0</s:v>
      </s:c>
      <s:c r="C54" s="5">
        <s:f>IF(B54&gt;0,'S1 inputs'!$B$16*(1+'S1 inputs'!$B$18)^(B54-1),0)</s:f>
        <s:v>0</s:v>
      </s:c>
      <s:c r="D54" s="5">
        <s:f>IF(B54&gt;0,'S1 inputs'!$B$2*'S1 inputs'!$B$14*'S1 inputs'!$B$15*C54,0)</s:f>
        <s:v>0</s:v>
      </s:c>
      <s:c r="E54" s="5">
        <s:f>IF(B54&gt;0,('S1 inputs'!$B$20+'S1 inputs'!$B$21+'S1 inputs'!$B$2*'S1 inputs'!$B$14*('S1 inputs'!$B$22+'S1 inputs'!$B$23)+('S1 inputs'!$B$2*'S1 inputs'!$B$3*'S1 inputs'!$B$5+'S1 inputs'!$B$6)*'S1 inputs'!$B$24)*(1+'S1 inputs'!$B$19)^(B54-1),0)</s:f>
        <s:v>0</s:v>
      </s:c>
      <s:c r="F54" s="5">
        <s:f>IF(AND(B54&gt;0,B54&lt;'S1 inputs'!$B$12,MOD(B54,'S1 inputs'!$B$25)=0),'S1 inputs'!$B$26*(1+'S1 inputs'!$B$19)^(B54-1),0)</s:f>
        <s:v>0</s:v>
      </s:c>
      <s:c r="G54" s="5">
        <s:f>IF(A54='S1 results'!$B$5,'S1 inputs'!$B$27*(1-'S1 inputs'!$B$28),0)</s:f>
        <s:v>0</s:v>
      </s:c>
      <s:c r="H54" s="5">
        <s:f>D54-E54-F54+G54</s:f>
        <s:v>0</s:v>
      </s:c>
      <s:c r="I54" s="5">
        <s:f>1/(1+'S1 inputs'!$B$13)^A54</s:f>
        <s:v>0.048316448751059726</s:v>
      </s:c>
      <s:c r="J54" s="5">
        <s:f>H54*I54</s:f>
        <s:v>0.0</s:v>
      </s:c>
      <s:c r="K54" s="5">
        <s:f>K53+H54-G54</s:f>
        <s:v>13269257.783527518</s:v>
      </s:c>
      <s:c r="L54" s="5">
        <s:f>IF(B54&gt;0,'S1 inputs'!$B$2*'S1 inputs'!$B$14*'S1 inputs'!$B$15*(1+'S1 inputs'!$B$18)^(B54-1)*I54,0)</s:f>
        <s:v>0</s:v>
      </s:c>
      <s:c r="M54" s="11" t="str">
        <s:f>IF(AND(K54&gt;=0,K53&lt;0),A54-1-K53/(H54-G54),"")</s:f>
        <s:v/>
      </s:c>
      <s:c r="N54" s="11">
        <s:f>N53+J54-G54*I54</s:f>
        <s:v>-2280501.2520845328</s:v>
      </s:c>
      <s:c r="O54" s="11" t="str">
        <s:f>IF(AND(N54&gt;=0,N53&lt;0),A54-1-N53/((H54-G54)*I54),"")</s:f>
        <s:v/>
      </s:c>
    </s:row>
    <s:row r="55" ht="20" customHeight="1">
      <s:c r="A55" s="2" t="n">
        <s:v>53</s:v>
      </s:c>
      <s:c r="B55" s="2">
        <s:f>IF(AND(A55&gt;'S1 results'!$B$4,A55&lt;='S1 results'!$B$5),A55-'S1 results'!$B$4,0)</s:f>
        <s:v>0</s:v>
      </s:c>
      <s:c r="C55" s="5">
        <s:f>IF(B55&gt;0,'S1 inputs'!$B$16*(1+'S1 inputs'!$B$18)^(B55-1),0)</s:f>
        <s:v>0</s:v>
      </s:c>
      <s:c r="D55" s="5">
        <s:f>IF(B55&gt;0,'S1 inputs'!$B$2*'S1 inputs'!$B$14*'S1 inputs'!$B$15*C55,0)</s:f>
        <s:v>0</s:v>
      </s:c>
      <s:c r="E55" s="5">
        <s:f>IF(B55&gt;0,('S1 inputs'!$B$20+'S1 inputs'!$B$21+'S1 inputs'!$B$2*'S1 inputs'!$B$14*('S1 inputs'!$B$22+'S1 inputs'!$B$23)+('S1 inputs'!$B$2*'S1 inputs'!$B$3*'S1 inputs'!$B$5+'S1 inputs'!$B$6)*'S1 inputs'!$B$24)*(1+'S1 inputs'!$B$19)^(B55-1),0)</s:f>
        <s:v>0</s:v>
      </s:c>
      <s:c r="F55" s="5">
        <s:f>IF(AND(B55&gt;0,B55&lt;'S1 inputs'!$B$12,MOD(B55,'S1 inputs'!$B$25)=0),'S1 inputs'!$B$26*(1+'S1 inputs'!$B$19)^(B55-1),0)</s:f>
        <s:v>0</s:v>
      </s:c>
      <s:c r="G55" s="5">
        <s:f>IF(A55='S1 results'!$B$5,'S1 inputs'!$B$27*(1-'S1 inputs'!$B$28),0)</s:f>
        <s:v>0</s:v>
      </s:c>
      <s:c r="H55" s="5">
        <s:f>D55-E55-F55+G55</s:f>
        <s:v>0</s:v>
      </s:c>
      <s:c r="I55" s="5">
        <s:f>1/(1+'S1 inputs'!$B$13)^A55</s:f>
        <s:v>0.04558155542552804</s:v>
      </s:c>
      <s:c r="J55" s="5">
        <s:f>H55*I55</s:f>
        <s:v>0.0</s:v>
      </s:c>
      <s:c r="K55" s="5">
        <s:f>K54+H55-G55</s:f>
        <s:v>13269257.783527518</s:v>
      </s:c>
      <s:c r="L55" s="5">
        <s:f>IF(B55&gt;0,'S1 inputs'!$B$2*'S1 inputs'!$B$14*'S1 inputs'!$B$15*(1+'S1 inputs'!$B$18)^(B55-1)*I55,0)</s:f>
        <s:v>0</s:v>
      </s:c>
      <s:c r="M55" s="11" t="str">
        <s:f>IF(AND(K55&gt;=0,K54&lt;0),A55-1-K54/(H55-G55),"")</s:f>
        <s:v/>
      </s:c>
      <s:c r="N55" s="11">
        <s:f>N54+J55-G55*I55</s:f>
        <s:v>-2280501.2520845328</s:v>
      </s:c>
      <s:c r="O55" s="11" t="str">
        <s:f>IF(AND(N55&gt;=0,N54&lt;0),A55-1-N54/((H55-G55)*I55),"")</s:f>
        <s:v/>
      </s:c>
    </s:row>
    <s:row r="56" ht="20" customHeight="1">
      <s:c r="A56" s="2" t="n">
        <s:v>54</s:v>
      </s:c>
      <s:c r="B56" s="2">
        <s:f>IF(AND(A56&gt;'S1 results'!$B$4,A56&lt;='S1 results'!$B$5),A56-'S1 results'!$B$4,0)</s:f>
        <s:v>0</s:v>
      </s:c>
      <s:c r="C56" s="5">
        <s:f>IF(B56&gt;0,'S1 inputs'!$B$16*(1+'S1 inputs'!$B$18)^(B56-1),0)</s:f>
        <s:v>0</s:v>
      </s:c>
      <s:c r="D56" s="5">
        <s:f>IF(B56&gt;0,'S1 inputs'!$B$2*'S1 inputs'!$B$14*'S1 inputs'!$B$15*C56,0)</s:f>
        <s:v>0</s:v>
      </s:c>
      <s:c r="E56" s="5">
        <s:f>IF(B56&gt;0,('S1 inputs'!$B$20+'S1 inputs'!$B$21+'S1 inputs'!$B$2*'S1 inputs'!$B$14*('S1 inputs'!$B$22+'S1 inputs'!$B$23)+('S1 inputs'!$B$2*'S1 inputs'!$B$3*'S1 inputs'!$B$5+'S1 inputs'!$B$6)*'S1 inputs'!$B$24)*(1+'S1 inputs'!$B$19)^(B56-1),0)</s:f>
        <s:v>0</s:v>
      </s:c>
      <s:c r="F56" s="5">
        <s:f>IF(AND(B56&gt;0,B56&lt;'S1 inputs'!$B$12,MOD(B56,'S1 inputs'!$B$25)=0),'S1 inputs'!$B$26*(1+'S1 inputs'!$B$19)^(B56-1),0)</s:f>
        <s:v>0</s:v>
      </s:c>
      <s:c r="G56" s="5">
        <s:f>IF(A56='S1 results'!$B$5,'S1 inputs'!$B$27*(1-'S1 inputs'!$B$28),0)</s:f>
        <s:v>0</s:v>
      </s:c>
      <s:c r="H56" s="5">
        <s:f>D56-E56-F56+G56</s:f>
        <s:v>0</s:v>
      </s:c>
      <s:c r="I56" s="5">
        <s:f>1/(1+'S1 inputs'!$B$13)^A56</s:f>
        <s:v>0.04300146738257362</s:v>
      </s:c>
      <s:c r="J56" s="5">
        <s:f>H56*I56</s:f>
        <s:v>0.0</s:v>
      </s:c>
      <s:c r="K56" s="5">
        <s:f>K55+H56-G56</s:f>
        <s:v>13269257.783527518</s:v>
      </s:c>
      <s:c r="L56" s="5">
        <s:f>IF(B56&gt;0,'S1 inputs'!$B$2*'S1 inputs'!$B$14*'S1 inputs'!$B$15*(1+'S1 inputs'!$B$18)^(B56-1)*I56,0)</s:f>
        <s:v>0</s:v>
      </s:c>
      <s:c r="M56" s="11" t="str">
        <s:f>IF(AND(K56&gt;=0,K55&lt;0),A56-1-K55/(H56-G56),"")</s:f>
        <s:v/>
      </s:c>
      <s:c r="N56" s="11">
        <s:f>N55+J56-G56*I56</s:f>
        <s:v>-2280501.2520845328</s:v>
      </s:c>
      <s:c r="O56" s="11" t="str">
        <s:f>IF(AND(N56&gt;=0,N55&lt;0),A56-1-N55/((H56-G56)*I56),"")</s:f>
        <s:v/>
      </s:c>
    </s:row>
    <s:row r="57" ht="20" customHeight="1">
      <s:c r="A57" s="2" t="n">
        <s:v>55</s:v>
      </s:c>
      <s:c r="B57" s="2">
        <s:f>IF(AND(A57&gt;'S1 results'!$B$4,A57&lt;='S1 results'!$B$5),A57-'S1 results'!$B$4,0)</s:f>
        <s:v>0</s:v>
      </s:c>
      <s:c r="C57" s="5">
        <s:f>IF(B57&gt;0,'S1 inputs'!$B$16*(1+'S1 inputs'!$B$18)^(B57-1),0)</s:f>
        <s:v>0</s:v>
      </s:c>
      <s:c r="D57" s="5">
        <s:f>IF(B57&gt;0,'S1 inputs'!$B$2*'S1 inputs'!$B$14*'S1 inputs'!$B$15*C57,0)</s:f>
        <s:v>0</s:v>
      </s:c>
      <s:c r="E57" s="5">
        <s:f>IF(B57&gt;0,('S1 inputs'!$B$20+'S1 inputs'!$B$21+'S1 inputs'!$B$2*'S1 inputs'!$B$14*('S1 inputs'!$B$22+'S1 inputs'!$B$23)+('S1 inputs'!$B$2*'S1 inputs'!$B$3*'S1 inputs'!$B$5+'S1 inputs'!$B$6)*'S1 inputs'!$B$24)*(1+'S1 inputs'!$B$19)^(B57-1),0)</s:f>
        <s:v>0</s:v>
      </s:c>
      <s:c r="F57" s="5">
        <s:f>IF(AND(B57&gt;0,B57&lt;'S1 inputs'!$B$12,MOD(B57,'S1 inputs'!$B$25)=0),'S1 inputs'!$B$26*(1+'S1 inputs'!$B$19)^(B57-1),0)</s:f>
        <s:v>0</s:v>
      </s:c>
      <s:c r="G57" s="5">
        <s:f>IF(A57='S1 results'!$B$5,'S1 inputs'!$B$27*(1-'S1 inputs'!$B$28),0)</s:f>
        <s:v>0</s:v>
      </s:c>
      <s:c r="H57" s="5">
        <s:f>D57-E57-F57+G57</s:f>
        <s:v>0</s:v>
      </s:c>
      <s:c r="I57" s="5">
        <s:f>1/(1+'S1 inputs'!$B$13)^A57</s:f>
        <s:v>0.04056742205903171</s:v>
      </s:c>
      <s:c r="J57" s="5">
        <s:f>H57*I57</s:f>
        <s:v>0.0</s:v>
      </s:c>
      <s:c r="K57" s="5">
        <s:f>K56+H57-G57</s:f>
        <s:v>13269257.783527518</s:v>
      </s:c>
      <s:c r="L57" s="5">
        <s:f>IF(B57&gt;0,'S1 inputs'!$B$2*'S1 inputs'!$B$14*'S1 inputs'!$B$15*(1+'S1 inputs'!$B$18)^(B57-1)*I57,0)</s:f>
        <s:v>0</s:v>
      </s:c>
      <s:c r="M57" s="11" t="str">
        <s:f>IF(AND(K57&gt;=0,K56&lt;0),A57-1-K56/(H57-G57),"")</s:f>
        <s:v/>
      </s:c>
      <s:c r="N57" s="11">
        <s:f>N56+J57-G57*I57</s:f>
        <s:v>-2280501.2520845328</s:v>
      </s:c>
      <s:c r="O57" s="11" t="str">
        <s:f>IF(AND(N57&gt;=0,N56&lt;0),A57-1-N56/((H57-G57)*I57),"")</s:f>
        <s:v/>
      </s:c>
    </s:row>
    <s:row r="58" ht="20" customHeight="1">
      <s:c r="A58" s="2" t="n">
        <s:v>56</s:v>
      </s:c>
      <s:c r="B58" s="2">
        <s:f>IF(AND(A58&gt;'S1 results'!$B$4,A58&lt;='S1 results'!$B$5),A58-'S1 results'!$B$4,0)</s:f>
        <s:v>0</s:v>
      </s:c>
      <s:c r="C58" s="5">
        <s:f>IF(B58&gt;0,'S1 inputs'!$B$16*(1+'S1 inputs'!$B$18)^(B58-1),0)</s:f>
        <s:v>0</s:v>
      </s:c>
      <s:c r="D58" s="5">
        <s:f>IF(B58&gt;0,'S1 inputs'!$B$2*'S1 inputs'!$B$14*'S1 inputs'!$B$15*C58,0)</s:f>
        <s:v>0</s:v>
      </s:c>
      <s:c r="E58" s="5">
        <s:f>IF(B58&gt;0,('S1 inputs'!$B$20+'S1 inputs'!$B$21+'S1 inputs'!$B$2*'S1 inputs'!$B$14*('S1 inputs'!$B$22+'S1 inputs'!$B$23)+('S1 inputs'!$B$2*'S1 inputs'!$B$3*'S1 inputs'!$B$5+'S1 inputs'!$B$6)*'S1 inputs'!$B$24)*(1+'S1 inputs'!$B$19)^(B58-1),0)</s:f>
        <s:v>0</s:v>
      </s:c>
      <s:c r="F58" s="5">
        <s:f>IF(AND(B58&gt;0,B58&lt;'S1 inputs'!$B$12,MOD(B58,'S1 inputs'!$B$25)=0),'S1 inputs'!$B$26*(1+'S1 inputs'!$B$19)^(B58-1),0)</s:f>
        <s:v>0</s:v>
      </s:c>
      <s:c r="G58" s="5">
        <s:f>IF(A58='S1 results'!$B$5,'S1 inputs'!$B$27*(1-'S1 inputs'!$B$28),0)</s:f>
        <s:v>0</s:v>
      </s:c>
      <s:c r="H58" s="5">
        <s:f>D58-E58-F58+G58</s:f>
        <s:v>0</s:v>
      </s:c>
      <s:c r="I58" s="5">
        <s:f>1/(1+'S1 inputs'!$B$13)^A58</s:f>
        <s:v>0.03827115288587897</s:v>
      </s:c>
      <s:c r="J58" s="5">
        <s:f>H58*I58</s:f>
        <s:v>0.0</s:v>
      </s:c>
      <s:c r="K58" s="5">
        <s:f>K57+H58-G58</s:f>
        <s:v>13269257.783527518</s:v>
      </s:c>
      <s:c r="L58" s="5">
        <s:f>IF(B58&gt;0,'S1 inputs'!$B$2*'S1 inputs'!$B$14*'S1 inputs'!$B$15*(1+'S1 inputs'!$B$18)^(B58-1)*I58,0)</s:f>
        <s:v>0</s:v>
      </s:c>
      <s:c r="M58" s="11" t="str">
        <s:f>IF(AND(K58&gt;=0,K57&lt;0),A58-1-K57/(H58-G58),"")</s:f>
        <s:v/>
      </s:c>
      <s:c r="N58" s="11">
        <s:f>N57+J58-G58*I58</s:f>
        <s:v>-2280501.2520845328</s:v>
      </s:c>
      <s:c r="O58" s="11" t="str">
        <s:f>IF(AND(N58&gt;=0,N57&lt;0),A58-1-N57/((H58-G58)*I58),"")</s:f>
        <s:v/>
      </s:c>
    </s:row>
    <s:row r="59" ht="20" customHeight="1">
      <s:c r="A59" s="2" t="n">
        <s:v>57</s:v>
      </s:c>
      <s:c r="B59" s="2">
        <s:f>IF(AND(A59&gt;'S1 results'!$B$4,A59&lt;='S1 results'!$B$5),A59-'S1 results'!$B$4,0)</s:f>
        <s:v>0</s:v>
      </s:c>
      <s:c r="C59" s="5">
        <s:f>IF(B59&gt;0,'S1 inputs'!$B$16*(1+'S1 inputs'!$B$18)^(B59-1),0)</s:f>
        <s:v>0</s:v>
      </s:c>
      <s:c r="D59" s="5">
        <s:f>IF(B59&gt;0,'S1 inputs'!$B$2*'S1 inputs'!$B$14*'S1 inputs'!$B$15*C59,0)</s:f>
        <s:v>0</s:v>
      </s:c>
      <s:c r="E59" s="5">
        <s:f>IF(B59&gt;0,('S1 inputs'!$B$20+'S1 inputs'!$B$21+'S1 inputs'!$B$2*'S1 inputs'!$B$14*('S1 inputs'!$B$22+'S1 inputs'!$B$23)+('S1 inputs'!$B$2*'S1 inputs'!$B$3*'S1 inputs'!$B$5+'S1 inputs'!$B$6)*'S1 inputs'!$B$24)*(1+'S1 inputs'!$B$19)^(B59-1),0)</s:f>
        <s:v>0</s:v>
      </s:c>
      <s:c r="F59" s="5">
        <s:f>IF(AND(B59&gt;0,B59&lt;'S1 inputs'!$B$12,MOD(B59,'S1 inputs'!$B$25)=0),'S1 inputs'!$B$26*(1+'S1 inputs'!$B$19)^(B59-1),0)</s:f>
        <s:v>0</s:v>
      </s:c>
      <s:c r="G59" s="5">
        <s:f>IF(A59='S1 results'!$B$5,'S1 inputs'!$B$27*(1-'S1 inputs'!$B$28),0)</s:f>
        <s:v>0</s:v>
      </s:c>
      <s:c r="H59" s="5">
        <s:f>D59-E59-F59+G59</s:f>
        <s:v>0</s:v>
      </s:c>
      <s:c r="I59" s="5">
        <s:f>1/(1+'S1 inputs'!$B$13)^A59</s:f>
        <s:v>0.03610486121309337</s:v>
      </s:c>
      <s:c r="J59" s="5">
        <s:f>H59*I59</s:f>
        <s:v>0.0</s:v>
      </s:c>
      <s:c r="K59" s="5">
        <s:f>K58+H59-G59</s:f>
        <s:v>13269257.783527518</s:v>
      </s:c>
      <s:c r="L59" s="5">
        <s:f>IF(B59&gt;0,'S1 inputs'!$B$2*'S1 inputs'!$B$14*'S1 inputs'!$B$15*(1+'S1 inputs'!$B$18)^(B59-1)*I59,0)</s:f>
        <s:v>0</s:v>
      </s:c>
      <s:c r="M59" s="11" t="str">
        <s:f>IF(AND(K59&gt;=0,K58&lt;0),A59-1-K58/(H59-G59),"")</s:f>
        <s:v/>
      </s:c>
      <s:c r="N59" s="11">
        <s:f>N58+J59-G59*I59</s:f>
        <s:v>-2280501.2520845328</s:v>
      </s:c>
      <s:c r="O59" s="11" t="str">
        <s:f>IF(AND(N59&gt;=0,N58&lt;0),A59-1-N58/((H59-G59)*I59),"")</s:f>
        <s:v/>
      </s:c>
    </s:row>
    <s:row r="60" ht="20" customHeight="1">
      <s:c r="A60" s="2" t="n">
        <s:v>58</s:v>
      </s:c>
      <s:c r="B60" s="2">
        <s:f>IF(AND(A60&gt;'S1 results'!$B$4,A60&lt;='S1 results'!$B$5),A60-'S1 results'!$B$4,0)</s:f>
        <s:v>0</s:v>
      </s:c>
      <s:c r="C60" s="5">
        <s:f>IF(B60&gt;0,'S1 inputs'!$B$16*(1+'S1 inputs'!$B$18)^(B60-1),0)</s:f>
        <s:v>0</s:v>
      </s:c>
      <s:c r="D60" s="5">
        <s:f>IF(B60&gt;0,'S1 inputs'!$B$2*'S1 inputs'!$B$14*'S1 inputs'!$B$15*C60,0)</s:f>
        <s:v>0</s:v>
      </s:c>
      <s:c r="E60" s="5">
        <s:f>IF(B60&gt;0,('S1 inputs'!$B$20+'S1 inputs'!$B$21+'S1 inputs'!$B$2*'S1 inputs'!$B$14*('S1 inputs'!$B$22+'S1 inputs'!$B$23)+('S1 inputs'!$B$2*'S1 inputs'!$B$3*'S1 inputs'!$B$5+'S1 inputs'!$B$6)*'S1 inputs'!$B$24)*(1+'S1 inputs'!$B$19)^(B60-1),0)</s:f>
        <s:v>0</s:v>
      </s:c>
      <s:c r="F60" s="5">
        <s:f>IF(AND(B60&gt;0,B60&lt;'S1 inputs'!$B$12,MOD(B60,'S1 inputs'!$B$25)=0),'S1 inputs'!$B$26*(1+'S1 inputs'!$B$19)^(B60-1),0)</s:f>
        <s:v>0</s:v>
      </s:c>
      <s:c r="G60" s="5">
        <s:f>IF(A60='S1 results'!$B$5,'S1 inputs'!$B$27*(1-'S1 inputs'!$B$28),0)</s:f>
        <s:v>0</s:v>
      </s:c>
      <s:c r="H60" s="5">
        <s:f>D60-E60-F60+G60</s:f>
        <s:v>0</s:v>
      </s:c>
      <s:c r="I60" s="5">
        <s:f>1/(1+'S1 inputs'!$B$13)^A60</s:f>
        <s:v>0.03406118982367299</s:v>
      </s:c>
      <s:c r="J60" s="5">
        <s:f>H60*I60</s:f>
        <s:v>0.0</s:v>
      </s:c>
      <s:c r="K60" s="5">
        <s:f>K59+H60-G60</s:f>
        <s:v>13269257.783527518</s:v>
      </s:c>
      <s:c r="L60" s="5">
        <s:f>IF(B60&gt;0,'S1 inputs'!$B$2*'S1 inputs'!$B$14*'S1 inputs'!$B$15*(1+'S1 inputs'!$B$18)^(B60-1)*I60,0)</s:f>
        <s:v>0</s:v>
      </s:c>
      <s:c r="M60" s="11" t="str">
        <s:f>IF(AND(K60&gt;=0,K59&lt;0),A60-1-K59/(H60-G60),"")</s:f>
        <s:v/>
      </s:c>
      <s:c r="N60" s="11">
        <s:f>N59+J60-G60*I60</s:f>
        <s:v>-2280501.2520845328</s:v>
      </s:c>
      <s:c r="O60" s="11" t="str">
        <s:f>IF(AND(N60&gt;=0,N59&lt;0),A60-1-N59/((H60-G60)*I60),"")</s:f>
        <s:v/>
      </s:c>
    </s:row>
    <s:row r="61" ht="20" customHeight="1">
      <s:c r="A61" s="2" t="n">
        <s:v>59</s:v>
      </s:c>
      <s:c r="B61" s="2">
        <s:f>IF(AND(A61&gt;'S1 results'!$B$4,A61&lt;='S1 results'!$B$5),A61-'S1 results'!$B$4,0)</s:f>
        <s:v>0</s:v>
      </s:c>
      <s:c r="C61" s="5">
        <s:f>IF(B61&gt;0,'S1 inputs'!$B$16*(1+'S1 inputs'!$B$18)^(B61-1),0)</s:f>
        <s:v>0</s:v>
      </s:c>
      <s:c r="D61" s="5">
        <s:f>IF(B61&gt;0,'S1 inputs'!$B$2*'S1 inputs'!$B$14*'S1 inputs'!$B$15*C61,0)</s:f>
        <s:v>0</s:v>
      </s:c>
      <s:c r="E61" s="5">
        <s:f>IF(B61&gt;0,('S1 inputs'!$B$20+'S1 inputs'!$B$21+'S1 inputs'!$B$2*'S1 inputs'!$B$14*('S1 inputs'!$B$22+'S1 inputs'!$B$23)+('S1 inputs'!$B$2*'S1 inputs'!$B$3*'S1 inputs'!$B$5+'S1 inputs'!$B$6)*'S1 inputs'!$B$24)*(1+'S1 inputs'!$B$19)^(B61-1),0)</s:f>
        <s:v>0</s:v>
      </s:c>
      <s:c r="F61" s="5">
        <s:f>IF(AND(B61&gt;0,B61&lt;'S1 inputs'!$B$12,MOD(B61,'S1 inputs'!$B$25)=0),'S1 inputs'!$B$26*(1+'S1 inputs'!$B$19)^(B61-1),0)</s:f>
        <s:v>0</s:v>
      </s:c>
      <s:c r="G61" s="5">
        <s:f>IF(A61='S1 results'!$B$5,'S1 inputs'!$B$27*(1-'S1 inputs'!$B$28),0)</s:f>
        <s:v>0</s:v>
      </s:c>
      <s:c r="H61" s="5">
        <s:f>D61-E61-F61+G61</s:f>
        <s:v>0</s:v>
      </s:c>
      <s:c r="I61" s="5">
        <s:f>1/(1+'S1 inputs'!$B$13)^A61</s:f>
        <s:v>0.03213319794686131</s:v>
      </s:c>
      <s:c r="J61" s="5">
        <s:f>H61*I61</s:f>
        <s:v>0.0</s:v>
      </s:c>
      <s:c r="K61" s="5">
        <s:f>K60+H61-G61</s:f>
        <s:v>13269257.783527518</s:v>
      </s:c>
      <s:c r="L61" s="5">
        <s:f>IF(B61&gt;0,'S1 inputs'!$B$2*'S1 inputs'!$B$14*'S1 inputs'!$B$15*(1+'S1 inputs'!$B$18)^(B61-1)*I61,0)</s:f>
        <s:v>0</s:v>
      </s:c>
      <s:c r="M61" s="11" t="str">
        <s:f>IF(AND(K61&gt;=0,K60&lt;0),A61-1-K60/(H61-G61),"")</s:f>
        <s:v/>
      </s:c>
      <s:c r="N61" s="11">
        <s:f>N60+J61-G61*I61</s:f>
        <s:v>-2280501.2520845328</s:v>
      </s:c>
      <s:c r="O61" s="11" t="str">
        <s:f>IF(AND(N61&gt;=0,N60&lt;0),A61-1-N60/((H61-G61)*I61),"")</s:f>
        <s:v/>
      </s:c>
    </s:row>
    <s:row r="62" ht="20" customHeight="1">
      <s:c r="A62" s="2" t="n">
        <s:v>60</s:v>
      </s:c>
      <s:c r="B62" s="2">
        <s:f>IF(AND(A62&gt;'S1 results'!$B$4,A62&lt;='S1 results'!$B$5),A62-'S1 results'!$B$4,0)</s:f>
        <s:v>0</s:v>
      </s:c>
      <s:c r="C62" s="5">
        <s:f>IF(B62&gt;0,'S1 inputs'!$B$16*(1+'S1 inputs'!$B$18)^(B62-1),0)</s:f>
        <s:v>0</s:v>
      </s:c>
      <s:c r="D62" s="5">
        <s:f>IF(B62&gt;0,'S1 inputs'!$B$2*'S1 inputs'!$B$14*'S1 inputs'!$B$15*C62,0)</s:f>
        <s:v>0</s:v>
      </s:c>
      <s:c r="E62" s="5">
        <s:f>IF(B62&gt;0,('S1 inputs'!$B$20+'S1 inputs'!$B$21+'S1 inputs'!$B$2*'S1 inputs'!$B$14*('S1 inputs'!$B$22+'S1 inputs'!$B$23)+('S1 inputs'!$B$2*'S1 inputs'!$B$3*'S1 inputs'!$B$5+'S1 inputs'!$B$6)*'S1 inputs'!$B$24)*(1+'S1 inputs'!$B$19)^(B62-1),0)</s:f>
        <s:v>0</s:v>
      </s:c>
      <s:c r="F62" s="5">
        <s:f>IF(AND(B62&gt;0,B62&lt;'S1 inputs'!$B$12,MOD(B62,'S1 inputs'!$B$25)=0),'S1 inputs'!$B$26*(1+'S1 inputs'!$B$19)^(B62-1),0)</s:f>
        <s:v>0</s:v>
      </s:c>
      <s:c r="G62" s="5">
        <s:f>IF(A62='S1 results'!$B$5,'S1 inputs'!$B$27*(1-'S1 inputs'!$B$28),0)</s:f>
        <s:v>0</s:v>
      </s:c>
      <s:c r="H62" s="5">
        <s:f>D62-E62-F62+G62</s:f>
        <s:v>0</s:v>
      </s:c>
      <s:c r="I62" s="5">
        <s:f>1/(1+'S1 inputs'!$B$13)^A62</s:f>
        <s:v>0.030314337685718208</s:v>
      </s:c>
      <s:c r="J62" s="5">
        <s:f>H62*I62</s:f>
        <s:v>0.0</s:v>
      </s:c>
      <s:c r="K62" s="5">
        <s:f>K61+H62-G62</s:f>
        <s:v>13269257.783527518</s:v>
      </s:c>
      <s:c r="L62" s="5">
        <s:f>IF(B62&gt;0,'S1 inputs'!$B$2*'S1 inputs'!$B$14*'S1 inputs'!$B$15*(1+'S1 inputs'!$B$18)^(B62-1)*I62,0)</s:f>
        <s:v>0</s:v>
      </s:c>
      <s:c r="M62" s="11" t="str">
        <s:f>IF(AND(K62&gt;=0,K61&lt;0),A62-1-K61/(H62-G62),"")</s:f>
        <s:v/>
      </s:c>
      <s:c r="N62" s="11">
        <s:f>N61+J62-G62*I62</s:f>
        <s:v>-2280501.2520845328</s:v>
      </s:c>
      <s:c r="O62" s="11" t="str">
        <s:f>IF(AND(N62&gt;=0,N61&lt;0),A62-1-N61/((H62-G62)*I62),"")</s:f>
        <s:v/>
      </s:c>
    </s:row>
  </s:sheetData>
  <s:pageMargins left="0.75" right="0.75" top="1" bottom="1" header="0.5" footer="0.5"/>
</s:worksheet>
</file>

<file path=xl/worksheets/sheet12.xml><?xml version="1.0" encoding="utf-8"?>
<s:worksheet xmlns:s="http://schemas.openxmlformats.org/spreadsheetml/2006/main">
  <s:sheetPr>
    <s:outlinePr summaryBelow="1" summaryRight="1"/>
    <s:pageSetUpPr/>
  </s:sheetPr>
  <s:dimension ref="A1:D28"/>
  <s:sheetViews>
    <s:sheetView workbookViewId="0">
      <s:selection activeCell="A1" sqref="A1"/>
    </s:sheetView>
  </s:sheetViews>
  <s:sheetFormatPr baseColWidth="8" defaultRowHeight="15" outlineLevelCol="0"/>
  <s:cols>
    <s:col width="39" customWidth="1" min="1" max="1"/>
    <s:col width="27"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Input</s:t>
        </s:is>
      </s:c>
      <s:c r="B1" s="1" t="inlineStr">
        <s:is>
          <s:t>Value</s:t>
        </s:is>
      </s:c>
      <s:c r="C1" s="1" t="inlineStr">
        <s:is>
          <s:t>Unit</s:t>
        </s:is>
      </s:c>
      <s:c r="D1" s="1" t="inlineStr">
        <s:is>
          <s:t>Basis / assumption</s:t>
        </s:is>
      </s:c>
    </s:row>
    <s:row r="2" ht="32" customHeight="1">
      <s:c r="A2" s="2" t="inlineStr">
        <s:is>
          <s:t>Rooms</s:t>
        </s:is>
      </s:c>
      <s:c r="B2" s="3">
        <s:f>Inputs!B2</s:f>
        <s:v>100</s:v>
      </s:c>
      <s:c r="C2" s="2" t="inlineStr">
        <s:is>
          <s:t>rooms</s:t>
        </s:is>
      </s:c>
      <s:c r="D2" s="2" t="inlineStr">
        <s:is>
          <s:t>Illustrative project; minimum capacity constraint</s:t>
        </s:is>
      </s:c>
    </s:row>
    <s:row r="3" ht="32" customHeight="1">
      <s:c r="A3" s="2" t="inlineStr">
        <s:is>
          <s:t>Gross area per room</s:t>
        </s:is>
      </s:c>
      <s:c r="B3" s="3">
        <s:f>Inputs!B3</s:f>
        <s:v>30</s:v>
      </s:c>
      <s:c r="C3" s="2" t="inlineStr">
        <s:is>
          <s:t>m²/room</s:t>
        </s:is>
      </s:c>
      <s:c r="D3" s="2" t="inlineStr">
        <s:is>
          <s:t>Includes allocation of common areas</s:t>
        </s:is>
      </s:c>
    </s:row>
    <s:row r="4" ht="32" customHeight="1">
      <s:c r="A4" s="2" t="inlineStr">
        <s:is>
          <s:t>Land / acquisition</s:t>
        </s:is>
      </s:c>
      <s:c r="B4" s="3">
        <s:f>Inputs!B4</s:f>
        <s:v>1200000</s:v>
      </s:c>
      <s:c r="C4" s="2" t="inlineStr">
        <s:is>
          <s:t>EUR</s:t>
        </s:is>
      </s:c>
      <s:c r="D4" s="2" t="inlineStr">
        <s:is>
          <s:t>Site-specific quotation needed</s:t>
        </s:is>
      </s:c>
    </s:row>
    <s:row r="5" ht="32" customHeight="1">
      <s:c r="A5" s="2" t="inlineStr">
        <s:is>
          <s:t>Construction cost</s:t>
        </s:is>
      </s:c>
      <s:c r="B5" s="3">
        <s:f>Inputs!B5*Scenarios!B3</s:f>
        <s:v>1700.0</s:v>
      </s:c>
      <s:c r="C5" s="2" t="inlineStr">
        <s:is>
          <s:t>EUR/m²</s:t>
        </s:is>
      </s:c>
      <s:c r="D5" s="2" t="inlineStr">
        <s:is>
          <s:t>Illustrative; VAT inclusion must be checked</s:t>
        </s:is>
      </s:c>
    </s:row>
    <s:row r="6" ht="32" customHeight="1">
      <s:c r="A6" s="2" t="inlineStr">
        <s:is>
          <s:t>Facilities</s:t>
        </s:is>
      </s:c>
      <s:c r="B6" s="3">
        <s:f>Inputs!B6</s:f>
        <s:v>400000</s:v>
      </s:c>
      <s:c r="C6" s="2" t="inlineStr">
        <s:is>
          <s:t>EUR</s:t>
        </s:is>
      </s:c>
      <s:c r="D6" s="2" t="inlineStr">
        <s:is>
          <s:t>Furniture and common equipment</s:t>
        </s:is>
      </s:c>
    </s:row>
    <s:row r="7" ht="32" customHeight="1">
      <s:c r="A7" s="2" t="inlineStr">
        <s:is>
          <s:t>Professional fees</s:t>
        </s:is>
      </s:c>
      <s:c r="B7" s="4">
        <s:f>Inputs!B7</s:f>
        <s:v>0.1</s:v>
      </s:c>
      <s:c r="C7" s="2" t="inlineStr">
        <s:is>
          <s:t>share</s:t>
        </s:is>
      </s:c>
      <s:c r="D7" s="2" t="inlineStr">
        <s:is>
          <s:t>Of construction + facilities</s:t>
        </s:is>
      </s:c>
    </s:row>
    <s:row r="8" ht="32" customHeight="1">
      <s:c r="A8" s="2" t="inlineStr">
        <s:is>
          <s:t>Force-majeure contingency</s:t>
        </s:is>
      </s:c>
      <s:c r="B8" s="4">
        <s:f>Inputs!B8</s:f>
        <s:v>0.1</s:v>
      </s:c>
      <s:c r="C8" s="2" t="inlineStr">
        <s:is>
          <s:t>share</s:t>
        </s:is>
      </s:c>
      <s:c r="D8" s="2" t="inlineStr">
        <s:is>
          <s:t>Of construction + facilities + fees</s:t>
        </s:is>
      </s:c>
    </s:row>
    <s:row r="9" ht="32" customHeight="1">
      <s:c r="A9" s="2" t="inlineStr">
        <s:is>
          <s:t>Compliance / audit cost</s:t>
        </s:is>
      </s:c>
      <s:c r="B9" s="3">
        <s:f>Inputs!B9</s:f>
        <s:v>0</s:v>
      </s:c>
      <s:c r="C9" s="2" t="inlineStr">
        <s:is>
          <s:t>EUR</s:t>
        </s:is>
      </s:c>
      <s:c r="D9" s="2" t="inlineStr">
        <s:is>
          <s:t>Legal control costs; no unlawful payments</s:t>
        </s:is>
      </s:c>
    </s:row>
    <s:row r="10" ht="32" customHeight="1">
      <s:c r="A10" s="2" t="inlineStr">
        <s:is>
          <s:t>Initial subsidy</s:t>
        </s:is>
      </s:c>
      <s:c r="B10" s="3">
        <s:f>Inputs!B10</s:f>
        <s:v>0</s:v>
      </s:c>
      <s:c r="C10" s="2" t="inlineStr">
        <s:is>
          <s:t>EUR</s:t>
        </s:is>
      </s:c>
      <s:c r="D10" s="2" t="inlineStr">
        <s:is>
          <s:t>Only committed funding should be used</s:t>
        </s:is>
      </s:c>
    </s:row>
    <s:row r="11" ht="32" customHeight="1">
      <s:c r="A11" s="2" t="inlineStr">
        <s:is>
          <s:t>Construction duration</s:t>
        </s:is>
      </s:c>
      <s:c r="B11" s="3">
        <s:f>Scenarios!D3</s:f>
        <s:v>12</s:v>
      </s:c>
      <s:c r="C11" s="2" t="inlineStr">
        <s:is>
          <s:t>months</s:t>
        </s:is>
      </s:c>
      <s:c r="D11" s="2" t="inlineStr">
        <s:is>
          <s:t>Illustrative, including permitting</s:t>
        </s:is>
      </s:c>
    </s:row>
    <s:row r="12" ht="32" customHeight="1">
      <s:c r="A12" s="2" t="inlineStr">
        <s:is>
          <s:t>Operating useful life</s:t>
        </s:is>
      </s:c>
      <s:c r="B12" s="3">
        <s:f>Scenarios!F3</s:f>
        <s:v>50</s:v>
      </s:c>
      <s:c r="C12" s="2" t="inlineStr">
        <s:is>
          <s:t>years</s:t>
        </s:is>
      </s:c>
      <s:c r="D12" s="2" t="inlineStr">
        <s:is>
          <s:t>Subject to engineering assessment and refurbishment</s:t>
        </s:is>
      </s:c>
    </s:row>
    <s:row r="13" ht="32" customHeight="1">
      <s:c r="A13" s="2" t="inlineStr">
        <s:is>
          <s:t>Discount rate</s:t>
        </s:is>
      </s:c>
      <s:c r="B13" s="4">
        <s:f>Scenarios!E3</s:f>
        <s:v>0.05</s:v>
      </s:c>
      <s:c r="C13" s="2" t="inlineStr">
        <s:is>
          <s:t>annual</s:t>
        </s:is>
      </s:c>
      <s:c r="D13" s="2" t="inlineStr">
        <s:is>
          <s:t>Nominal unlevered required return</s:t>
        </s:is>
      </s:c>
    </s:row>
    <s:row r="14" ht="32" customHeight="1">
      <s:c r="A14" s="2" t="inlineStr">
        <s:is>
          <s:t>Occupancy</s:t>
        </s:is>
      </s:c>
      <s:c r="B14" s="4">
        <s:f>Scenarios!C3</s:f>
        <s:v>0.98</s:v>
      </s:c>
      <s:c r="C14" s="2" t="inlineStr">
        <s:is>
          <s:t>share</s:t>
        </s:is>
      </s:c>
      <s:c r="D14" s="2" t="inlineStr">
        <s:is>
          <s:t>Average paying occupancy</s:t>
        </s:is>
      </s:c>
    </s:row>
    <s:row r="15" ht="32" customHeight="1">
      <s:c r="A15" s="2" t="inlineStr">
        <s:is>
          <s:t>Rent / billing months</s:t>
        </s:is>
      </s:c>
      <s:c r="B15" s="3">
        <s:f>Inputs!B15</s:f>
        <s:v>12</s:v>
      </s:c>
      <s:c r="C15" s="2" t="inlineStr">
        <s:is>
          <s:t>months/year</s:t>
        </s:is>
      </s:c>
      <s:c r="D15" s="2" t="inlineStr">
        <s:is>
          <s:t>Check lease structure</s:t>
        </s:is>
      </s:c>
    </s:row>
    <s:row r="16" ht="32" customHeight="1">
      <s:c r="A16" s="2" t="inlineStr">
        <s:is>
          <s:t>Student monthly all-in rent</s:t>
        </s:is>
      </s:c>
      <s:c r="B16" s="3">
        <s:f>Inputs!B16</s:f>
        <s:v>600</s:v>
      </s:c>
      <s:c r="C16" s="2" t="inlineStr">
        <s:is>
          <s:t>EUR/month</s:t>
        </s:is>
      </s:c>
      <s:c r="D16" s="2" t="inlineStr">
        <s:is>
          <s:t>Illustrative initial rent</s:t>
        </s:is>
      </s:c>
    </s:row>
    <s:row r="17" ht="32" customHeight="1">
      <s:c r="A17" s="2" t="inlineStr">
        <s:is>
          <s:t>Affordability cap</s:t>
        </s:is>
      </s:c>
      <s:c r="B17" s="3">
        <s:f>Inputs!B17</s:f>
        <s:v>650</s:v>
      </s:c>
      <s:c r="C17" s="2" t="inlineStr">
        <s:is>
          <s:t>EUR/month</s:t>
        </s:is>
      </s:c>
      <s:c r="D17" s="2" t="inlineStr">
        <s:is>
          <s:t>Policy assumption; validate student budget</s:t>
        </s:is>
      </s:c>
    </s:row>
    <s:row r="18" ht="32" customHeight="1">
      <s:c r="A18" s="2" t="inlineStr">
        <s:is>
          <s:t>Rent escalation</s:t>
        </s:is>
      </s:c>
      <s:c r="B18" s="4">
        <s:f>Inputs!B18</s:f>
        <s:v>0.02</s:v>
      </s:c>
      <s:c r="C18" s="2" t="inlineStr">
        <s:is>
          <s:t>annual</s:t>
        </s:is>
      </s:c>
      <s:c r="D18" s="2" t="inlineStr">
        <s:is>
          <s:t>Scenario assumption, not entitlement to index</s:t>
        </s:is>
      </s:c>
    </s:row>
    <s:row r="19" ht="32" customHeight="1">
      <s:c r="A19" s="2" t="inlineStr">
        <s:is>
          <s:t>Operating cost escalation</s:t>
        </s:is>
      </s:c>
      <s:c r="B19" s="4">
        <s:f>Inputs!B19</s:f>
        <s:v>0.025</s:v>
      </s:c>
      <s:c r="C19" s="2" t="inlineStr">
        <s:is>
          <s:t>annual</s:t>
        </s:is>
      </s:c>
      <s:c r="D19" s="2" t="inlineStr">
        <s:is>
          <s:t>Nominal assumption</s:t>
        </s:is>
      </s:c>
    </s:row>
    <s:row r="20" ht="32" customHeight="1">
      <s:c r="A20" s="2" t="inlineStr">
        <s:is>
          <s:t>Fixed operations</s:t>
        </s:is>
      </s:c>
      <s:c r="B20" s="3">
        <s:f>Inputs!B20</s:f>
        <s:v>30000</s:v>
      </s:c>
      <s:c r="C20" s="2" t="inlineStr">
        <s:is>
          <s:t>EUR/year</s:t>
        </s:is>
      </s:c>
      <s:c r="D20" s="2" t="inlineStr">
        <s:is>
          <s:t>Excludes wages, maintenance, utilities</s:t>
        </s:is>
      </s:c>
    </s:row>
    <s:row r="21" ht="32" customHeight="1">
      <s:c r="A21" s="2" t="inlineStr">
        <s:is>
          <s:t>Wages incl. employer costs</s:t>
        </s:is>
      </s:c>
      <s:c r="B21" s="3">
        <s:f>Inputs!B21</s:f>
        <s:v>60000</s:v>
      </s:c>
      <s:c r="C21" s="2" t="inlineStr">
        <s:is>
          <s:t>EUR/year</s:t>
        </s:is>
      </s:c>
      <s:c r="D21" s="2" t="inlineStr">
        <s:is>
          <s:t>Illustrative annual staffing</s:t>
        </s:is>
      </s:c>
    </s:row>
    <s:row r="22" ht="32" customHeight="1">
      <s:c r="A22" s="2" t="inlineStr">
        <s:is>
          <s:t>Variable operations</s:t>
        </s:is>
      </s:c>
      <s:c r="B22" s="3">
        <s:f>Inputs!B22</s:f>
        <s:v>300</s:v>
      </s:c>
      <s:c r="C22" s="2" t="inlineStr">
        <s:is>
          <s:t>EUR/occupied room/year</s:t>
        </s:is>
      </s:c>
      <s:c r="D22" s="2" t="inlineStr">
        <s:is>
          <s:t>Cleaning/administration, excludes utilities</s:t>
        </s:is>
      </s:c>
    </s:row>
    <s:row r="23" ht="32" customHeight="1">
      <s:c r="A23" s="2" t="inlineStr">
        <s:is>
          <s:t>Utilities</s:t>
        </s:is>
      </s:c>
      <s:c r="B23" s="3">
        <s:f>Inputs!B23</s:f>
        <s:v>900</s:v>
      </s:c>
      <s:c r="C23" s="2" t="inlineStr">
        <s:is>
          <s:t>EUR/occupied room/year</s:t>
        </s:is>
      </s:c>
      <s:c r="D23" s="2" t="inlineStr">
        <s:is>
          <s:t>All-in rent model</s:t>
        </s:is>
      </s:c>
    </s:row>
    <s:row r="24" ht="32" customHeight="1">
      <s:c r="A24" s="2" t="inlineStr">
        <s:is>
          <s:t>Maintenance reserve</s:t>
        </s:is>
      </s:c>
      <s:c r="B24" s="4">
        <s:f>Inputs!B24</s:f>
        <s:v>0.01</s:v>
      </s:c>
      <s:c r="C24" s="2" t="inlineStr">
        <s:is>
          <s:t>share/year</s:t>
        </s:is>
      </s:c>
      <s:c r="D24" s="2" t="inlineStr">
        <s:is>
          <s:t>Of construction + facilities; treated as annual cash expense</s:t>
        </s:is>
      </s:c>
    </s:row>
    <s:row r="25" ht="32" customHeight="1">
      <s:c r="A25" s="2" t="inlineStr">
        <s:is>
          <s:t>Refurbishment interval</s:t>
        </s:is>
      </s:c>
      <s:c r="B25" s="3">
        <s:f>Inputs!B25</s:f>
        <s:v>15</s:v>
      </s:c>
      <s:c r="C25" s="2" t="inlineStr">
        <s:is>
          <s:t>operating years</s:t>
        </s:is>
      </s:c>
      <s:c r="D25" s="2" t="inlineStr">
        <s:is>
          <s:t>Every N years, before final operating year</s:t>
        </s:is>
      </s:c>
    </s:row>
    <s:row r="26" ht="32" customHeight="1">
      <s:c r="A26" s="2" t="inlineStr">
        <s:is>
          <s:t>Refurbishment cost</s:t>
        </s:is>
      </s:c>
      <s:c r="B26" s="3">
        <s:f>Inputs!B26</s:f>
        <s:v>300000</s:v>
      </s:c>
      <s:c r="C26" s="2" t="inlineStr">
        <s:is>
          <s:t>EUR/event</s:t>
        </s:is>
      </s:c>
      <s:c r="D26" s="2" t="inlineStr">
        <s:is>
          <s:t>Today-price cost, escalates with operating costs</s:t>
        </s:is>
      </s:c>
    </s:row>
    <s:row r="27" ht="32" customHeight="1">
      <s:c r="A27" s="2" t="inlineStr">
        <s:is>
          <s:t>Terminal gross asset value</s:t>
        </s:is>
      </s:c>
      <s:c r="B27" s="3">
        <s:f>Inputs!B27</s:f>
        <s:v>0</s:v>
      </s:c>
      <s:c r="C27" s="2" t="inlineStr">
        <s:is>
          <s:t>EUR at end</s:t>
        </s:is>
      </s:c>
      <s:c r="D27" s="2" t="inlineStr">
        <s:is>
          <s:t>Default zero; enter defensible net-of-tax valuation assumption</s:t>
        </s:is>
      </s:c>
    </s:row>
    <s:row r="28" ht="32" customHeight="1">
      <s:c r="A28" s="2" t="inlineStr">
        <s:is>
          <s:t>Sale costs</s:t>
        </s:is>
      </s:c>
      <s:c r="B28" s="4">
        <s:f>Inputs!B28</s:f>
        <s:v>0.02</s:v>
      </s:c>
      <s:c r="C28" s="2" t="inlineStr">
        <s:is>
          <s:t>share</s:t>
        </s:is>
      </s:c>
      <s:c r="D28" s="2" t="inlineStr">
        <s:is>
          <s:t>Of gross terminal value</s:t>
        </s:is>
      </s:c>
    </s:row>
  </s:sheetData>
  <s:pageMargins left="0.75" right="0.75" top="1" bottom="1" header="0.5" footer="0.5"/>
</s:worksheet>
</file>

<file path=xl/worksheets/sheet13.xml><?xml version="1.0" encoding="utf-8"?>
<s:worksheet xmlns:s="http://schemas.openxmlformats.org/spreadsheetml/2006/main">
  <s:sheetPr>
    <s:outlinePr summaryBelow="1" summaryRight="1"/>
    <s:pageSetUpPr/>
  </s:sheetPr>
  <s:dimension ref="A1:C20"/>
  <s:sheetViews>
    <s:sheetView workbookViewId="0">
      <s:selection activeCell="A1" sqref="A1"/>
    </s:sheetView>
  </s:sheetViews>
  <s:sheetFormatPr baseColWidth="8" defaultRowHeight="15" outlineLevelCol="0"/>
  <s:cols>
    <s:col width="39" customWidth="1" min="1" max="1"/>
    <s:col width="27"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Metric</s:t>
        </s:is>
      </s:c>
      <s:c r="B1" s="1" t="inlineStr">
        <s:is>
          <s:t>Value</s:t>
        </s:is>
      </s:c>
      <s:c r="C1" s="1" t="inlineStr">
        <s:is>
          <s:t>Interpretation</s:t>
        </s:is>
      </s:c>
    </s:row>
    <s:row r="2" ht="32" customHeight="1">
      <s:c r="A2" s="2" t="inlineStr">
        <s:is>
          <s:t>Gross initial investment</s:t>
        </s:is>
      </s:c>
      <s:c r="B2" s="14">
        <s:f>'S2 inputs'!$B$4+'S2 inputs'!$B$2*'S2 inputs'!$B$3*'S2 inputs'!$B$5+'S2 inputs'!$B$6+('S2 inputs'!$B$2*'S2 inputs'!$B$3*'S2 inputs'!$B$5+'S2 inputs'!$B$6)*'S2 inputs'!$B$7+('S2 inputs'!$B$2*'S2 inputs'!$B$3*'S2 inputs'!$B$5+'S2 inputs'!$B$6)*(1+'S2 inputs'!$B$7)*'S2 inputs'!$B$8+'S2 inputs'!$B$9</s:f>
        <s:v>7855000.000000002</s:v>
      </s:c>
      <s:c r="C2" s="2" t="inlineStr">
        <s:is>
          <s:t>Includes contingency; no subsidy deduction</s:t>
        </s:is>
      </s:c>
    </s:row>
    <s:row r="3" ht="32" customHeight="1">
      <s:c r="A3" s="2" t="inlineStr">
        <s:is>
          <s:t>Investor initial cash</s:t>
        </s:is>
      </s:c>
      <s:c r="B3" s="14">
        <s:f>B2-'S2 inputs'!$B$10</s:f>
        <s:v>7855000.000000002</s:v>
      </s:c>
      <s:c r="C3" s="2" t="inlineStr">
        <s:is>
          <s:t>Gross investment less committed upfront subsidy</s:t>
        </s:is>
      </s:c>
    </s:row>
    <s:row r="4" ht="32" customHeight="1">
      <s:c r="A4" s="2" t="inlineStr">
        <s:is>
          <s:t>Construction years</s:t>
        </s:is>
      </s:c>
      <s:c r="B4" s="14">
        <s:f>ROUNDUP('S2 inputs'!$B$11/12,0)</s:f>
        <s:v>1</s:v>
      </s:c>
      <s:c r="C4" s="2" t="inlineStr">
        <s:is>
          <s:t>Conservative rounding; full-year operating model</s:t>
        </s:is>
      </s:c>
    </s:row>
    <s:row r="5" ht="32" customHeight="1">
      <s:c r="A5" s="2" t="inlineStr">
        <s:is>
          <s:t>Final cash-flow year</s:t>
        </s:is>
      </s:c>
      <s:c r="B5" s="14">
        <s:f>B4+'S2 inputs'!$B$12</s:f>
        <s:v>51</s:v>
      </s:c>
      <s:c r="C5" s="2" t="inlineStr">
        <s:is>
          <s:t>Construction + operating life</s:t>
        </s:is>
      </s:c>
    </s:row>
    <s:row r="6" ht="32" customHeight="1">
      <s:c r="A6" s="2" t="inlineStr">
        <s:is>
          <s:t>NPV</s:t>
        </s:is>
      </s:c>
      <s:c r="B6" s="14">
        <s:f>SUM('S2 cash flow'!J2:J62)</s:f>
        <s:v>1858249.8384540207</s:v>
      </s:c>
      <s:c r="C6" s="2" t="inlineStr">
        <s:is>
          <s:t>Project NPV including terminal value</s:t>
        </s:is>
      </s:c>
    </s:row>
    <s:row r="7" ht="32" customHeight="1">
      <s:c r="A7" s="2" t="inlineStr">
        <s:is>
          <s:t>IRR</s:t>
        </s:is>
      </s:c>
      <s:c r="B7" s="7">
        <s:f>IFERROR(IRR('S2 cash flow'!H2:H62),"No IRR")</s:f>
        <s:v>0.06199677096833078</s:v>
      </s:c>
      <s:c r="C7" s="2" t="inlineStr">
        <s:is>
          <s:t>Annual project IRR; check sign changes</s:t>
        </s:is>
      </s:c>
    </s:row>
    <s:row r="8" ht="32" customHeight="1">
      <s:c r="A8" s="2" t="inlineStr">
        <s:is>
          <s:t>Simple PBP (years)</s:t>
        </s:is>
      </s:c>
      <s:c r="B8" s="14">
        <s:f>IF(COUNT('S2 cash flow'!M3:M62)&gt;0,MIN('S2 cash flow'!M3:M62),"Not recovered")</s:f>
        <s:v>17.3736301180593</s:v>
      </s:c>
      <s:c r="C8" s="2" t="inlineStr">
        <s:is>
          <s:t>From time 0; interpolated annual cash; excludes terminal sale</s:t>
        </s:is>
      </s:c>
    </s:row>
    <s:row r="9" ht="32" customHeight="1">
      <s:c r="A9" s="2" t="inlineStr">
        <s:is>
          <s:t>Student price P</s:t>
        </s:is>
      </s:c>
      <s:c r="B9" s="14">
        <s:f>'S2 inputs'!$B$16</s:f>
        <s:v>600</s:v>
      </s:c>
      <s:c r="C9" s="2" t="inlineStr">
        <s:is>
          <s:t>Initial monthly all-in rent</s:t>
        </s:is>
      </s:c>
    </s:row>
    <s:row r="10" ht="32" customHeight="1">
      <s:c r="A10" s="2" t="inlineStr">
        <s:is>
          <s:t>Student affordability cap</s:t>
        </s:is>
      </s:c>
      <s:c r="B10" s="14">
        <s:f>'S2 inputs'!$B$17</s:f>
        <s:v>650</s:v>
      </s:c>
      <s:c r="C10" s="2" t="inlineStr">
        <s:is>
          <s:t>Editable student budget threshold</s:t>
        </s:is>
      </s:c>
    </s:row>
    <s:row r="11" ht="32" customHeight="1">
      <s:c r="A11" s="2" t="inlineStr">
        <s:is>
          <s:t>Required initial rent for NPV = 0</s:t>
        </s:is>
      </s:c>
      <s:c r="B11" s="14">
        <s:f>MAX(0,('S2 inputs'!$B$16*SUM('S2 cash flow'!L3:L62)-B6)/SUM('S2 cash flow'!L3:L62))</s:f>
        <s:v>534.9593324052737</s:v>
      </s:c>
      <s:c r="C11" s="2" t="inlineStr">
        <s:is>
          <s:t>Investor break-even price given all other inputs</s:t>
        </s:is>
      </s:c>
    </s:row>
    <s:row r="12" ht="32" customHeight="1">
      <s:c r="A12" s="2" t="inlineStr">
        <s:is>
          <s:t>NPV at affordability cap</s:t>
        </s:is>
      </s:c>
      <s:c r="B12" s="14">
        <s:f>B6+('S2 inputs'!$B$17-'S2 inputs'!$B$16)*SUM('S2 cash flow'!L3:L62)</s:f>
        <s:v>3286779.0242496897</s:v>
      </s:c>
      <s:c r="C12" s="2" t="inlineStr">
        <s:is>
          <s:t>Feasibility under student cap</s:t>
        </s:is>
      </s:c>
    </s:row>
    <s:row r="13" ht="32" customHeight="1">
      <s:c r="A13" s="2" t="inlineStr">
        <s:is>
          <s:t>Upfront subsidy needed at cap</s:t>
        </s:is>
      </s:c>
      <s:c r="B13" s="14">
        <s:f>MAX(0,-B12)</s:f>
        <s:v>0</s:v>
      </s:c>
      <s:c r="C13" s="2" t="inlineStr">
        <s:is>
          <s:t>Additional time-0 grant / cost reduction required</s:t>
        </s:is>
      </s:c>
    </s:row>
    <s:row r="14" ht="32" customHeight="1">
      <s:c r="A14" s="2" t="inlineStr">
        <s:is>
          <s:t>Maximum investor capital at cap</s:t>
        </s:is>
      </s:c>
      <s:c r="B14" s="14">
        <s:f>B3+B12</s:f>
        <s:v>11141779.024249692</s:v>
      </s:c>
      <s:c r="C14" s="2" t="inlineStr">
        <s:is>
          <s:t>PV of future net cash flows at capped rent</s:t>
        </s:is>
      </s:c>
    </s:row>
    <s:row r="15" ht="32" customHeight="1">
      <s:c r="A15" s="2" t="inlineStr">
        <s:is>
          <s:t>Joint feasibility</s:t>
        </s:is>
      </s:c>
      <s:c r="B15" s="14" t="str">
        <s:f>IF(B11&lt;=B10,"Feasible under assumptions","Funding / cost gap")</s:f>
        <s:v>Feasible under assumptions</s:v>
      </s:c>
      <s:c r="C15" s="2" t="inlineStr">
        <s:is>
          <s:t>A positive gap cannot be solved by choosing an arbitrary rent</s:t>
        </s:is>
      </s:c>
    </s:row>
    <s:row r="16" ht="32" customHeight="1">
      <s:c r="A16" s="2" t="inlineStr">
        <s:is>
          <s:t>Recommended student price</s:t>
        </s:is>
      </s:c>
      <s:c r="B16" s="14">
        <s:f>IF(B11&lt;=B10,B11,"No feasible price under cap")</s:f>
        <s:v>534.9593324052737</s:v>
      </s:c>
      <s:c r="C16" s="2" t="inlineStr">
        <s:is>
          <s:t>Lowest price meeting NPV &gt;= 0 at selected discount rate</s:t>
        </s:is>
      </s:c>
    </s:row>
    <s:row r="17" ht="32" customHeight="1">
      <s:c r="A17" s="2" t="inlineStr">
        <s:is>
          <s:t>First full operating year</s:t>
        </s:is>
      </s:c>
      <s:c r="B17" s="14">
        <s:f>B4+1</s:f>
        <s:v>2</s:v>
      </s:c>
      <s:c r="C17" s="2" t="inlineStr">
        <s:is>
          <s:t>Minimum safe planning time requires site and permit evidence</s:t>
        </s:is>
      </s:c>
    </s:row>
    <s:row r="18">
      <s:c r="A18" t="inlineStr">
        <s:is>
          <s:t>Input check</s:t>
        </s:is>
      </s:c>
      <s:c r="B18" t="str">
        <s:f>IF(AND('S2 inputs'!B10&lt;=B2,'S2 inputs'!B14&gt;0,B5&lt;=60),"OK","CHECK subsidy, occupancy or horizon")</s:f>
        <s:v>OK</s:v>
      </s:c>
      <s:c r="C18" t="inlineStr">
        <s:is>
          <s:t>Subsidy must not exceed gross investment; positive occupancy required</s:t>
        </s:is>
      </s:c>
    </s:row>
    <s:row r="19">
      <s:c r="A19" t="inlineStr">
        <s:is>
          <s:t>Discounted PBP (years)</s:t>
        </s:is>
      </s:c>
      <s:c r="B19">
        <s:f>IF(COUNT('S2 cash flow'!O3:O62)&gt;0,MIN('S2 cash flow'!O3:O62),"Not recovered")</s:f>
        <s:v>33.1455655135321</s:v>
      </s:c>
      <s:c r="C19" t="inlineStr">
        <s:is>
          <s:t>Discounted at project hurdle; excludes terminal sale</s:t>
        </s:is>
      </s:c>
    </s:row>
    <s:row r="20">
      <s:c r="A20" t="inlineStr">
        <s:is>
          <s:t>Capital per room</s:t>
        </s:is>
      </s:c>
      <s:c r="B20">
        <s:f>B2/'S2 inputs'!B2</s:f>
        <s:v>78550.00000000001</s:v>
      </s:c>
      <s:c r="C20" t="inlineStr">
        <s:is>
          <s:t>Gross investment / room, including allocated common area and land</s:t>
        </s:is>
      </s:c>
    </s:row>
  </s:sheetData>
  <s:pageMargins left="0.75" right="0.75" top="1" bottom="1" header="0.5" footer="0.5"/>
</s:worksheet>
</file>

<file path=xl/worksheets/sheet14.xml><?xml version="1.0" encoding="utf-8"?>
<s:worksheet xmlns:s="http://schemas.openxmlformats.org/spreadsheetml/2006/main">
  <s:sheetPr>
    <s:outlinePr summaryBelow="1" summaryRight="1"/>
    <s:pageSetUpPr/>
  </s:sheetPr>
  <s:dimension ref="A1:O62"/>
  <s:sheetViews>
    <s:sheetView workbookViewId="0">
      <s:selection activeCell="A1" sqref="A1"/>
    </s:sheetView>
  </s:sheetViews>
  <s:sheetFormatPr baseColWidth="8" defaultRowHeight="15" outlineLevelCol="0"/>
  <s:cols>
    <s:col width="39" customWidth="1" min="1" max="1"/>
    <s:col width="23" customWidth="1" min="2" max="2"/>
    <s:col width="23" customWidth="1" min="3" max="3"/>
    <s:col width="23" customWidth="1" min="4" max="4"/>
    <s:col width="23" customWidth="1" min="5" max="5"/>
    <s:col width="23" customWidth="1" min="6" max="6"/>
    <s:col width="23" customWidth="1" min="7" max="7"/>
    <s:col width="23" customWidth="1" min="8" max="8"/>
    <s:col width="23" customWidth="1" min="9" max="9"/>
    <s:col width="23" customWidth="1" min="10" max="10"/>
    <s:col width="23" customWidth="1" min="11" max="11"/>
    <s:col width="23" customWidth="1" min="12" max="12"/>
    <s:col width="25" customWidth="1" min="13" max="13"/>
    <s:col width="25" customWidth="1" min="14" max="14"/>
    <s:col width="25" customWidth="1" min="15" max="15"/>
  </s:cols>
  <s:sheetData>
    <s:row r="1" ht="30" customHeight="1">
      <s:c r="A1" s="1" t="inlineStr">
        <s:is>
          <s:t>Year</s:t>
        </s:is>
      </s:c>
      <s:c r="B1" s="1" t="inlineStr">
        <s:is>
          <s:t>Operating year</s:t>
        </s:is>
      </s:c>
      <s:c r="C1" s="1" t="inlineStr">
        <s:is>
          <s:t>All-in rent / month</s:t>
        </s:is>
      </s:c>
      <s:c r="D1" s="1" t="inlineStr">
        <s:is>
          <s:t>Revenue</s:t>
        </s:is>
      </s:c>
      <s:c r="E1" s="1" t="inlineStr">
        <s:is>
          <s:t>Operating costs</s:t>
        </s:is>
      </s:c>
      <s:c r="F1" s="1" t="inlineStr">
        <s:is>
          <s:t>Refurbishment</s:t>
        </s:is>
      </s:c>
      <s:c r="G1" s="1" t="inlineStr">
        <s:is>
          <s:t>Terminal proceeds</s:t>
        </s:is>
      </s:c>
      <s:c r="H1" s="1" t="inlineStr">
        <s:is>
          <s:t>Net cash flow</s:t>
        </s:is>
      </s:c>
      <s:c r="I1" s="1" t="inlineStr">
        <s:is>
          <s:t>Discount factor</s:t>
        </s:is>
      </s:c>
      <s:c r="J1" s="1" t="inlineStr">
        <s:is>
          <s:t>PV cash flow</s:t>
        </s:is>
      </s:c>
      <s:c r="K1" s="1" t="inlineStr">
        <s:is>
          <s:t>Cumulative operating cash</s:t>
        </s:is>
      </s:c>
      <s:c r="L1" s="1" t="inlineStr">
        <s:is>
          <s:t>PV revenue per EUR rent</s:t>
        </s:is>
      </s:c>
      <s:c r="M1" t="inlineStr">
        <s:is>
          <s:t>Payback crossing year</s:t>
        </s:is>
      </s:c>
      <s:c r="N1" t="inlineStr">
        <s:is>
          <s:t>Cumulative discounted cash</s:t>
        </s:is>
      </s:c>
      <s:c r="O1" t="inlineStr">
        <s:is>
          <s:t>Discounted crossing year</s:t>
        </s:is>
      </s:c>
    </s:row>
    <s:row r="2" ht="20" customHeight="1">
      <s:c r="A2" s="2" t="n">
        <s:v>0</s:v>
      </s:c>
      <s:c r="B2" s="2">
        <s:f>IF(AND(A2&gt;'S2 results'!$B$4,A2&lt;='S2 results'!$B$5),A2-'S2 results'!$B$4,0)</s:f>
        <s:v>0</s:v>
      </s:c>
      <s:c r="C2" s="5">
        <s:f>IF(B2&gt;0,'S2 inputs'!$B$16*(1+'S2 inputs'!$B$18)^(B2-1),0)</s:f>
        <s:v>0</s:v>
      </s:c>
      <s:c r="D2" s="5">
        <s:f>IF(B2&gt;0,'S2 inputs'!$B$2*'S2 inputs'!$B$14*'S2 inputs'!$B$15*C2,0)</s:f>
        <s:v>0</s:v>
      </s:c>
      <s:c r="E2" s="5">
        <s:f>IF(B2&gt;0,('S2 inputs'!$B$20+'S2 inputs'!$B$21+'S2 inputs'!$B$2*'S2 inputs'!$B$14*('S2 inputs'!$B$22+'S2 inputs'!$B$23)+('S2 inputs'!$B$2*'S2 inputs'!$B$3*'S2 inputs'!$B$5+'S2 inputs'!$B$6)*'S2 inputs'!$B$24)*(1+'S2 inputs'!$B$19)^(B2-1),0)</s:f>
        <s:v>0</s:v>
      </s:c>
      <s:c r="F2" s="5">
        <s:f>IF(AND(B2&gt;0,B2&lt;'S2 inputs'!$B$12,MOD(B2,'S2 inputs'!$B$25)=0),'S2 inputs'!$B$26*(1+'S2 inputs'!$B$19)^(B2-1),0)</s:f>
        <s:v>0</s:v>
      </s:c>
      <s:c r="G2" s="5">
        <s:f>IF(A2='S2 results'!$B$5,'S2 inputs'!$B$27*(1-'S2 inputs'!$B$28),0)</s:f>
        <s:v>0</s:v>
      </s:c>
      <s:c r="H2" s="5">
        <s:f> -'S2 results'!B3</s:f>
        <s:v>-7855000.000000002</s:v>
      </s:c>
      <s:c r="I2" s="5">
        <s:f>1/(1+'S2 inputs'!$B$13)^A2</s:f>
        <s:v>1.0</s:v>
      </s:c>
      <s:c r="J2" s="5">
        <s:f>H2*I2</s:f>
        <s:v>-7855000.000000002</s:v>
      </s:c>
      <s:c r="K2" s="5">
        <s:f>-'S2 results'!B3</s:f>
        <s:v>-7855000.000000002</s:v>
      </s:c>
      <s:c r="L2" s="5">
        <s:f>IF(B2&gt;0,'S2 inputs'!$B$2*'S2 inputs'!$B$14*'S2 inputs'!$B$15*(1+'S2 inputs'!$B$18)^(B2-1)*I2,0)</s:f>
        <s:v>0</s:v>
      </s:c>
      <s:c r="M2" s="11" t="inlineStr"/>
      <s:c r="N2" s="11">
        <s:f>J2</s:f>
        <s:v>-7855000.000000002</s:v>
      </s:c>
      <s:c r="O2" s="11" t="inlineStr"/>
    </s:row>
    <s:row r="3" ht="20" customHeight="1">
      <s:c r="A3" s="2" t="n">
        <s:v>1</s:v>
      </s:c>
      <s:c r="B3" s="2">
        <s:f>IF(AND(A3&gt;'S2 results'!$B$4,A3&lt;='S2 results'!$B$5),A3-'S2 results'!$B$4,0)</s:f>
        <s:v>0</s:v>
      </s:c>
      <s:c r="C3" s="5">
        <s:f>IF(B3&gt;0,'S2 inputs'!$B$16*(1+'S2 inputs'!$B$18)^(B3-1),0)</s:f>
        <s:v>0</s:v>
      </s:c>
      <s:c r="D3" s="5">
        <s:f>IF(B3&gt;0,'S2 inputs'!$B$2*'S2 inputs'!$B$14*'S2 inputs'!$B$15*C3,0)</s:f>
        <s:v>0</s:v>
      </s:c>
      <s:c r="E3" s="5">
        <s:f>IF(B3&gt;0,('S2 inputs'!$B$20+'S2 inputs'!$B$21+'S2 inputs'!$B$2*'S2 inputs'!$B$14*('S2 inputs'!$B$22+'S2 inputs'!$B$23)+('S2 inputs'!$B$2*'S2 inputs'!$B$3*'S2 inputs'!$B$5+'S2 inputs'!$B$6)*'S2 inputs'!$B$24)*(1+'S2 inputs'!$B$19)^(B3-1),0)</s:f>
        <s:v>0</s:v>
      </s:c>
      <s:c r="F3" s="5">
        <s:f>IF(AND(B3&gt;0,B3&lt;'S2 inputs'!$B$12,MOD(B3,'S2 inputs'!$B$25)=0),'S2 inputs'!$B$26*(1+'S2 inputs'!$B$19)^(B3-1),0)</s:f>
        <s:v>0</s:v>
      </s:c>
      <s:c r="G3" s="5">
        <s:f>IF(A3='S2 results'!$B$5,'S2 inputs'!$B$27*(1-'S2 inputs'!$B$28),0)</s:f>
        <s:v>0</s:v>
      </s:c>
      <s:c r="H3" s="5">
        <s:f>D3-E3-F3+G3</s:f>
        <s:v>0</s:v>
      </s:c>
      <s:c r="I3" s="5">
        <s:f>1/(1+'S2 inputs'!$B$13)^A3</s:f>
        <s:v>0.9523809523809523</s:v>
      </s:c>
      <s:c r="J3" s="5">
        <s:f>H3*I3</s:f>
        <s:v>0.0</s:v>
      </s:c>
      <s:c r="K3" s="5">
        <s:f>K2+H3-G3</s:f>
        <s:v>-7855000.000000002</s:v>
      </s:c>
      <s:c r="L3" s="5">
        <s:f>IF(B3&gt;0,'S2 inputs'!$B$2*'S2 inputs'!$B$14*'S2 inputs'!$B$15*(1+'S2 inputs'!$B$18)^(B3-1)*I3,0)</s:f>
        <s:v>0</s:v>
      </s:c>
      <s:c r="M3" s="11" t="str">
        <s:f>IF(AND(K3&gt;=0,K2&lt;0),A3-1-K2/(H3-G3),"")</s:f>
        <s:v/>
      </s:c>
      <s:c r="N3" s="11">
        <s:f>N2+J3-G3*I3</s:f>
        <s:v>-7855000.000000002</s:v>
      </s:c>
      <s:c r="O3" s="11" t="str">
        <s:f>IF(AND(N3&gt;=0,N2&lt;0),A3-1-N2/((H3-G3)*I3),"")</s:f>
        <s:v/>
      </s:c>
    </s:row>
    <s:row r="4" ht="20" customHeight="1">
      <s:c r="A4" s="2" t="n">
        <s:v>2</s:v>
      </s:c>
      <s:c r="B4" s="2">
        <s:f>IF(AND(A4&gt;'S2 results'!$B$4,A4&lt;='S2 results'!$B$5),A4-'S2 results'!$B$4,0)</s:f>
        <s:v>1</s:v>
      </s:c>
      <s:c r="C4" s="5">
        <s:f>IF(B4&gt;0,'S2 inputs'!$B$16*(1+'S2 inputs'!$B$18)^(B4-1),0)</s:f>
        <s:v>600.0</s:v>
      </s:c>
      <s:c r="D4" s="5">
        <s:f>IF(B4&gt;0,'S2 inputs'!$B$2*'S2 inputs'!$B$14*'S2 inputs'!$B$15*C4,0)</s:f>
        <s:v>705600.0</s:v>
      </s:c>
      <s:c r="E4" s="5">
        <s:f>IF(B4&gt;0,('S2 inputs'!$B$20+'S2 inputs'!$B$21+'S2 inputs'!$B$2*'S2 inputs'!$B$14*('S2 inputs'!$B$22+'S2 inputs'!$B$23)+('S2 inputs'!$B$2*'S2 inputs'!$B$3*'S2 inputs'!$B$5+'S2 inputs'!$B$6)*'S2 inputs'!$B$24)*(1+'S2 inputs'!$B$19)^(B4-1),0)</s:f>
        <s:v>262600.0</s:v>
      </s:c>
      <s:c r="F4" s="5">
        <s:f>IF(AND(B4&gt;0,B4&lt;'S2 inputs'!$B$12,MOD(B4,'S2 inputs'!$B$25)=0),'S2 inputs'!$B$26*(1+'S2 inputs'!$B$19)^(B4-1),0)</s:f>
        <s:v>0</s:v>
      </s:c>
      <s:c r="G4" s="5">
        <s:f>IF(A4='S2 results'!$B$5,'S2 inputs'!$B$27*(1-'S2 inputs'!$B$28),0)</s:f>
        <s:v>0</s:v>
      </s:c>
      <s:c r="H4" s="5">
        <s:f>D4-E4-F4+G4</s:f>
        <s:v>443000.0</s:v>
      </s:c>
      <s:c r="I4" s="5">
        <s:f>1/(1+'S2 inputs'!$B$13)^A4</s:f>
        <s:v>0.9070294784580498</s:v>
      </s:c>
      <s:c r="J4" s="5">
        <s:f>H4*I4</s:f>
        <s:v>401814.0589569161</s:v>
      </s:c>
      <s:c r="K4" s="5">
        <s:f>K3+H4-G4</s:f>
        <s:v>-7412000.000000002</s:v>
      </s:c>
      <s:c r="L4" s="5">
        <s:f>IF(B4&gt;0,'S2 inputs'!$B$2*'S2 inputs'!$B$14*'S2 inputs'!$B$15*(1+'S2 inputs'!$B$18)^(B4-1)*I4,0)</s:f>
        <s:v>1066.6666666666665</s:v>
      </s:c>
      <s:c r="M4" s="11" t="str">
        <s:f>IF(AND(K4&gt;=0,K3&lt;0),A4-1-K3/(H4-G4),"")</s:f>
        <s:v/>
      </s:c>
      <s:c r="N4" s="11">
        <s:f>N3+J4-G4*I4</s:f>
        <s:v>-7453185.941043085</s:v>
      </s:c>
      <s:c r="O4" s="11" t="str">
        <s:f>IF(AND(N4&gt;=0,N3&lt;0),A4-1-N3/((H4-G4)*I4),"")</s:f>
        <s:v/>
      </s:c>
    </s:row>
    <s:row r="5" ht="20" customHeight="1">
      <s:c r="A5" s="2" t="n">
        <s:v>3</s:v>
      </s:c>
      <s:c r="B5" s="2">
        <s:f>IF(AND(A5&gt;'S2 results'!$B$4,A5&lt;='S2 results'!$B$5),A5-'S2 results'!$B$4,0)</s:f>
        <s:v>2</s:v>
      </s:c>
      <s:c r="C5" s="5">
        <s:f>IF(B5&gt;0,'S2 inputs'!$B$16*(1+'S2 inputs'!$B$18)^(B5-1),0)</s:f>
        <s:v>612.0</s:v>
      </s:c>
      <s:c r="D5" s="5">
        <s:f>IF(B5&gt;0,'S2 inputs'!$B$2*'S2 inputs'!$B$14*'S2 inputs'!$B$15*C5,0)</s:f>
        <s:v>719712.0</s:v>
      </s:c>
      <s:c r="E5" s="5">
        <s:f>IF(B5&gt;0,('S2 inputs'!$B$20+'S2 inputs'!$B$21+'S2 inputs'!$B$2*'S2 inputs'!$B$14*('S2 inputs'!$B$22+'S2 inputs'!$B$23)+('S2 inputs'!$B$2*'S2 inputs'!$B$3*'S2 inputs'!$B$5+'S2 inputs'!$B$6)*'S2 inputs'!$B$24)*(1+'S2 inputs'!$B$19)^(B5-1),0)</s:f>
        <s:v>269165.0</s:v>
      </s:c>
      <s:c r="F5" s="5">
        <s:f>IF(AND(B5&gt;0,B5&lt;'S2 inputs'!$B$12,MOD(B5,'S2 inputs'!$B$25)=0),'S2 inputs'!$B$26*(1+'S2 inputs'!$B$19)^(B5-1),0)</s:f>
        <s:v>0</s:v>
      </s:c>
      <s:c r="G5" s="5">
        <s:f>IF(A5='S2 results'!$B$5,'S2 inputs'!$B$27*(1-'S2 inputs'!$B$28),0)</s:f>
        <s:v>0</s:v>
      </s:c>
      <s:c r="H5" s="5">
        <s:f>D5-E5-F5+G5</s:f>
        <s:v>450547.0</s:v>
      </s:c>
      <s:c r="I5" s="5">
        <s:f>1/(1+'S2 inputs'!$B$13)^A5</s:f>
        <s:v>0.863837598531476</s:v>
      </s:c>
      <s:c r="J5" s="5">
        <s:f>H5*I5</s:f>
        <s:v>389199.4385055609</s:v>
      </s:c>
      <s:c r="K5" s="5">
        <s:f>K4+H5-G5</s:f>
        <s:v>-6961453.000000002</s:v>
      </s:c>
      <s:c r="L5" s="5">
        <s:f>IF(B5&gt;0,'S2 inputs'!$B$2*'S2 inputs'!$B$14*'S2 inputs'!$B$15*(1+'S2 inputs'!$B$18)^(B5-1)*I5,0)</s:f>
        <s:v>1036.1904761904761</s:v>
      </s:c>
      <s:c r="M5" s="11" t="str">
        <s:f>IF(AND(K5&gt;=0,K4&lt;0),A5-1-K4/(H5-G5),"")</s:f>
        <s:v/>
      </s:c>
      <s:c r="N5" s="11">
        <s:f>N4+J5-G5*I5</s:f>
        <s:v>-7063986.502537524</s:v>
      </s:c>
      <s:c r="O5" s="11" t="str">
        <s:f>IF(AND(N5&gt;=0,N4&lt;0),A5-1-N4/((H5-G5)*I5),"")</s:f>
        <s:v/>
      </s:c>
    </s:row>
    <s:row r="6" ht="20" customHeight="1">
      <s:c r="A6" s="2" t="n">
        <s:v>4</s:v>
      </s:c>
      <s:c r="B6" s="2">
        <s:f>IF(AND(A6&gt;'S2 results'!$B$4,A6&lt;='S2 results'!$B$5),A6-'S2 results'!$B$4,0)</s:f>
        <s:v>3</s:v>
      </s:c>
      <s:c r="C6" s="5">
        <s:f>IF(B6&gt;0,'S2 inputs'!$B$16*(1+'S2 inputs'!$B$18)^(B6-1),0)</s:f>
        <s:v>624.24</s:v>
      </s:c>
      <s:c r="D6" s="5">
        <s:f>IF(B6&gt;0,'S2 inputs'!$B$2*'S2 inputs'!$B$14*'S2 inputs'!$B$15*C6,0)</s:f>
        <s:v>734106.24</s:v>
      </s:c>
      <s:c r="E6" s="5">
        <s:f>IF(B6&gt;0,('S2 inputs'!$B$20+'S2 inputs'!$B$21+'S2 inputs'!$B$2*'S2 inputs'!$B$14*('S2 inputs'!$B$22+'S2 inputs'!$B$23)+('S2 inputs'!$B$2*'S2 inputs'!$B$3*'S2 inputs'!$B$5+'S2 inputs'!$B$6)*'S2 inputs'!$B$24)*(1+'S2 inputs'!$B$19)^(B6-1),0)</s:f>
        <s:v>275894.125</s:v>
      </s:c>
      <s:c r="F6" s="5">
        <s:f>IF(AND(B6&gt;0,B6&lt;'S2 inputs'!$B$12,MOD(B6,'S2 inputs'!$B$25)=0),'S2 inputs'!$B$26*(1+'S2 inputs'!$B$19)^(B6-1),0)</s:f>
        <s:v>0</s:v>
      </s:c>
      <s:c r="G6" s="5">
        <s:f>IF(A6='S2 results'!$B$5,'S2 inputs'!$B$27*(1-'S2 inputs'!$B$28),0)</s:f>
        <s:v>0</s:v>
      </s:c>
      <s:c r="H6" s="5">
        <s:f>D6-E6-F6+G6</s:f>
        <s:v>458212.115</s:v>
      </s:c>
      <s:c r="I6" s="5">
        <s:f>1/(1+'S2 inputs'!$B$13)^A6</s:f>
        <s:v>0.8227024747918819</s:v>
      </s:c>
      <s:c r="J6" s="5">
        <s:f>H6*I6</s:f>
        <s:v>376972.2409901224</s:v>
      </s:c>
      <s:c r="K6" s="5">
        <s:f>K5+H6-G6</s:f>
        <s:v>-6503240.885000002</s:v>
      </s:c>
      <s:c r="L6" s="5">
        <s:f>IF(B6&gt;0,'S2 inputs'!$B$2*'S2 inputs'!$B$14*'S2 inputs'!$B$15*(1+'S2 inputs'!$B$18)^(B6-1)*I6,0)</s:f>
        <s:v>1006.5850340136052</s:v>
      </s:c>
      <s:c r="M6" s="11" t="str">
        <s:f>IF(AND(K6&gt;=0,K5&lt;0),A6-1-K5/(H6-G6),"")</s:f>
        <s:v/>
      </s:c>
      <s:c r="N6" s="11">
        <s:f>N5+J6-G6*I6</s:f>
        <s:v>-6687014.261547402</s:v>
      </s:c>
      <s:c r="O6" s="11" t="str">
        <s:f>IF(AND(N6&gt;=0,N5&lt;0),A6-1-N5/((H6-G6)*I6),"")</s:f>
        <s:v/>
      </s:c>
    </s:row>
    <s:row r="7" ht="20" customHeight="1">
      <s:c r="A7" s="2" t="n">
        <s:v>5</s:v>
      </s:c>
      <s:c r="B7" s="2">
        <s:f>IF(AND(A7&gt;'S2 results'!$B$4,A7&lt;='S2 results'!$B$5),A7-'S2 results'!$B$4,0)</s:f>
        <s:v>4</s:v>
      </s:c>
      <s:c r="C7" s="5">
        <s:f>IF(B7&gt;0,'S2 inputs'!$B$16*(1+'S2 inputs'!$B$18)^(B7-1),0)</s:f>
        <s:v>636.7248000000001</s:v>
      </s:c>
      <s:c r="D7" s="5">
        <s:f>IF(B7&gt;0,'S2 inputs'!$B$2*'S2 inputs'!$B$14*'S2 inputs'!$B$15*C7,0)</s:f>
        <s:v>748788.3648000001</s:v>
      </s:c>
      <s:c r="E7" s="5">
        <s:f>IF(B7&gt;0,('S2 inputs'!$B$20+'S2 inputs'!$B$21+'S2 inputs'!$B$2*'S2 inputs'!$B$14*('S2 inputs'!$B$22+'S2 inputs'!$B$23)+('S2 inputs'!$B$2*'S2 inputs'!$B$3*'S2 inputs'!$B$5+'S2 inputs'!$B$6)*'S2 inputs'!$B$24)*(1+'S2 inputs'!$B$19)^(B7-1),0)</s:f>
        <s:v>282791.4781249999</s:v>
      </s:c>
      <s:c r="F7" s="5">
        <s:f>IF(AND(B7&gt;0,B7&lt;'S2 inputs'!$B$12,MOD(B7,'S2 inputs'!$B$25)=0),'S2 inputs'!$B$26*(1+'S2 inputs'!$B$19)^(B7-1),0)</s:f>
        <s:v>0</s:v>
      </s:c>
      <s:c r="G7" s="5">
        <s:f>IF(A7='S2 results'!$B$5,'S2 inputs'!$B$27*(1-'S2 inputs'!$B$28),0)</s:f>
        <s:v>0</s:v>
      </s:c>
      <s:c r="H7" s="5">
        <s:f>D7-E7-F7+G7</s:f>
        <s:v>465996.8866750002</s:v>
      </s:c>
      <s:c r="I7" s="5">
        <s:f>1/(1+'S2 inputs'!$B$13)^A7</s:f>
        <s:v>0.7835261664684589</s:v>
      </s:c>
      <s:c r="J7" s="5">
        <s:f>H7*I7</s:f>
        <s:v>365120.75420269975</s:v>
      </s:c>
      <s:c r="K7" s="5">
        <s:f>K6+H7-G7</s:f>
        <s:v>-6037243.998325001</s:v>
      </s:c>
      <s:c r="L7" s="5">
        <s:f>IF(B7&gt;0,'S2 inputs'!$B$2*'S2 inputs'!$B$14*'S2 inputs'!$B$15*(1+'S2 inputs'!$B$18)^(B7-1)*I7,0)</s:f>
        <s:v>977.8254616132166</s:v>
      </s:c>
      <s:c r="M7" s="11" t="str">
        <s:f>IF(AND(K7&gt;=0,K6&lt;0),A7-1-K6/(H7-G7),"")</s:f>
        <s:v/>
      </s:c>
      <s:c r="N7" s="11">
        <s:f>N6+J7-G7*I7</s:f>
        <s:v>-6321893.507344702</s:v>
      </s:c>
      <s:c r="O7" s="11" t="str">
        <s:f>IF(AND(N7&gt;=0,N6&lt;0),A7-1-N6/((H7-G7)*I7),"")</s:f>
        <s:v/>
      </s:c>
    </s:row>
    <s:row r="8" ht="20" customHeight="1">
      <s:c r="A8" s="2" t="n">
        <s:v>6</s:v>
      </s:c>
      <s:c r="B8" s="2">
        <s:f>IF(AND(A8&gt;'S2 results'!$B$4,A8&lt;='S2 results'!$B$5),A8-'S2 results'!$B$4,0)</s:f>
        <s:v>5</s:v>
      </s:c>
      <s:c r="C8" s="5">
        <s:f>IF(B8&gt;0,'S2 inputs'!$B$16*(1+'S2 inputs'!$B$18)^(B8-1),0)</s:f>
        <s:v>649.459296</s:v>
      </s:c>
      <s:c r="D8" s="5">
        <s:f>IF(B8&gt;0,'S2 inputs'!$B$2*'S2 inputs'!$B$14*'S2 inputs'!$B$15*C8,0)</s:f>
        <s:v>763764.132096</s:v>
      </s:c>
      <s:c r="E8" s="5">
        <s:f>IF(B8&gt;0,('S2 inputs'!$B$20+'S2 inputs'!$B$21+'S2 inputs'!$B$2*'S2 inputs'!$B$14*('S2 inputs'!$B$22+'S2 inputs'!$B$23)+('S2 inputs'!$B$2*'S2 inputs'!$B$3*'S2 inputs'!$B$5+'S2 inputs'!$B$6)*'S2 inputs'!$B$24)*(1+'S2 inputs'!$B$19)^(B8-1),0)</s:f>
        <s:v>289861.2650781249</s:v>
      </s:c>
      <s:c r="F8" s="5">
        <s:f>IF(AND(B8&gt;0,B8&lt;'S2 inputs'!$B$12,MOD(B8,'S2 inputs'!$B$25)=0),'S2 inputs'!$B$26*(1+'S2 inputs'!$B$19)^(B8-1),0)</s:f>
        <s:v>0</s:v>
      </s:c>
      <s:c r="G8" s="5">
        <s:f>IF(A8='S2 results'!$B$5,'S2 inputs'!$B$27*(1-'S2 inputs'!$B$28),0)</s:f>
        <s:v>0</s:v>
      </s:c>
      <s:c r="H8" s="5">
        <s:f>D8-E8-F8+G8</s:f>
        <s:v>473902.86701787513</s:v>
      </s:c>
      <s:c r="I8" s="5">
        <s:f>1/(1+'S2 inputs'!$B$13)^A8</s:f>
        <s:v>0.7462153966366274</s:v>
      </s:c>
      <s:c r="J8" s="5">
        <s:f>H8*I8</s:f>
        <s:v>353633.61587897857</s:v>
      </s:c>
      <s:c r="K8" s="5">
        <s:f>K7+H8-G8</s:f>
        <s:v>-5563341.131307126</s:v>
      </s:c>
      <s:c r="L8" s="5">
        <s:f>IF(B8&gt;0,'S2 inputs'!$B$2*'S2 inputs'!$B$14*'S2 inputs'!$B$15*(1+'S2 inputs'!$B$18)^(B8-1)*I8,0)</s:f>
        <s:v>949.8875912814102</s:v>
      </s:c>
      <s:c r="M8" s="11" t="str">
        <s:f>IF(AND(K8&gt;=0,K7&lt;0),A8-1-K7/(H8-G8),"")</s:f>
        <s:v/>
      </s:c>
      <s:c r="N8" s="11">
        <s:f>N7+J8-G8*I8</s:f>
        <s:v>-5968259.8914657235</s:v>
      </s:c>
      <s:c r="O8" s="11" t="str">
        <s:f>IF(AND(N8&gt;=0,N7&lt;0),A8-1-N7/((H8-G8)*I8),"")</s:f>
        <s:v/>
      </s:c>
    </s:row>
    <s:row r="9" ht="20" customHeight="1">
      <s:c r="A9" s="2" t="n">
        <s:v>7</s:v>
      </s:c>
      <s:c r="B9" s="2">
        <s:f>IF(AND(A9&gt;'S2 results'!$B$4,A9&lt;='S2 results'!$B$5),A9-'S2 results'!$B$4,0)</s:f>
        <s:v>6</s:v>
      </s:c>
      <s:c r="C9" s="5">
        <s:f>IF(B9&gt;0,'S2 inputs'!$B$16*(1+'S2 inputs'!$B$18)^(B9-1),0)</s:f>
        <s:v>662.4484819200001</s:v>
      </s:c>
      <s:c r="D9" s="5">
        <s:f>IF(B9&gt;0,'S2 inputs'!$B$2*'S2 inputs'!$B$14*'S2 inputs'!$B$15*C9,0)</s:f>
        <s:v>779039.41473792</s:v>
      </s:c>
      <s:c r="E9" s="5">
        <s:f>IF(B9&gt;0,('S2 inputs'!$B$20+'S2 inputs'!$B$21+'S2 inputs'!$B$2*'S2 inputs'!$B$14*('S2 inputs'!$B$22+'S2 inputs'!$B$23)+('S2 inputs'!$B$2*'S2 inputs'!$B$3*'S2 inputs'!$B$5+'S2 inputs'!$B$6)*'S2 inputs'!$B$24)*(1+'S2 inputs'!$B$19)^(B9-1),0)</s:f>
        <s:v>297107.796705078</s:v>
      </s:c>
      <s:c r="F9" s="5">
        <s:f>IF(AND(B9&gt;0,B9&lt;'S2 inputs'!$B$12,MOD(B9,'S2 inputs'!$B$25)=0),'S2 inputs'!$B$26*(1+'S2 inputs'!$B$19)^(B9-1),0)</s:f>
        <s:v>0</s:v>
      </s:c>
      <s:c r="G9" s="5">
        <s:f>IF(A9='S2 results'!$B$5,'S2 inputs'!$B$27*(1-'S2 inputs'!$B$28),0)</s:f>
        <s:v>0</s:v>
      </s:c>
      <s:c r="H9" s="5">
        <s:f>D9-E9-F9+G9</s:f>
        <s:v>481931.61803284206</s:v>
      </s:c>
      <s:c r="I9" s="5">
        <s:f>1/(1+'S2 inputs'!$B$13)^A9</s:f>
        <s:v>0.7106813301301214</s:v>
      </s:c>
      <s:c r="J9" s="5">
        <s:f>H9*I9</s:f>
        <s:v>342499.8033353418</s:v>
      </s:c>
      <s:c r="K9" s="5">
        <s:f>K8+H9-G9</s:f>
        <s:v>-5081409.513274284</s:v>
      </s:c>
      <s:c r="L9" s="5">
        <s:f>IF(B9&gt;0,'S2 inputs'!$B$2*'S2 inputs'!$B$14*'S2 inputs'!$B$15*(1+'S2 inputs'!$B$18)^(B9-1)*I9,0)</s:f>
        <s:v>922.7479458162271</s:v>
      </s:c>
      <s:c r="M9" s="11" t="str">
        <s:f>IF(AND(K9&gt;=0,K8&lt;0),A9-1-K8/(H9-G9),"")</s:f>
        <s:v/>
      </s:c>
      <s:c r="N9" s="11">
        <s:f>N8+J9-G9*I9</s:f>
        <s:v>-5625760.088130382</s:v>
      </s:c>
      <s:c r="O9" s="11" t="str">
        <s:f>IF(AND(N9&gt;=0,N8&lt;0),A9-1-N8/((H9-G9)*I9),"")</s:f>
        <s:v/>
      </s:c>
    </s:row>
    <s:row r="10" ht="20" customHeight="1">
      <s:c r="A10" s="2" t="n">
        <s:v>8</s:v>
      </s:c>
      <s:c r="B10" s="2">
        <s:f>IF(AND(A10&gt;'S2 results'!$B$4,A10&lt;='S2 results'!$B$5),A10-'S2 results'!$B$4,0)</s:f>
        <s:v>7</s:v>
      </s:c>
      <s:c r="C10" s="5">
        <s:f>IF(B10&gt;0,'S2 inputs'!$B$16*(1+'S2 inputs'!$B$18)^(B10-1),0)</s:f>
        <s:v>675.6974515584001</s:v>
      </s:c>
      <s:c r="D10" s="5">
        <s:f>IF(B10&gt;0,'S2 inputs'!$B$2*'S2 inputs'!$B$14*'S2 inputs'!$B$15*C10,0)</s:f>
        <s:v>794620.2030326785</s:v>
      </s:c>
      <s:c r="E10" s="5">
        <s:f>IF(B10&gt;0,('S2 inputs'!$B$20+'S2 inputs'!$B$21+'S2 inputs'!$B$2*'S2 inputs'!$B$14*('S2 inputs'!$B$22+'S2 inputs'!$B$23)+('S2 inputs'!$B$2*'S2 inputs'!$B$3*'S2 inputs'!$B$5+'S2 inputs'!$B$6)*'S2 inputs'!$B$24)*(1+'S2 inputs'!$B$19)^(B10-1),0)</s:f>
        <s:v>304535.4916227049</s:v>
      </s:c>
      <s:c r="F10" s="5">
        <s:f>IF(AND(B10&gt;0,B10&lt;'S2 inputs'!$B$12,MOD(B10,'S2 inputs'!$B$25)=0),'S2 inputs'!$B$26*(1+'S2 inputs'!$B$19)^(B10-1),0)</s:f>
        <s:v>0</s:v>
      </s:c>
      <s:c r="G10" s="5">
        <s:f>IF(A10='S2 results'!$B$5,'S2 inputs'!$B$27*(1-'S2 inputs'!$B$28),0)</s:f>
        <s:v>0</s:v>
      </s:c>
      <s:c r="H10" s="5">
        <s:f>D10-E10-F10+G10</s:f>
        <s:v>490084.71140997356</s:v>
      </s:c>
      <s:c r="I10" s="5">
        <s:f>1/(1+'S2 inputs'!$B$13)^A10</s:f>
        <s:v>0.676839362028687</s:v>
      </s:c>
      <s:c r="J10" s="5">
        <s:f>H10*I10</s:f>
        <s:v>331708.6234107397</s:v>
      </s:c>
      <s:c r="K10" s="5">
        <s:f>K9+H10-G10</s:f>
        <s:v>-4591324.80186431</s:v>
      </s:c>
      <s:c r="L10" s="5">
        <s:f>IF(B10&gt;0,'S2 inputs'!$B$2*'S2 inputs'!$B$14*'S2 inputs'!$B$15*(1+'S2 inputs'!$B$18)^(B10-1)*I10,0)</s:f>
        <s:v>896.3837187929063</s:v>
      </s:c>
      <s:c r="M10" s="11" t="str">
        <s:f>IF(AND(K10&gt;=0,K9&lt;0),A10-1-K9/(H10-G10),"")</s:f>
        <s:v/>
      </s:c>
      <s:c r="N10" s="11">
        <s:f>N9+J10-G10*I10</s:f>
        <s:v>-5294051.464719642</s:v>
      </s:c>
      <s:c r="O10" s="11" t="str">
        <s:f>IF(AND(N10&gt;=0,N9&lt;0),A10-1-N9/((H10-G10)*I10),"")</s:f>
        <s:v/>
      </s:c>
    </s:row>
    <s:row r="11" ht="20" customHeight="1">
      <s:c r="A11" s="2" t="n">
        <s:v>9</s:v>
      </s:c>
      <s:c r="B11" s="2">
        <s:f>IF(AND(A11&gt;'S2 results'!$B$4,A11&lt;='S2 results'!$B$5),A11-'S2 results'!$B$4,0)</s:f>
        <s:v>8</s:v>
      </s:c>
      <s:c r="C11" s="5">
        <s:f>IF(B11&gt;0,'S2 inputs'!$B$16*(1+'S2 inputs'!$B$18)^(B11-1),0)</s:f>
        <s:v>689.211400589568</s:v>
      </s:c>
      <s:c r="D11" s="5">
        <s:f>IF(B11&gt;0,'S2 inputs'!$B$2*'S2 inputs'!$B$14*'S2 inputs'!$B$15*C11,0)</s:f>
        <s:v>810512.607093332</s:v>
      </s:c>
      <s:c r="E11" s="5">
        <s:f>IF(B11&gt;0,('S2 inputs'!$B$20+'S2 inputs'!$B$21+'S2 inputs'!$B$2*'S2 inputs'!$B$14*('S2 inputs'!$B$22+'S2 inputs'!$B$23)+('S2 inputs'!$B$2*'S2 inputs'!$B$3*'S2 inputs'!$B$5+'S2 inputs'!$B$6)*'S2 inputs'!$B$24)*(1+'S2 inputs'!$B$19)^(B11-1),0)</s:f>
        <s:v>312148.8789132725</s:v>
      </s:c>
      <s:c r="F11" s="5">
        <s:f>IF(AND(B11&gt;0,B11&lt;'S2 inputs'!$B$12,MOD(B11,'S2 inputs'!$B$25)=0),'S2 inputs'!$B$26*(1+'S2 inputs'!$B$19)^(B11-1),0)</s:f>
        <s:v>0</s:v>
      </s:c>
      <s:c r="G11" s="5">
        <s:f>IF(A11='S2 results'!$B$5,'S2 inputs'!$B$27*(1-'S2 inputs'!$B$28),0)</s:f>
        <s:v>0</s:v>
      </s:c>
      <s:c r="H11" s="5">
        <s:f>D11-E11-F11+G11</s:f>
        <s:v>498363.72818005946</s:v>
      </s:c>
      <s:c r="I11" s="5">
        <s:f>1/(1+'S2 inputs'!$B$13)^A11</s:f>
        <s:v>0.6446089162177971</s:v>
      </s:c>
      <s:c r="J11" s="5">
        <s:f>H11*I11</s:f>
        <s:v>321249.70270440896</s:v>
      </s:c>
      <s:c r="K11" s="5">
        <s:f>K10+H11-G11</s:f>
        <s:v>-4092961.073684251</s:v>
      </s:c>
      <s:c r="L11" s="5">
        <s:f>IF(B11&gt;0,'S2 inputs'!$B$2*'S2 inputs'!$B$14*'S2 inputs'!$B$15*(1+'S2 inputs'!$B$18)^(B11-1)*I11,0)</s:f>
        <s:v>870.7727553988233</s:v>
      </s:c>
      <s:c r="M11" s="11" t="str">
        <s:f>IF(AND(K11&gt;=0,K10&lt;0),A11-1-K10/(H11-G11),"")</s:f>
        <s:v/>
      </s:c>
      <s:c r="N11" s="11">
        <s:f>N10+J11-G11*I11</s:f>
        <s:v>-4972801.762015233</s:v>
      </s:c>
      <s:c r="O11" s="11" t="str">
        <s:f>IF(AND(N11&gt;=0,N10&lt;0),A11-1-N10/((H11-G11)*I11),"")</s:f>
        <s:v/>
      </s:c>
    </s:row>
    <s:row r="12" ht="20" customHeight="1">
      <s:c r="A12" s="2" t="n">
        <s:v>10</s:v>
      </s:c>
      <s:c r="B12" s="2">
        <s:f>IF(AND(A12&gt;'S2 results'!$B$4,A12&lt;='S2 results'!$B$5),A12-'S2 results'!$B$4,0)</s:f>
        <s:v>9</s:v>
      </s:c>
      <s:c r="C12" s="5">
        <s:f>IF(B12&gt;0,'S2 inputs'!$B$16*(1+'S2 inputs'!$B$18)^(B12-1),0)</s:f>
        <s:v>702.9956286013595</s:v>
      </s:c>
      <s:c r="D12" s="5">
        <s:f>IF(B12&gt;0,'S2 inputs'!$B$2*'S2 inputs'!$B$14*'S2 inputs'!$B$15*C12,0)</s:f>
        <s:v>826722.8592351988</s:v>
      </s:c>
      <s:c r="E12" s="5">
        <s:f>IF(B12&gt;0,('S2 inputs'!$B$20+'S2 inputs'!$B$21+'S2 inputs'!$B$2*'S2 inputs'!$B$14*('S2 inputs'!$B$22+'S2 inputs'!$B$23)+('S2 inputs'!$B$2*'S2 inputs'!$B$3*'S2 inputs'!$B$5+'S2 inputs'!$B$6)*'S2 inputs'!$B$24)*(1+'S2 inputs'!$B$19)^(B12-1),0)</s:f>
        <s:v>319952.6008861043</s:v>
      </s:c>
      <s:c r="F12" s="5">
        <s:f>IF(AND(B12&gt;0,B12&lt;'S2 inputs'!$B$12,MOD(B12,'S2 inputs'!$B$25)=0),'S2 inputs'!$B$26*(1+'S2 inputs'!$B$19)^(B12-1),0)</s:f>
        <s:v>0</s:v>
      </s:c>
      <s:c r="G12" s="5">
        <s:f>IF(A12='S2 results'!$B$5,'S2 inputs'!$B$27*(1-'S2 inputs'!$B$28),0)</s:f>
        <s:v>0</s:v>
      </s:c>
      <s:c r="H12" s="5">
        <s:f>D12-E12-F12+G12</s:f>
        <s:v>506770.25834909454</s:v>
      </s:c>
      <s:c r="I12" s="5">
        <s:f>1/(1+'S2 inputs'!$B$13)^A12</s:f>
        <s:v>0.6139132535407591</s:v>
      </s:c>
      <s:c r="J12" s="5">
        <s:f>H12*I12</s:f>
        <s:v>311112.97810078366</s:v>
      </s:c>
      <s:c r="K12" s="5">
        <s:f>K11+H12-G12</s:f>
        <s:v>-3586190.8153351564</s:v>
      </s:c>
      <s:c r="L12" s="5">
        <s:f>IF(B12&gt;0,'S2 inputs'!$B$2*'S2 inputs'!$B$14*'S2 inputs'!$B$15*(1+'S2 inputs'!$B$18)^(B12-1)*I12,0)</s:f>
        <s:v>845.8935338159998</s:v>
      </s:c>
      <s:c r="M12" s="11" t="str">
        <s:f>IF(AND(K12&gt;=0,K11&lt;0),A12-1-K11/(H12-G12),"")</s:f>
        <s:v/>
      </s:c>
      <s:c r="N12" s="11">
        <s:f>N11+J12-G12*I12</s:f>
        <s:v>-4661688.783914449</s:v>
      </s:c>
      <s:c r="O12" s="11" t="str">
        <s:f>IF(AND(N12&gt;=0,N11&lt;0),A12-1-N11/((H12-G12)*I12),"")</s:f>
        <s:v/>
      </s:c>
    </s:row>
    <s:row r="13" ht="20" customHeight="1">
      <s:c r="A13" s="2" t="n">
        <s:v>11</s:v>
      </s:c>
      <s:c r="B13" s="2">
        <s:f>IF(AND(A13&gt;'S2 results'!$B$4,A13&lt;='S2 results'!$B$5),A13-'S2 results'!$B$4,0)</s:f>
        <s:v>10</s:v>
      </s:c>
      <s:c r="C13" s="5">
        <s:f>IF(B13&gt;0,'S2 inputs'!$B$16*(1+'S2 inputs'!$B$18)^(B13-1),0)</s:f>
        <s:v>717.0555411733866</s:v>
      </s:c>
      <s:c r="D13" s="5">
        <s:f>IF(B13&gt;0,'S2 inputs'!$B$2*'S2 inputs'!$B$14*'S2 inputs'!$B$15*C13,0)</s:f>
        <s:v>843257.3164199026</s:v>
      </s:c>
      <s:c r="E13" s="5">
        <s:f>IF(B13&gt;0,('S2 inputs'!$B$20+'S2 inputs'!$B$21+'S2 inputs'!$B$2*'S2 inputs'!$B$14*('S2 inputs'!$B$22+'S2 inputs'!$B$23)+('S2 inputs'!$B$2*'S2 inputs'!$B$3*'S2 inputs'!$B$5+'S2 inputs'!$B$6)*'S2 inputs'!$B$24)*(1+'S2 inputs'!$B$19)^(B13-1),0)</s:f>
        <s:v>327951.4159082569</s:v>
      </s:c>
      <s:c r="F13" s="5">
        <s:f>IF(AND(B13&gt;0,B13&lt;'S2 inputs'!$B$12,MOD(B13,'S2 inputs'!$B$25)=0),'S2 inputs'!$B$26*(1+'S2 inputs'!$B$19)^(B13-1),0)</s:f>
        <s:v>0</s:v>
      </s:c>
      <s:c r="G13" s="5">
        <s:f>IF(A13='S2 results'!$B$5,'S2 inputs'!$B$27*(1-'S2 inputs'!$B$28),0)</s:f>
        <s:v>0</s:v>
      </s:c>
      <s:c r="H13" s="5">
        <s:f>D13-E13-F13+G13</s:f>
        <s:v>515305.9005116457</s:v>
      </s:c>
      <s:c r="I13" s="5">
        <s:f>1/(1+'S2 inputs'!$B$13)^A13</s:f>
        <s:v>0.5846792890864373</s:v>
      </s:c>
      <s:c r="J13" s="5">
        <s:f>H13*I13</s:f>
        <s:v>301288.6875731954</s:v>
      </s:c>
      <s:c r="K13" s="5">
        <s:f>K12+H13-G13</s:f>
        <s:v>-3070884.9148235107</s:v>
      </s:c>
      <s:c r="L13" s="5">
        <s:f>IF(B13&gt;0,'S2 inputs'!$B$2*'S2 inputs'!$B$14*'S2 inputs'!$B$15*(1+'S2 inputs'!$B$18)^(B13-1)*I13,0)</s:f>
        <s:v>821.7251471355427</s:v>
      </s:c>
      <s:c r="M13" s="11" t="str">
        <s:f>IF(AND(K13&gt;=0,K12&lt;0),A13-1-K12/(H13-G13),"")</s:f>
        <s:v/>
      </s:c>
      <s:c r="N13" s="11">
        <s:f>N12+J13-G13*I13</s:f>
        <s:v>-4360400.096341253</s:v>
      </s:c>
      <s:c r="O13" s="11" t="str">
        <s:f>IF(AND(N13&gt;=0,N12&lt;0),A13-1-N12/((H13-G13)*I13),"")</s:f>
        <s:v/>
      </s:c>
    </s:row>
    <s:row r="14" ht="20" customHeight="1">
      <s:c r="A14" s="2" t="n">
        <s:v>12</s:v>
      </s:c>
      <s:c r="B14" s="2">
        <s:f>IF(AND(A14&gt;'S2 results'!$B$4,A14&lt;='S2 results'!$B$5),A14-'S2 results'!$B$4,0)</s:f>
        <s:v>11</s:v>
      </s:c>
      <s:c r="C14" s="5">
        <s:f>IF(B14&gt;0,'S2 inputs'!$B$16*(1+'S2 inputs'!$B$18)^(B14-1),0)</s:f>
        <s:v>731.3966519968544</s:v>
      </s:c>
      <s:c r="D14" s="5">
        <s:f>IF(B14&gt;0,'S2 inputs'!$B$2*'S2 inputs'!$B$14*'S2 inputs'!$B$15*C14,0)</s:f>
        <s:v>860122.4627483007</s:v>
      </s:c>
      <s:c r="E14" s="5">
        <s:f>IF(B14&gt;0,('S2 inputs'!$B$20+'S2 inputs'!$B$21+'S2 inputs'!$B$2*'S2 inputs'!$B$14*('S2 inputs'!$B$22+'S2 inputs'!$B$23)+('S2 inputs'!$B$2*'S2 inputs'!$B$3*'S2 inputs'!$B$5+'S2 inputs'!$B$6)*'S2 inputs'!$B$24)*(1+'S2 inputs'!$B$19)^(B14-1),0)</s:f>
        <s:v>336150.2013059633</s:v>
      </s:c>
      <s:c r="F14" s="5">
        <s:f>IF(AND(B14&gt;0,B14&lt;'S2 inputs'!$B$12,MOD(B14,'S2 inputs'!$B$25)=0),'S2 inputs'!$B$26*(1+'S2 inputs'!$B$19)^(B14-1),0)</s:f>
        <s:v>0</s:v>
      </s:c>
      <s:c r="G14" s="5">
        <s:f>IF(A14='S2 results'!$B$5,'S2 inputs'!$B$27*(1-'S2 inputs'!$B$28),0)</s:f>
        <s:v>0</s:v>
      </s:c>
      <s:c r="H14" s="5">
        <s:f>D14-E14-F14+G14</s:f>
        <s:v>523972.2614423375</s:v>
      </s:c>
      <s:c r="I14" s="5">
        <s:f>1/(1+'S2 inputs'!$B$13)^A14</s:f>
        <s:v>0.5568374181775593</s:v>
      </s:c>
      <s:c r="J14" s="5">
        <s:f>H14*I14</s:f>
        <s:v>291767.3612582083</s:v>
      </s:c>
      <s:c r="K14" s="5">
        <s:f>K13+H14-G14</s:f>
        <s:v>-2546912.653381173</s:v>
      </s:c>
      <s:c r="L14" s="5">
        <s:f>IF(B14&gt;0,'S2 inputs'!$B$2*'S2 inputs'!$B$14*'S2 inputs'!$B$15*(1+'S2 inputs'!$B$18)^(B14-1)*I14,0)</s:f>
        <s:v>798.2472857888127</s:v>
      </s:c>
      <s:c r="M14" s="11" t="str">
        <s:f>IF(AND(K14&gt;=0,K13&lt;0),A14-1-K13/(H14-G14),"")</s:f>
        <s:v/>
      </s:c>
      <s:c r="N14" s="11">
        <s:f>N13+J14-G14*I14</s:f>
        <s:v>-4068632.735083045</s:v>
      </s:c>
      <s:c r="O14" s="11" t="str">
        <s:f>IF(AND(N14&gt;=0,N13&lt;0),A14-1-N13/((H14-G14)*I14),"")</s:f>
        <s:v/>
      </s:c>
    </s:row>
    <s:row r="15" ht="20" customHeight="1">
      <s:c r="A15" s="2" t="n">
        <s:v>13</s:v>
      </s:c>
      <s:c r="B15" s="2">
        <s:f>IF(AND(A15&gt;'S2 results'!$B$4,A15&lt;='S2 results'!$B$5),A15-'S2 results'!$B$4,0)</s:f>
        <s:v>12</s:v>
      </s:c>
      <s:c r="C15" s="5">
        <s:f>IF(B15&gt;0,'S2 inputs'!$B$16*(1+'S2 inputs'!$B$18)^(B15-1),0)</s:f>
        <s:v>746.0245850367914</s:v>
      </s:c>
      <s:c r="D15" s="5">
        <s:f>IF(B15&gt;0,'S2 inputs'!$B$2*'S2 inputs'!$B$14*'S2 inputs'!$B$15*C15,0)</s:f>
        <s:v>877324.9120032667</s:v>
      </s:c>
      <s:c r="E15" s="5">
        <s:f>IF(B15&gt;0,('S2 inputs'!$B$20+'S2 inputs'!$B$21+'S2 inputs'!$B$2*'S2 inputs'!$B$14*('S2 inputs'!$B$22+'S2 inputs'!$B$23)+('S2 inputs'!$B$2*'S2 inputs'!$B$3*'S2 inputs'!$B$5+'S2 inputs'!$B$6)*'S2 inputs'!$B$24)*(1+'S2 inputs'!$B$19)^(B15-1),0)</s:f>
        <s:v>344553.9563386123</s:v>
      </s:c>
      <s:c r="F15" s="5">
        <s:f>IF(AND(B15&gt;0,B15&lt;'S2 inputs'!$B$12,MOD(B15,'S2 inputs'!$B$25)=0),'S2 inputs'!$B$26*(1+'S2 inputs'!$B$19)^(B15-1),0)</s:f>
        <s:v>0</s:v>
      </s:c>
      <s:c r="G15" s="5">
        <s:f>IF(A15='S2 results'!$B$5,'S2 inputs'!$B$27*(1-'S2 inputs'!$B$28),0)</s:f>
        <s:v>0</s:v>
      </s:c>
      <s:c r="H15" s="5">
        <s:f>D15-E15-F15+G15</s:f>
        <s:v>532770.9556646545</s:v>
      </s:c>
      <s:c r="I15" s="5">
        <s:f>1/(1+'S2 inputs'!$B$13)^A15</s:f>
        <s:v>0.5303213506452945</s:v>
      </s:c>
      <s:c r="J15" s="5">
        <s:f>H15*I15</s:f>
        <s:v>282539.81279266387</s:v>
      </s:c>
      <s:c r="K15" s="5">
        <s:f>K14+H15-G15</s:f>
        <s:v>-2014141.6977165185</s:v>
      </s:c>
      <s:c r="L15" s="5">
        <s:f>IF(B15&gt;0,'S2 inputs'!$B$2*'S2 inputs'!$B$14*'S2 inputs'!$B$15*(1+'S2 inputs'!$B$18)^(B15-1)*I15,0)</s:f>
        <s:v>775.4402204805609</s:v>
      </s:c>
      <s:c r="M15" s="11" t="str">
        <s:f>IF(AND(K15&gt;=0,K14&lt;0),A15-1-K14/(H15-G15),"")</s:f>
        <s:v/>
      </s:c>
      <s:c r="N15" s="11">
        <s:f>N14+J15-G15*I15</s:f>
        <s:v>-3786092.922290381</s:v>
      </s:c>
      <s:c r="O15" s="11" t="str">
        <s:f>IF(AND(N15&gt;=0,N14&lt;0),A15-1-N14/((H15-G15)*I15),"")</s:f>
        <s:v/>
      </s:c>
    </s:row>
    <s:row r="16" ht="20" customHeight="1">
      <s:c r="A16" s="2" t="n">
        <s:v>14</s:v>
      </s:c>
      <s:c r="B16" s="2">
        <s:f>IF(AND(A16&gt;'S2 results'!$B$4,A16&lt;='S2 results'!$B$5),A16-'S2 results'!$B$4,0)</s:f>
        <s:v>13</s:v>
      </s:c>
      <s:c r="C16" s="5">
        <s:f>IF(B16&gt;0,'S2 inputs'!$B$16*(1+'S2 inputs'!$B$18)^(B16-1),0)</s:f>
        <s:v>760.9450767375273</s:v>
      </s:c>
      <s:c r="D16" s="5">
        <s:f>IF(B16&gt;0,'S2 inputs'!$B$2*'S2 inputs'!$B$14*'S2 inputs'!$B$15*C16,0)</s:f>
        <s:v>894871.4102433322</s:v>
      </s:c>
      <s:c r="E16" s="5">
        <s:f>IF(B16&gt;0,('S2 inputs'!$B$20+'S2 inputs'!$B$21+'S2 inputs'!$B$2*'S2 inputs'!$B$14*('S2 inputs'!$B$22+'S2 inputs'!$B$23)+('S2 inputs'!$B$2*'S2 inputs'!$B$3*'S2 inputs'!$B$5+'S2 inputs'!$B$6)*'S2 inputs'!$B$24)*(1+'S2 inputs'!$B$19)^(B16-1),0)</s:f>
        <s:v>353167.8052470776</s:v>
      </s:c>
      <s:c r="F16" s="5">
        <s:f>IF(AND(B16&gt;0,B16&lt;'S2 inputs'!$B$12,MOD(B16,'S2 inputs'!$B$25)=0),'S2 inputs'!$B$26*(1+'S2 inputs'!$B$19)^(B16-1),0)</s:f>
        <s:v>0</s:v>
      </s:c>
      <s:c r="G16" s="5">
        <s:f>IF(A16='S2 results'!$B$5,'S2 inputs'!$B$27*(1-'S2 inputs'!$B$28),0)</s:f>
        <s:v>0</s:v>
      </s:c>
      <s:c r="H16" s="5">
        <s:f>D16-E16-F16+G16</s:f>
        <s:v>541703.6049962546</s:v>
      </s:c>
      <s:c r="I16" s="5">
        <s:f>1/(1+'S2 inputs'!$B$13)^A16</s:f>
        <s:v>0.5050679529955185</s:v>
      </s:c>
      <s:c r="J16" s="5">
        <s:f>H16*I16</s:f>
        <s:v>273597.13090575126</s:v>
      </s:c>
      <s:c r="K16" s="5">
        <s:f>K15+H16-G16</s:f>
        <s:v>-1472438.092720264</s:v>
      </s:c>
      <s:c r="L16" s="5">
        <s:f>IF(B16&gt;0,'S2 inputs'!$B$2*'S2 inputs'!$B$14*'S2 inputs'!$B$15*(1+'S2 inputs'!$B$18)^(B16-1)*I16,0)</s:f>
        <s:v>753.2847856096878</s:v>
      </s:c>
      <s:c r="M16" s="11" t="str">
        <s:f>IF(AND(K16&gt;=0,K15&lt;0),A16-1-K15/(H16-G16),"")</s:f>
        <s:v/>
      </s:c>
      <s:c r="N16" s="11">
        <s:f>N15+J16-G16*I16</s:f>
        <s:v>-3512495.79138463</s:v>
      </s:c>
      <s:c r="O16" s="11" t="str">
        <s:f>IF(AND(N16&gt;=0,N15&lt;0),A16-1-N15/((H16-G16)*I16),"")</s:f>
        <s:v/>
      </s:c>
    </s:row>
    <s:row r="17" ht="20" customHeight="1">
      <s:c r="A17" s="2" t="n">
        <s:v>15</s:v>
      </s:c>
      <s:c r="B17" s="2">
        <s:f>IF(AND(A17&gt;'S2 results'!$B$4,A17&lt;='S2 results'!$B$5),A17-'S2 results'!$B$4,0)</s:f>
        <s:v>14</s:v>
      </s:c>
      <s:c r="C17" s="5">
        <s:f>IF(B17&gt;0,'S2 inputs'!$B$16*(1+'S2 inputs'!$B$18)^(B17-1),0)</s:f>
        <s:v>776.163978272278</s:v>
      </s:c>
      <s:c r="D17" s="5">
        <s:f>IF(B17&gt;0,'S2 inputs'!$B$2*'S2 inputs'!$B$14*'S2 inputs'!$B$15*C17,0)</s:f>
        <s:v>912768.8384481989</s:v>
      </s:c>
      <s:c r="E17" s="5">
        <s:f>IF(B17&gt;0,('S2 inputs'!$B$20+'S2 inputs'!$B$21+'S2 inputs'!$B$2*'S2 inputs'!$B$14*('S2 inputs'!$B$22+'S2 inputs'!$B$23)+('S2 inputs'!$B$2*'S2 inputs'!$B$3*'S2 inputs'!$B$5+'S2 inputs'!$B$6)*'S2 inputs'!$B$24)*(1+'S2 inputs'!$B$19)^(B17-1),0)</s:f>
        <s:v>361997.0003782545</s:v>
      </s:c>
      <s:c r="F17" s="5">
        <s:f>IF(AND(B17&gt;0,B17&lt;'S2 inputs'!$B$12,MOD(B17,'S2 inputs'!$B$25)=0),'S2 inputs'!$B$26*(1+'S2 inputs'!$B$19)^(B17-1),0)</s:f>
        <s:v>0</s:v>
      </s:c>
      <s:c r="G17" s="5">
        <s:f>IF(A17='S2 results'!$B$5,'S2 inputs'!$B$27*(1-'S2 inputs'!$B$28),0)</s:f>
        <s:v>0</s:v>
      </s:c>
      <s:c r="H17" s="5">
        <s:f>D17-E17-F17+G17</s:f>
        <s:v>550771.8380699444</s:v>
      </s:c>
      <s:c r="I17" s="5">
        <s:f>1/(1+'S2 inputs'!$B$13)^A17</s:f>
        <s:v>0.48101709809097</s:v>
      </s:c>
      <s:c r="J17" s="5">
        <s:f>H17*I17</s:f>
        <s:v>264930.6712586343</s:v>
      </s:c>
      <s:c r="K17" s="5">
        <s:f>K16+H17-G17</s:f>
        <s:v>-921666.2546503197</s:v>
      </s:c>
      <s:c r="L17" s="5">
        <s:f>IF(B17&gt;0,'S2 inputs'!$B$2*'S2 inputs'!$B$14*'S2 inputs'!$B$15*(1+'S2 inputs'!$B$18)^(B17-1)*I17,0)</s:f>
        <s:v>731.7623631636967</s:v>
      </s:c>
      <s:c r="M17" s="11" t="str">
        <s:f>IF(AND(K17&gt;=0,K16&lt;0),A17-1-K16/(H17-G17),"")</s:f>
        <s:v/>
      </s:c>
      <s:c r="N17" s="11">
        <s:f>N16+J17-G17*I17</s:f>
        <s:v>-3247565.1201259955</s:v>
      </s:c>
      <s:c r="O17" s="11" t="str">
        <s:f>IF(AND(N17&gt;=0,N16&lt;0),A17-1-N16/((H17-G17)*I17),"")</s:f>
        <s:v/>
      </s:c>
    </s:row>
    <s:row r="18" ht="20" customHeight="1">
      <s:c r="A18" s="2" t="n">
        <s:v>16</s:v>
      </s:c>
      <s:c r="B18" s="2">
        <s:f>IF(AND(A18&gt;'S2 results'!$B$4,A18&lt;='S2 results'!$B$5),A18-'S2 results'!$B$4,0)</s:f>
        <s:v>15</s:v>
      </s:c>
      <s:c r="C18" s="5">
        <s:f>IF(B18&gt;0,'S2 inputs'!$B$16*(1+'S2 inputs'!$B$18)^(B18-1),0)</s:f>
        <s:v>791.6872578377235</s:v>
      </s:c>
      <s:c r="D18" s="5">
        <s:f>IF(B18&gt;0,'S2 inputs'!$B$2*'S2 inputs'!$B$14*'S2 inputs'!$B$15*C18,0)</s:f>
        <s:v>931024.2152171627</s:v>
      </s:c>
      <s:c r="E18" s="5">
        <s:f>IF(B18&gt;0,('S2 inputs'!$B$20+'S2 inputs'!$B$21+'S2 inputs'!$B$2*'S2 inputs'!$B$14*('S2 inputs'!$B$22+'S2 inputs'!$B$23)+('S2 inputs'!$B$2*'S2 inputs'!$B$3*'S2 inputs'!$B$5+'S2 inputs'!$B$6)*'S2 inputs'!$B$24)*(1+'S2 inputs'!$B$19)^(B18-1),0)</s:f>
        <s:v>371046.92538771086</s:v>
      </s:c>
      <s:c r="F18" s="5">
        <s:f>IF(AND(B18&gt;0,B18&lt;'S2 inputs'!$B$12,MOD(B18,'S2 inputs'!$B$25)=0),'S2 inputs'!$B$26*(1+'S2 inputs'!$B$19)^(B18-1),0)</s:f>
        <s:v>423892.1462921297</s:v>
      </s:c>
      <s:c r="G18" s="5">
        <s:f>IF(A18='S2 results'!$B$5,'S2 inputs'!$B$27*(1-'S2 inputs'!$B$28),0)</s:f>
        <s:v>0</s:v>
      </s:c>
      <s:c r="H18" s="5">
        <s:f>D18-E18-F18+G18</s:f>
        <s:v>136085.14353732212</s:v>
      </s:c>
      <s:c r="I18" s="5">
        <s:f>1/(1+'S2 inputs'!$B$13)^A18</s:f>
        <s:v>0.45811152199140004</s:v>
      </s:c>
      <s:c r="J18" s="5">
        <s:f>H18*I18</s:f>
        <s:v>62342.17222630077</s:v>
      </s:c>
      <s:c r="K18" s="5">
        <s:f>K17+H18-G18</s:f>
        <s:v>-785581.1111129976</s:v>
      </s:c>
      <s:c r="L18" s="5">
        <s:f>IF(B18&gt;0,'S2 inputs'!$B$2*'S2 inputs'!$B$14*'S2 inputs'!$B$15*(1+'S2 inputs'!$B$18)^(B18-1)*I18,0)</s:f>
        <s:v>710.8548670733054</s:v>
      </s:c>
      <s:c r="M18" s="11" t="str">
        <s:f>IF(AND(K18&gt;=0,K17&lt;0),A18-1-K17/(H18-G18),"")</s:f>
        <s:v/>
      </s:c>
      <s:c r="N18" s="11">
        <s:f>N17+J18-G18*I18</s:f>
        <s:v>-3185222.9478996946</s:v>
      </s:c>
      <s:c r="O18" s="11" t="str">
        <s:f>IF(AND(N18&gt;=0,N17&lt;0),A18-1-N17/((H18-G18)*I18),"")</s:f>
        <s:v/>
      </s:c>
    </s:row>
    <s:row r="19" ht="20" customHeight="1">
      <s:c r="A19" s="2" t="n">
        <s:v>17</s:v>
      </s:c>
      <s:c r="B19" s="2">
        <s:f>IF(AND(A19&gt;'S2 results'!$B$4,A19&lt;='S2 results'!$B$5),A19-'S2 results'!$B$4,0)</s:f>
        <s:v>16</s:v>
      </s:c>
      <s:c r="C19" s="5">
        <s:f>IF(B19&gt;0,'S2 inputs'!$B$16*(1+'S2 inputs'!$B$18)^(B19-1),0)</s:f>
        <s:v>807.521002994478</s:v>
      </s:c>
      <s:c r="D19" s="5">
        <s:f>IF(B19&gt;0,'S2 inputs'!$B$2*'S2 inputs'!$B$14*'S2 inputs'!$B$15*C19,0)</s:f>
        <s:v>949644.6995215061</s:v>
      </s:c>
      <s:c r="E19" s="5">
        <s:f>IF(B19&gt;0,('S2 inputs'!$B$20+'S2 inputs'!$B$21+'S2 inputs'!$B$2*'S2 inputs'!$B$14*('S2 inputs'!$B$22+'S2 inputs'!$B$23)+('S2 inputs'!$B$2*'S2 inputs'!$B$3*'S2 inputs'!$B$5+'S2 inputs'!$B$6)*'S2 inputs'!$B$24)*(1+'S2 inputs'!$B$19)^(B19-1),0)</s:f>
        <s:v>380323.09852240357</s:v>
      </s:c>
      <s:c r="F19" s="5">
        <s:f>IF(AND(B19&gt;0,B19&lt;'S2 inputs'!$B$12,MOD(B19,'S2 inputs'!$B$25)=0),'S2 inputs'!$B$26*(1+'S2 inputs'!$B$19)^(B19-1),0)</s:f>
        <s:v>0</s:v>
      </s:c>
      <s:c r="G19" s="5">
        <s:f>IF(A19='S2 results'!$B$5,'S2 inputs'!$B$27*(1-'S2 inputs'!$B$28),0)</s:f>
        <s:v>0</s:v>
      </s:c>
      <s:c r="H19" s="5">
        <s:f>D19-E19-F19+G19</s:f>
        <s:v>569321.6009991025</s:v>
      </s:c>
      <s:c r="I19" s="5">
        <s:f>1/(1+'S2 inputs'!$B$13)^A19</s:f>
        <s:v>0.4362966876108571</s:v>
      </s:c>
      <s:c r="J19" s="5">
        <s:f>H19*I19</s:f>
        <s:v>248393.12870121843</s:v>
      </s:c>
      <s:c r="K19" s="5">
        <s:f>K18+H19-G19</s:f>
        <s:v>-216259.51011389517</s:v>
      </s:c>
      <s:c r="L19" s="5">
        <s:f>IF(B19&gt;0,'S2 inputs'!$B$2*'S2 inputs'!$B$14*'S2 inputs'!$B$15*(1+'S2 inputs'!$B$18)^(B19-1)*I19,0)</s:f>
        <s:v>690.5447280140679</s:v>
      </s:c>
      <s:c r="M19" s="11" t="str">
        <s:f>IF(AND(K19&gt;=0,K18&lt;0),A19-1-K18/(H19-G19),"")</s:f>
        <s:v/>
      </s:c>
      <s:c r="N19" s="11">
        <s:f>N18+J19-G19*I19</s:f>
        <s:v>-2936829.819198476</s:v>
      </s:c>
      <s:c r="O19" s="11" t="str">
        <s:f>IF(AND(N19&gt;=0,N18&lt;0),A19-1-N18/((H19-G19)*I19),"")</s:f>
        <s:v/>
      </s:c>
    </s:row>
    <s:row r="20" ht="20" customHeight="1">
      <s:c r="A20" s="2" t="n">
        <s:v>18</s:v>
      </s:c>
      <s:c r="B20" s="2">
        <s:f>IF(AND(A20&gt;'S2 results'!$B$4,A20&lt;='S2 results'!$B$5),A20-'S2 results'!$B$4,0)</s:f>
        <s:v>17</s:v>
      </s:c>
      <s:c r="C20" s="5">
        <s:f>IF(B20&gt;0,'S2 inputs'!$B$16*(1+'S2 inputs'!$B$18)^(B20-1),0)</s:f>
        <s:v>823.6714230543674</s:v>
      </s:c>
      <s:c r="D20" s="5">
        <s:f>IF(B20&gt;0,'S2 inputs'!$B$2*'S2 inputs'!$B$14*'S2 inputs'!$B$15*C20,0)</s:f>
        <s:v>968637.5935119361</s:v>
      </s:c>
      <s:c r="E20" s="5">
        <s:f>IF(B20&gt;0,('S2 inputs'!$B$20+'S2 inputs'!$B$21+'S2 inputs'!$B$2*'S2 inputs'!$B$14*('S2 inputs'!$B$22+'S2 inputs'!$B$23)+('S2 inputs'!$B$2*'S2 inputs'!$B$3*'S2 inputs'!$B$5+'S2 inputs'!$B$6)*'S2 inputs'!$B$24)*(1+'S2 inputs'!$B$19)^(B20-1),0)</s:f>
        <s:v>389831.17598546366</s:v>
      </s:c>
      <s:c r="F20" s="5">
        <s:f>IF(AND(B20&gt;0,B20&lt;'S2 inputs'!$B$12,MOD(B20,'S2 inputs'!$B$25)=0),'S2 inputs'!$B$26*(1+'S2 inputs'!$B$19)^(B20-1),0)</s:f>
        <s:v>0</s:v>
      </s:c>
      <s:c r="G20" s="5">
        <s:f>IF(A20='S2 results'!$B$5,'S2 inputs'!$B$27*(1-'S2 inputs'!$B$28),0)</s:f>
        <s:v>0</s:v>
      </s:c>
      <s:c r="H20" s="5">
        <s:f>D20-E20-F20+G20</s:f>
        <s:v>578806.4175264725</s:v>
      </s:c>
      <s:c r="I20" s="5">
        <s:f>1/(1+'S2 inputs'!$B$13)^A20</s:f>
        <s:v>0.415520654867483</s:v>
      </s:c>
      <s:c r="J20" s="5">
        <s:f>H20*I20</s:f>
        <s:v>240506.02165210166</s:v>
      </s:c>
      <s:c r="K20" s="5">
        <s:f>K19+H20-G20</s:f>
        <s:v>362546.9074125773</s:v>
      </s:c>
      <s:c r="L20" s="5">
        <s:f>IF(B20&gt;0,'S2 inputs'!$B$2*'S2 inputs'!$B$14*'S2 inputs'!$B$15*(1+'S2 inputs'!$B$18)^(B20-1)*I20,0)</s:f>
        <s:v>670.8148786422375</s:v>
      </s:c>
      <s:c r="M20" s="11">
        <s:f>IF(AND(K20&gt;=0,K19&lt;0),A20-1-K19/(H20-G20),"")</s:f>
        <s:v>17.3736301180593</s:v>
      </s:c>
      <s:c r="N20" s="11">
        <s:f>N19+J20-G20*I20</s:f>
        <s:v>-2696323.7975463746</s:v>
      </s:c>
      <s:c r="O20" s="11" t="str">
        <s:f>IF(AND(N20&gt;=0,N19&lt;0),A20-1-N19/((H20-G20)*I20),"")</s:f>
        <s:v/>
      </s:c>
    </s:row>
    <s:row r="21" ht="20" customHeight="1">
      <s:c r="A21" s="2" t="n">
        <s:v>19</s:v>
      </s:c>
      <s:c r="B21" s="2">
        <s:f>IF(AND(A21&gt;'S2 results'!$B$4,A21&lt;='S2 results'!$B$5),A21-'S2 results'!$B$4,0)</s:f>
        <s:v>18</s:v>
      </s:c>
      <s:c r="C21" s="5">
        <s:f>IF(B21&gt;0,'S2 inputs'!$B$16*(1+'S2 inputs'!$B$18)^(B21-1),0)</s:f>
        <s:v>840.1448515154549</s:v>
      </s:c>
      <s:c r="D21" s="5">
        <s:f>IF(B21&gt;0,'S2 inputs'!$B$2*'S2 inputs'!$B$14*'S2 inputs'!$B$15*C21,0)</s:f>
        <s:v>988010.345382175</s:v>
      </s:c>
      <s:c r="E21" s="5">
        <s:f>IF(B21&gt;0,('S2 inputs'!$B$20+'S2 inputs'!$B$21+'S2 inputs'!$B$2*'S2 inputs'!$B$14*('S2 inputs'!$B$22+'S2 inputs'!$B$23)+('S2 inputs'!$B$2*'S2 inputs'!$B$3*'S2 inputs'!$B$5+'S2 inputs'!$B$6)*'S2 inputs'!$B$24)*(1+'S2 inputs'!$B$19)^(B21-1),0)</s:f>
        <s:v>399576.9553851002</s:v>
      </s:c>
      <s:c r="F21" s="5">
        <s:f>IF(AND(B21&gt;0,B21&lt;'S2 inputs'!$B$12,MOD(B21,'S2 inputs'!$B$25)=0),'S2 inputs'!$B$26*(1+'S2 inputs'!$B$19)^(B21-1),0)</s:f>
        <s:v>0</s:v>
      </s:c>
      <s:c r="G21" s="5">
        <s:f>IF(A21='S2 results'!$B$5,'S2 inputs'!$B$27*(1-'S2 inputs'!$B$28),0)</s:f>
        <s:v>0</s:v>
      </s:c>
      <s:c r="H21" s="5">
        <s:f>D21-E21-F21+G21</s:f>
        <s:v>588433.3899970747</s:v>
      </s:c>
      <s:c r="I21" s="5">
        <s:f>1/(1+'S2 inputs'!$B$13)^A21</s:f>
        <s:v>0.39573395701665043</s:v>
      </s:c>
      <s:c r="J21" s="5">
        <s:f>H21*I21</s:f>
        <s:v>232863.07386426427</s:v>
      </s:c>
      <s:c r="K21" s="5">
        <s:f>K20+H21-G21</s:f>
        <s:v>950980.297409652</s:v>
      </s:c>
      <s:c r="L21" s="5">
        <s:f>IF(B21&gt;0,'S2 inputs'!$B$2*'S2 inputs'!$B$14*'S2 inputs'!$B$15*(1+'S2 inputs'!$B$18)^(B21-1)*I21,0)</s:f>
        <s:v>651.6487392524593</s:v>
      </s:c>
      <s:c r="M21" s="11" t="str">
        <s:f>IF(AND(K21&gt;=0,K20&lt;0),A21-1-K20/(H21-G21),"")</s:f>
        <s:v/>
      </s:c>
      <s:c r="N21" s="11">
        <s:f>N20+J21-G21*I21</s:f>
        <s:v>-2463460.72368211</s:v>
      </s:c>
      <s:c r="O21" s="11" t="str">
        <s:f>IF(AND(N21&gt;=0,N20&lt;0),A21-1-N20/((H21-G21)*I21),"")</s:f>
        <s:v/>
      </s:c>
    </s:row>
    <s:row r="22" ht="20" customHeight="1">
      <s:c r="A22" s="2" t="n">
        <s:v>20</s:v>
      </s:c>
      <s:c r="B22" s="2">
        <s:f>IF(AND(A22&gt;'S2 results'!$B$4,A22&lt;='S2 results'!$B$5),A22-'S2 results'!$B$4,0)</s:f>
        <s:v>19</s:v>
      </s:c>
      <s:c r="C22" s="5">
        <s:f>IF(B22&gt;0,'S2 inputs'!$B$16*(1+'S2 inputs'!$B$18)^(B22-1),0)</s:f>
        <s:v>856.9477485457641</s:v>
      </s:c>
      <s:c r="D22" s="5">
        <s:f>IF(B22&gt;0,'S2 inputs'!$B$2*'S2 inputs'!$B$14*'S2 inputs'!$B$15*C22,0)</s:f>
        <s:v>1007770.5522898185</s:v>
      </s:c>
      <s:c r="E22" s="5">
        <s:f>IF(B22&gt;0,('S2 inputs'!$B$20+'S2 inputs'!$B$21+'S2 inputs'!$B$2*'S2 inputs'!$B$14*('S2 inputs'!$B$22+'S2 inputs'!$B$23)+('S2 inputs'!$B$2*'S2 inputs'!$B$3*'S2 inputs'!$B$5+'S2 inputs'!$B$6)*'S2 inputs'!$B$24)*(1+'S2 inputs'!$B$19)^(B22-1),0)</s:f>
        <s:v>409566.3792697277</s:v>
      </s:c>
      <s:c r="F22" s="5">
        <s:f>IF(AND(B22&gt;0,B22&lt;'S2 inputs'!$B$12,MOD(B22,'S2 inputs'!$B$25)=0),'S2 inputs'!$B$26*(1+'S2 inputs'!$B$19)^(B22-1),0)</s:f>
        <s:v>0</s:v>
      </s:c>
      <s:c r="G22" s="5">
        <s:f>IF(A22='S2 results'!$B$5,'S2 inputs'!$B$27*(1-'S2 inputs'!$B$28),0)</s:f>
        <s:v>0</s:v>
      </s:c>
      <s:c r="H22" s="5">
        <s:f>D22-E22-F22+G22</s:f>
        <s:v>598204.1730200909</s:v>
      </s:c>
      <s:c r="I22" s="5">
        <s:f>1/(1+'S2 inputs'!$B$13)^A22</s:f>
        <s:v>0.3768894828730004</s:v>
      </s:c>
      <s:c r="J22" s="5">
        <s:f>H22*I22</s:f>
        <s:v>225456.8614220129</s:v>
      </s:c>
      <s:c r="K22" s="5">
        <s:f>K21+H22-G22</s:f>
        <s:v>1549184.470429743</s:v>
      </s:c>
      <s:c r="L22" s="5">
        <s:f>IF(B22&gt;0,'S2 inputs'!$B$2*'S2 inputs'!$B$14*'S2 inputs'!$B$15*(1+'S2 inputs'!$B$18)^(B22-1)*I22,0)</s:f>
        <s:v>633.0302038452462</s:v>
      </s:c>
      <s:c r="M22" s="11" t="str">
        <s:f>IF(AND(K22&gt;=0,K21&lt;0),A22-1-K21/(H22-G22),"")</s:f>
        <s:v/>
      </s:c>
      <s:c r="N22" s="11">
        <s:f>N21+J22-G22*I22</s:f>
        <s:v>-2238003.862260097</s:v>
      </s:c>
      <s:c r="O22" s="11" t="str">
        <s:f>IF(AND(N22&gt;=0,N21&lt;0),A22-1-N21/((H22-G22)*I22),"")</s:f>
        <s:v/>
      </s:c>
    </s:row>
    <s:row r="23" ht="20" customHeight="1">
      <s:c r="A23" s="2" t="n">
        <s:v>21</s:v>
      </s:c>
      <s:c r="B23" s="2">
        <s:f>IF(AND(A23&gt;'S2 results'!$B$4,A23&lt;='S2 results'!$B$5),A23-'S2 results'!$B$4,0)</s:f>
        <s:v>20</s:v>
      </s:c>
      <s:c r="C23" s="5">
        <s:f>IF(B23&gt;0,'S2 inputs'!$B$16*(1+'S2 inputs'!$B$18)^(B23-1),0)</s:f>
        <s:v>874.0867035166792</s:v>
      </s:c>
      <s:c r="D23" s="5">
        <s:f>IF(B23&gt;0,'S2 inputs'!$B$2*'S2 inputs'!$B$14*'S2 inputs'!$B$15*C23,0)</s:f>
        <s:v>1027925.9633356148</s:v>
      </s:c>
      <s:c r="E23" s="5">
        <s:f>IF(B23&gt;0,('S2 inputs'!$B$20+'S2 inputs'!$B$21+'S2 inputs'!$B$2*'S2 inputs'!$B$14*('S2 inputs'!$B$22+'S2 inputs'!$B$23)+('S2 inputs'!$B$2*'S2 inputs'!$B$3*'S2 inputs'!$B$5+'S2 inputs'!$B$6)*'S2 inputs'!$B$24)*(1+'S2 inputs'!$B$19)^(B23-1),0)</s:f>
        <s:v>419805.5387514708</s:v>
      </s:c>
      <s:c r="F23" s="5">
        <s:f>IF(AND(B23&gt;0,B23&lt;'S2 inputs'!$B$12,MOD(B23,'S2 inputs'!$B$25)=0),'S2 inputs'!$B$26*(1+'S2 inputs'!$B$19)^(B23-1),0)</s:f>
        <s:v>0</s:v>
      </s:c>
      <s:c r="G23" s="5">
        <s:f>IF(A23='S2 results'!$B$5,'S2 inputs'!$B$27*(1-'S2 inputs'!$B$28),0)</s:f>
        <s:v>0</s:v>
      </s:c>
      <s:c r="H23" s="5">
        <s:f>D23-E23-F23+G23</s:f>
        <s:v>608120.424584144</s:v>
      </s:c>
      <s:c r="I23" s="5">
        <s:f>1/(1+'S2 inputs'!$B$13)^A23</s:f>
        <s:v>0.35894236464095275</s:v>
      </s:c>
      <s:c r="J23" s="5">
        <s:f>H23*I23</s:f>
        <s:v>218280.18318669283</s:v>
      </s:c>
      <s:c r="K23" s="5">
        <s:f>K22+H23-G23</s:f>
        <s:v>2157304.895013887</s:v>
      </s:c>
      <s:c r="L23" s="5">
        <s:f>IF(B23&gt;0,'S2 inputs'!$B$2*'S2 inputs'!$B$14*'S2 inputs'!$B$15*(1+'S2 inputs'!$B$18)^(B23-1)*I23,0)</s:f>
        <s:v>614.9436265925248</s:v>
      </s:c>
      <s:c r="M23" s="11" t="str">
        <s:f>IF(AND(K23&gt;=0,K22&lt;0),A23-1-K22/(H23-G23),"")</s:f>
        <s:v/>
      </s:c>
      <s:c r="N23" s="11">
        <s:f>N22+J23-G23*I23</s:f>
        <s:v>-2019723.6790734043</s:v>
      </s:c>
      <s:c r="O23" s="11" t="str">
        <s:f>IF(AND(N23&gt;=0,N22&lt;0),A23-1-N22/((H23-G23)*I23),"")</s:f>
        <s:v/>
      </s:c>
    </s:row>
    <s:row r="24" ht="20" customHeight="1">
      <s:c r="A24" s="2" t="n">
        <s:v>22</s:v>
      </s:c>
      <s:c r="B24" s="2">
        <s:f>IF(AND(A24&gt;'S2 results'!$B$4,A24&lt;='S2 results'!$B$5),A24-'S2 results'!$B$4,0)</s:f>
        <s:v>21</s:v>
      </s:c>
      <s:c r="C24" s="5">
        <s:f>IF(B24&gt;0,'S2 inputs'!$B$16*(1+'S2 inputs'!$B$18)^(B24-1),0)</s:f>
        <s:v>891.5684375870129</s:v>
      </s:c>
      <s:c r="D24" s="5">
        <s:f>IF(B24&gt;0,'S2 inputs'!$B$2*'S2 inputs'!$B$14*'S2 inputs'!$B$15*C24,0)</s:f>
        <s:v>1048484.4826023271</s:v>
      </s:c>
      <s:c r="E24" s="5">
        <s:f>IF(B24&gt;0,('S2 inputs'!$B$20+'S2 inputs'!$B$21+'S2 inputs'!$B$2*'S2 inputs'!$B$14*('S2 inputs'!$B$22+'S2 inputs'!$B$23)+('S2 inputs'!$B$2*'S2 inputs'!$B$3*'S2 inputs'!$B$5+'S2 inputs'!$B$6)*'S2 inputs'!$B$24)*(1+'S2 inputs'!$B$19)^(B24-1),0)</s:f>
        <s:v>430300.6772202575</s:v>
      </s:c>
      <s:c r="F24" s="5">
        <s:f>IF(AND(B24&gt;0,B24&lt;'S2 inputs'!$B$12,MOD(B24,'S2 inputs'!$B$25)=0),'S2 inputs'!$B$26*(1+'S2 inputs'!$B$19)^(B24-1),0)</s:f>
        <s:v>0</s:v>
      </s:c>
      <s:c r="G24" s="5">
        <s:f>IF(A24='S2 results'!$B$5,'S2 inputs'!$B$27*(1-'S2 inputs'!$B$28),0)</s:f>
        <s:v>0</s:v>
      </s:c>
      <s:c r="H24" s="5">
        <s:f>D24-E24-F24+G24</s:f>
        <s:v>618183.8053820697</s:v>
      </s:c>
      <s:c r="I24" s="5">
        <s:f>1/(1+'S2 inputs'!$B$13)^A24</s:f>
        <s:v>0.3418498710866216</s:v>
      </s:c>
      <s:c r="J24" s="5">
        <s:f>H24*I24</s:f>
        <s:v>211326.05417769772</s:v>
      </s:c>
      <s:c r="K24" s="5">
        <s:f>K23+H24-G24</s:f>
        <s:v>2775488.7003959566</s:v>
      </s:c>
      <s:c r="L24" s="5">
        <s:f>IF(B24&gt;0,'S2 inputs'!$B$2*'S2 inputs'!$B$14*'S2 inputs'!$B$15*(1+'S2 inputs'!$B$18)^(B24-1)*I24,0)</s:f>
        <s:v>597.3738086898812</s:v>
      </s:c>
      <s:c r="M24" s="11" t="str">
        <s:f>IF(AND(K24&gt;=0,K23&lt;0),A24-1-K23/(H24-G24),"")</s:f>
        <s:v/>
      </s:c>
      <s:c r="N24" s="11">
        <s:f>N23+J24-G24*I24</s:f>
        <s:v>-1808397.6248957065</s:v>
      </s:c>
      <s:c r="O24" s="11" t="str">
        <s:f>IF(AND(N24&gt;=0,N23&lt;0),A24-1-N23/((H24-G24)*I24),"")</s:f>
        <s:v/>
      </s:c>
    </s:row>
    <s:row r="25" ht="20" customHeight="1">
      <s:c r="A25" s="2" t="n">
        <s:v>23</s:v>
      </s:c>
      <s:c r="B25" s="2">
        <s:f>IF(AND(A25&gt;'S2 results'!$B$4,A25&lt;='S2 results'!$B$5),A25-'S2 results'!$B$4,0)</s:f>
        <s:v>22</s:v>
      </s:c>
      <s:c r="C25" s="5">
        <s:f>IF(B25&gt;0,'S2 inputs'!$B$16*(1+'S2 inputs'!$B$18)^(B25-1),0)</s:f>
        <s:v>909.3998063387531</s:v>
      </s:c>
      <s:c r="D25" s="5">
        <s:f>IF(B25&gt;0,'S2 inputs'!$B$2*'S2 inputs'!$B$14*'S2 inputs'!$B$15*C25,0)</s:f>
        <s:v>1069454.1722543738</s:v>
      </s:c>
      <s:c r="E25" s="5">
        <s:f>IF(B25&gt;0,('S2 inputs'!$B$20+'S2 inputs'!$B$21+'S2 inputs'!$B$2*'S2 inputs'!$B$14*('S2 inputs'!$B$22+'S2 inputs'!$B$23)+('S2 inputs'!$B$2*'S2 inputs'!$B$3*'S2 inputs'!$B$5+'S2 inputs'!$B$6)*'S2 inputs'!$B$24)*(1+'S2 inputs'!$B$19)^(B25-1),0)</s:f>
        <s:v>441058.194150764</s:v>
      </s:c>
      <s:c r="F25" s="5">
        <s:f>IF(AND(B25&gt;0,B25&lt;'S2 inputs'!$B$12,MOD(B25,'S2 inputs'!$B$25)=0),'S2 inputs'!$B$26*(1+'S2 inputs'!$B$19)^(B25-1),0)</s:f>
        <s:v>0</s:v>
      </s:c>
      <s:c r="G25" s="5">
        <s:f>IF(A25='S2 results'!$B$5,'S2 inputs'!$B$27*(1-'S2 inputs'!$B$28),0)</s:f>
        <s:v>0</s:v>
      </s:c>
      <s:c r="H25" s="5">
        <s:f>D25-E25-F25+G25</s:f>
        <s:v>628395.9781036098</s:v>
      </s:c>
      <s:c r="I25" s="5">
        <s:f>1/(1+'S2 inputs'!$B$13)^A25</s:f>
        <s:v>0.3255713057967825</s:v>
      </s:c>
      <s:c r="J25" s="5">
        <s:f>H25*I25</s:f>
        <s:v>204587.69914863858</s:v>
      </s:c>
      <s:c r="K25" s="5">
        <s:f>K24+H25-G25</s:f>
        <s:v>3403884.6784995664</s:v>
      </s:c>
      <s:c r="L25" s="5">
        <s:f>IF(B25&gt;0,'S2 inputs'!$B$2*'S2 inputs'!$B$14*'S2 inputs'!$B$15*(1+'S2 inputs'!$B$18)^(B25-1)*I25,0)</s:f>
        <s:v>580.305985584456</s:v>
      </s:c>
      <s:c r="M25" s="11" t="str">
        <s:f>IF(AND(K25&gt;=0,K24&lt;0),A25-1-K24/(H25-G25),"")</s:f>
        <s:v/>
      </s:c>
      <s:c r="N25" s="11">
        <s:f>N24+J25-G25*I25</s:f>
        <s:v>-1603809.925747068</s:v>
      </s:c>
      <s:c r="O25" s="11" t="str">
        <s:f>IF(AND(N25&gt;=0,N24&lt;0),A25-1-N24/((H25-G25)*I25),"")</s:f>
        <s:v/>
      </s:c>
    </s:row>
    <s:row r="26" ht="20" customHeight="1">
      <s:c r="A26" s="2" t="n">
        <s:v>24</s:v>
      </s:c>
      <s:c r="B26" s="2">
        <s:f>IF(AND(A26&gt;'S2 results'!$B$4,A26&lt;='S2 results'!$B$5),A26-'S2 results'!$B$4,0)</s:f>
        <s:v>23</s:v>
      </s:c>
      <s:c r="C26" s="5">
        <s:f>IF(B26&gt;0,'S2 inputs'!$B$16*(1+'S2 inputs'!$B$18)^(B26-1),0)</s:f>
        <s:v>927.5878024655283</s:v>
      </s:c>
      <s:c r="D26" s="5">
        <s:f>IF(B26&gt;0,'S2 inputs'!$B$2*'S2 inputs'!$B$14*'S2 inputs'!$B$15*C26,0)</s:f>
        <s:v>1090843.2556994613</s:v>
      </s:c>
      <s:c r="E26" s="5">
        <s:f>IF(B26&gt;0,('S2 inputs'!$B$20+'S2 inputs'!$B$21+'S2 inputs'!$B$2*'S2 inputs'!$B$14*('S2 inputs'!$B$22+'S2 inputs'!$B$23)+('S2 inputs'!$B$2*'S2 inputs'!$B$3*'S2 inputs'!$B$5+'S2 inputs'!$B$6)*'S2 inputs'!$B$24)*(1+'S2 inputs'!$B$19)^(B26-1),0)</s:f>
        <s:v>452084.649004533</s:v>
      </s:c>
      <s:c r="F26" s="5">
        <s:f>IF(AND(B26&gt;0,B26&lt;'S2 inputs'!$B$12,MOD(B26,'S2 inputs'!$B$25)=0),'S2 inputs'!$B$26*(1+'S2 inputs'!$B$19)^(B26-1),0)</s:f>
        <s:v>0</s:v>
      </s:c>
      <s:c r="G26" s="5">
        <s:f>IF(A26='S2 results'!$B$5,'S2 inputs'!$B$27*(1-'S2 inputs'!$B$28),0)</s:f>
        <s:v>0</s:v>
      </s:c>
      <s:c r="H26" s="5">
        <s:f>D26-E26-F26+G26</s:f>
        <s:v>638758.6066949284</s:v>
      </s:c>
      <s:c r="I26" s="5">
        <s:f>1/(1+'S2 inputs'!$B$13)^A26</s:f>
        <s:v>0.31006791028265</s:v>
      </s:c>
      <s:c r="J26" s="5">
        <s:f>H26*I26</s:f>
        <s:v>198058.5463529536</s:v>
      </s:c>
      <s:c r="K26" s="5">
        <s:f>K25+H26-G26</s:f>
        <s:v>4042643.2851944948</s:v>
      </s:c>
      <s:c r="L26" s="5">
        <s:f>IF(B26&gt;0,'S2 inputs'!$B$2*'S2 inputs'!$B$14*'S2 inputs'!$B$15*(1+'S2 inputs'!$B$18)^(B26-1)*I26,0)</s:f>
        <s:v>563.7258145677573</s:v>
      </s:c>
      <s:c r="M26" s="11" t="str">
        <s:f>IF(AND(K26&gt;=0,K25&lt;0),A26-1-K25/(H26-G26),"")</s:f>
        <s:v/>
      </s:c>
      <s:c r="N26" s="11">
        <s:f>N25+J26-G26*I26</s:f>
        <s:v>-1405751.3793941143</s:v>
      </s:c>
      <s:c r="O26" s="11" t="str">
        <s:f>IF(AND(N26&gt;=0,N25&lt;0),A26-1-N25/((H26-G26)*I26),"")</s:f>
        <s:v/>
      </s:c>
    </s:row>
    <s:row r="27" ht="20" customHeight="1">
      <s:c r="A27" s="2" t="n">
        <s:v>25</s:v>
      </s:c>
      <s:c r="B27" s="2">
        <s:f>IF(AND(A27&gt;'S2 results'!$B$4,A27&lt;='S2 results'!$B$5),A27-'S2 results'!$B$4,0)</s:f>
        <s:v>24</s:v>
      </s:c>
      <s:c r="C27" s="5">
        <s:f>IF(B27&gt;0,'S2 inputs'!$B$16*(1+'S2 inputs'!$B$18)^(B27-1),0)</s:f>
        <s:v>946.1395585148389</s:v>
      </s:c>
      <s:c r="D27" s="5">
        <s:f>IF(B27&gt;0,'S2 inputs'!$B$2*'S2 inputs'!$B$14*'S2 inputs'!$B$15*C27,0)</s:f>
        <s:v>1112660.1208134505</s:v>
      </s:c>
      <s:c r="E27" s="5">
        <s:f>IF(B27&gt;0,('S2 inputs'!$B$20+'S2 inputs'!$B$21+'S2 inputs'!$B$2*'S2 inputs'!$B$14*('S2 inputs'!$B$22+'S2 inputs'!$B$23)+('S2 inputs'!$B$2*'S2 inputs'!$B$3*'S2 inputs'!$B$5+'S2 inputs'!$B$6)*'S2 inputs'!$B$24)*(1+'S2 inputs'!$B$19)^(B27-1),0)</s:f>
        <s:v>463386.7652296463</s:v>
      </s:c>
      <s:c r="F27" s="5">
        <s:f>IF(AND(B27&gt;0,B27&lt;'S2 inputs'!$B$12,MOD(B27,'S2 inputs'!$B$25)=0),'S2 inputs'!$B$26*(1+'S2 inputs'!$B$19)^(B27-1),0)</s:f>
        <s:v>0</s:v>
      </s:c>
      <s:c r="G27" s="5">
        <s:f>IF(A27='S2 results'!$B$5,'S2 inputs'!$B$27*(1-'S2 inputs'!$B$28),0)</s:f>
        <s:v>0</s:v>
      </s:c>
      <s:c r="H27" s="5">
        <s:f>D27-E27-F27+G27</s:f>
        <s:v>649273.3555838042</s:v>
      </s:c>
      <s:c r="I27" s="5">
        <s:f>1/(1+'S2 inputs'!$B$13)^A27</s:f>
        <s:v>0.29530277169776187</s:v>
      </s:c>
      <s:c r="J27" s="5">
        <s:f>H27*I27</s:f>
        <s:v>191732.2214934039</s:v>
      </s:c>
      <s:c r="K27" s="5">
        <s:f>K26+H27-G27</s:f>
        <s:v>4691916.640778299</s:v>
      </s:c>
      <s:c r="L27" s="5">
        <s:f>IF(B27&gt;0,'S2 inputs'!$B$2*'S2 inputs'!$B$14*'S2 inputs'!$B$15*(1+'S2 inputs'!$B$18)^(B27-1)*I27,0)</s:f>
        <s:v>547.6193627229642</s:v>
      </s:c>
      <s:c r="M27" s="11" t="str">
        <s:f>IF(AND(K27&gt;=0,K26&lt;0),A27-1-K26/(H27-G27),"")</s:f>
        <s:v/>
      </s:c>
      <s:c r="N27" s="11">
        <s:f>N26+J27-G27*I27</s:f>
        <s:v>-1214019.1579007104</s:v>
      </s:c>
      <s:c r="O27" s="11" t="str">
        <s:f>IF(AND(N27&gt;=0,N26&lt;0),A27-1-N26/((H27-G27)*I27),"")</s:f>
        <s:v/>
      </s:c>
    </s:row>
    <s:row r="28" ht="20" customHeight="1">
      <s:c r="A28" s="2" t="n">
        <s:v>26</s:v>
      </s:c>
      <s:c r="B28" s="2">
        <s:f>IF(AND(A28&gt;'S2 results'!$B$4,A28&lt;='S2 results'!$B$5),A28-'S2 results'!$B$4,0)</s:f>
        <s:v>25</s:v>
      </s:c>
      <s:c r="C28" s="5">
        <s:f>IF(B28&gt;0,'S2 inputs'!$B$16*(1+'S2 inputs'!$B$18)^(B28-1),0)</s:f>
        <s:v>965.0623496851357</s:v>
      </s:c>
      <s:c r="D28" s="5">
        <s:f>IF(B28&gt;0,'S2 inputs'!$B$2*'S2 inputs'!$B$14*'S2 inputs'!$B$15*C28,0)</s:f>
        <s:v>1134913.3232297197</s:v>
      </s:c>
      <s:c r="E28" s="5">
        <s:f>IF(B28&gt;0,('S2 inputs'!$B$20+'S2 inputs'!$B$21+'S2 inputs'!$B$2*'S2 inputs'!$B$14*('S2 inputs'!$B$22+'S2 inputs'!$B$23)+('S2 inputs'!$B$2*'S2 inputs'!$B$3*'S2 inputs'!$B$5+'S2 inputs'!$B$6)*'S2 inputs'!$B$24)*(1+'S2 inputs'!$B$19)^(B28-1),0)</s:f>
        <s:v>474971.4343603874</s:v>
      </s:c>
      <s:c r="F28" s="5">
        <s:f>IF(AND(B28&gt;0,B28&lt;'S2 inputs'!$B$12,MOD(B28,'S2 inputs'!$B$25)=0),'S2 inputs'!$B$26*(1+'S2 inputs'!$B$19)^(B28-1),0)</s:f>
        <s:v>0</s:v>
      </s:c>
      <s:c r="G28" s="5">
        <s:f>IF(A28='S2 results'!$B$5,'S2 inputs'!$B$27*(1-'S2 inputs'!$B$28),0)</s:f>
        <s:v>0</s:v>
      </s:c>
      <s:c r="H28" s="5">
        <s:f>D28-E28-F28+G28</s:f>
        <s:v>659941.8888693323</s:v>
      </s:c>
      <s:c r="I28" s="5">
        <s:f>1/(1+'S2 inputs'!$B$13)^A28</s:f>
        <s:v>0.2812407349502494</s:v>
      </s:c>
      <s:c r="J28" s="5">
        <s:f>H28*I28</s:f>
        <s:v>185602.54185006683</s:v>
      </s:c>
      <s:c r="K28" s="5">
        <s:f>K27+H28-G28</s:f>
        <s:v>5351858.529647632</s:v>
      </s:c>
      <s:c r="L28" s="5">
        <s:f>IF(B28&gt;0,'S2 inputs'!$B$2*'S2 inputs'!$B$14*'S2 inputs'!$B$15*(1+'S2 inputs'!$B$18)^(B28-1)*I28,0)</s:f>
        <s:v>531.9730952165938</s:v>
      </s:c>
      <s:c r="M28" s="11" t="str">
        <s:f>IF(AND(K28&gt;=0,K27&lt;0),A28-1-K27/(H28-G28),"")</s:f>
        <s:v/>
      </s:c>
      <s:c r="N28" s="11">
        <s:f>N27+J28-G28*I28</s:f>
        <s:v>-1028416.6160506435</s:v>
      </s:c>
      <s:c r="O28" s="11" t="str">
        <s:f>IF(AND(N28&gt;=0,N27&lt;0),A28-1-N27/((H28-G28)*I28),"")</s:f>
        <s:v/>
      </s:c>
    </s:row>
    <s:row r="29" ht="20" customHeight="1">
      <s:c r="A29" s="2" t="n">
        <s:v>27</s:v>
      </s:c>
      <s:c r="B29" s="2">
        <s:f>IF(AND(A29&gt;'S2 results'!$B$4,A29&lt;='S2 results'!$B$5),A29-'S2 results'!$B$4,0)</s:f>
        <s:v>26</s:v>
      </s:c>
      <s:c r="C29" s="5">
        <s:f>IF(B29&gt;0,'S2 inputs'!$B$16*(1+'S2 inputs'!$B$18)^(B29-1),0)</s:f>
        <s:v>984.3635966788383</s:v>
      </s:c>
      <s:c r="D29" s="5">
        <s:f>IF(B29&gt;0,'S2 inputs'!$B$2*'S2 inputs'!$B$14*'S2 inputs'!$B$15*C29,0)</s:f>
        <s:v>1157611.589694314</s:v>
      </s:c>
      <s:c r="E29" s="5">
        <s:f>IF(B29&gt;0,('S2 inputs'!$B$20+'S2 inputs'!$B$21+'S2 inputs'!$B$2*'S2 inputs'!$B$14*('S2 inputs'!$B$22+'S2 inputs'!$B$23)+('S2 inputs'!$B$2*'S2 inputs'!$B$3*'S2 inputs'!$B$5+'S2 inputs'!$B$6)*'S2 inputs'!$B$24)*(1+'S2 inputs'!$B$19)^(B29-1),0)</s:f>
        <s:v>486845.72021939704</s:v>
      </s:c>
      <s:c r="F29" s="5">
        <s:f>IF(AND(B29&gt;0,B29&lt;'S2 inputs'!$B$12,MOD(B29,'S2 inputs'!$B$25)=0),'S2 inputs'!$B$26*(1+'S2 inputs'!$B$19)^(B29-1),0)</s:f>
        <s:v>0</s:v>
      </s:c>
      <s:c r="G29" s="5">
        <s:f>IF(A29='S2 results'!$B$5,'S2 inputs'!$B$27*(1-'S2 inputs'!$B$28),0)</s:f>
        <s:v>0</s:v>
      </s:c>
      <s:c r="H29" s="5">
        <s:f>D29-E29-F29+G29</s:f>
        <s:v>670765.869474917</s:v>
      </s:c>
      <s:c r="I29" s="5">
        <s:f>1/(1+'S2 inputs'!$B$13)^A29</s:f>
        <s:v>0.26784831900023753</s:v>
      </s:c>
      <s:c r="J29" s="5">
        <s:f>H29*I29</s:f>
        <s:v>179663.51058158925</s:v>
      </s:c>
      <s:c r="K29" s="5">
        <s:f>K28+H29-G29</s:f>
        <s:v>6022624.399122548</s:v>
      </s:c>
      <s:c r="L29" s="5">
        <s:f>IF(B29&gt;0,'S2 inputs'!$B$2*'S2 inputs'!$B$14*'S2 inputs'!$B$15*(1+'S2 inputs'!$B$18)^(B29-1)*I29,0)</s:f>
        <s:v>516.7738639246911</s:v>
      </s:c>
      <s:c r="M29" s="11" t="str">
        <s:f>IF(AND(K29&gt;=0,K28&lt;0),A29-1-K28/(H29-G29),"")</s:f>
        <s:v/>
      </s:c>
      <s:c r="N29" s="11">
        <s:f>N28+J29-G29*I29</s:f>
        <s:v>-848753.1054690543</s:v>
      </s:c>
      <s:c r="O29" s="11" t="str">
        <s:f>IF(AND(N29&gt;=0,N28&lt;0),A29-1-N28/((H29-G29)*I29),"")</s:f>
        <s:v/>
      </s:c>
    </s:row>
    <s:row r="30" ht="20" customHeight="1">
      <s:c r="A30" s="2" t="n">
        <s:v>28</s:v>
      </s:c>
      <s:c r="B30" s="2">
        <s:f>IF(AND(A30&gt;'S2 results'!$B$4,A30&lt;='S2 results'!$B$5),A30-'S2 results'!$B$4,0)</s:f>
        <s:v>27</s:v>
      </s:c>
      <s:c r="C30" s="5">
        <s:f>IF(B30&gt;0,'S2 inputs'!$B$16*(1+'S2 inputs'!$B$18)^(B30-1),0)</s:f>
        <s:v>1004.0508686124151</s:v>
      </s:c>
      <s:c r="D30" s="5">
        <s:f>IF(B30&gt;0,'S2 inputs'!$B$2*'S2 inputs'!$B$14*'S2 inputs'!$B$15*C30,0)</s:f>
        <s:v>1180763.8214882002</s:v>
      </s:c>
      <s:c r="E30" s="5">
        <s:f>IF(B30&gt;0,('S2 inputs'!$B$20+'S2 inputs'!$B$21+'S2 inputs'!$B$2*'S2 inputs'!$B$14*('S2 inputs'!$B$22+'S2 inputs'!$B$23)+('S2 inputs'!$B$2*'S2 inputs'!$B$3*'S2 inputs'!$B$5+'S2 inputs'!$B$6)*'S2 inputs'!$B$24)*(1+'S2 inputs'!$B$19)^(B30-1),0)</s:f>
        <s:v>499016.86322488193</s:v>
      </s:c>
      <s:c r="F30" s="5">
        <s:f>IF(AND(B30&gt;0,B30&lt;'S2 inputs'!$B$12,MOD(B30,'S2 inputs'!$B$25)=0),'S2 inputs'!$B$26*(1+'S2 inputs'!$B$19)^(B30-1),0)</s:f>
        <s:v>0</s:v>
      </s:c>
      <s:c r="G30" s="5">
        <s:f>IF(A30='S2 results'!$B$5,'S2 inputs'!$B$27*(1-'S2 inputs'!$B$28),0)</s:f>
        <s:v>0</s:v>
      </s:c>
      <s:c r="H30" s="5">
        <s:f>D30-E30-F30+G30</s:f>
        <s:v>681746.9582633183</s:v>
      </s:c>
      <s:c r="I30" s="5">
        <s:f>1/(1+'S2 inputs'!$B$13)^A30</s:f>
        <s:v>0.2550936371430833</s:v>
      </s:c>
      <s:c r="J30" s="5">
        <s:f>H30*I30</s:f>
        <s:v>173909.31119462367</s:v>
      </s:c>
      <s:c r="K30" s="5">
        <s:f>K29+H30-G30</s:f>
        <s:v>6704371.357385866</s:v>
      </s:c>
      <s:c r="L30" s="5">
        <s:f>IF(B30&gt;0,'S2 inputs'!$B$2*'S2 inputs'!$B$14*'S2 inputs'!$B$15*(1+'S2 inputs'!$B$18)^(B30-1)*I30,0)</s:f>
        <s:v>502.00889638398553</s:v>
      </s:c>
      <s:c r="M30" s="11" t="str">
        <s:f>IF(AND(K30&gt;=0,K29&lt;0),A30-1-K29/(H30-G30),"")</s:f>
        <s:v/>
      </s:c>
      <s:c r="N30" s="11">
        <s:f>N29+J30-G30*I30</s:f>
        <s:v>-674843.7942744306</s:v>
      </s:c>
      <s:c r="O30" s="11" t="str">
        <s:f>IF(AND(N30&gt;=0,N29&lt;0),A30-1-N29/((H30-G30)*I30),"")</s:f>
        <s:v/>
      </s:c>
    </s:row>
    <s:row r="31" ht="20" customHeight="1">
      <s:c r="A31" s="2" t="n">
        <s:v>29</s:v>
      </s:c>
      <s:c r="B31" s="2">
        <s:f>IF(AND(A31&gt;'S2 results'!$B$4,A31&lt;='S2 results'!$B$5),A31-'S2 results'!$B$4,0)</s:f>
        <s:v>28</s:v>
      </s:c>
      <s:c r="C31" s="5">
        <s:f>IF(B31&gt;0,'S2 inputs'!$B$16*(1+'S2 inputs'!$B$18)^(B31-1),0)</s:f>
        <s:v>1024.1318859846635</s:v>
      </s:c>
      <s:c r="D31" s="5">
        <s:f>IF(B31&gt;0,'S2 inputs'!$B$2*'S2 inputs'!$B$14*'S2 inputs'!$B$15*C31,0)</s:f>
        <s:v>1204379.0979179642</s:v>
      </s:c>
      <s:c r="E31" s="5">
        <s:f>IF(B31&gt;0,('S2 inputs'!$B$20+'S2 inputs'!$B$21+'S2 inputs'!$B$2*'S2 inputs'!$B$14*('S2 inputs'!$B$22+'S2 inputs'!$B$23)+('S2 inputs'!$B$2*'S2 inputs'!$B$3*'S2 inputs'!$B$5+'S2 inputs'!$B$6)*'S2 inputs'!$B$24)*(1+'S2 inputs'!$B$19)^(B31-1),0)</s:f>
        <s:v>511492.28480550396</s:v>
      </s:c>
      <s:c r="F31" s="5">
        <s:f>IF(AND(B31&gt;0,B31&lt;'S2 inputs'!$B$12,MOD(B31,'S2 inputs'!$B$25)=0),'S2 inputs'!$B$26*(1+'S2 inputs'!$B$19)^(B31-1),0)</s:f>
        <s:v>0</s:v>
      </s:c>
      <s:c r="G31" s="5">
        <s:f>IF(A31='S2 results'!$B$5,'S2 inputs'!$B$27*(1-'S2 inputs'!$B$28),0)</s:f>
        <s:v>0</s:v>
      </s:c>
      <s:c r="H31" s="5">
        <s:f>D31-E31-F31+G31</s:f>
        <s:v>692886.8131124603</s:v>
      </s:c>
      <s:c r="I31" s="5">
        <s:f>1/(1+'S2 inputs'!$B$13)^A31</s:f>
        <s:v>0.24294632108865075</s:v>
      </s:c>
      <s:c r="J31" s="5">
        <s:f>H31*I31</s:f>
        <s:v>168334.30217651173</s:v>
      </s:c>
      <s:c r="K31" s="5">
        <s:f>K30+H31-G31</s:f>
        <s:v>7397258.170498326</s:v>
      </s:c>
      <s:c r="L31" s="5">
        <s:f>IF(B31&gt;0,'S2 inputs'!$B$2*'S2 inputs'!$B$14*'S2 inputs'!$B$15*(1+'S2 inputs'!$B$18)^(B31-1)*I31,0)</s:f>
        <s:v>487.6657850587288</s:v>
      </s:c>
      <s:c r="M31" s="11" t="str">
        <s:f>IF(AND(K31&gt;=0,K30&lt;0),A31-1-K30/(H31-G31),"")</s:f>
        <s:v/>
      </s:c>
      <s:c r="N31" s="11">
        <s:f>N30+J31-G31*I31</s:f>
        <s:v>-506509.4920979189</s:v>
      </s:c>
      <s:c r="O31" s="11" t="str">
        <s:f>IF(AND(N31&gt;=0,N30&lt;0),A31-1-N30/((H31-G31)*I31),"")</s:f>
        <s:v/>
      </s:c>
    </s:row>
    <s:row r="32" ht="20" customHeight="1">
      <s:c r="A32" s="2" t="n">
        <s:v>30</s:v>
      </s:c>
      <s:c r="B32" s="2">
        <s:f>IF(AND(A32&gt;'S2 results'!$B$4,A32&lt;='S2 results'!$B$5),A32-'S2 results'!$B$4,0)</s:f>
        <s:v>29</s:v>
      </s:c>
      <s:c r="C32" s="5">
        <s:f>IF(B32&gt;0,'S2 inputs'!$B$16*(1+'S2 inputs'!$B$18)^(B32-1),0)</s:f>
        <s:v>1044.6145237043568</s:v>
      </s:c>
      <s:c r="D32" s="5">
        <s:f>IF(B32&gt;0,'S2 inputs'!$B$2*'S2 inputs'!$B$14*'S2 inputs'!$B$15*C32,0)</s:f>
        <s:v>1228466.6798763236</s:v>
      </s:c>
      <s:c r="E32" s="5">
        <s:f>IF(B32&gt;0,('S2 inputs'!$B$20+'S2 inputs'!$B$21+'S2 inputs'!$B$2*'S2 inputs'!$B$14*('S2 inputs'!$B$22+'S2 inputs'!$B$23)+('S2 inputs'!$B$2*'S2 inputs'!$B$3*'S2 inputs'!$B$5+'S2 inputs'!$B$6)*'S2 inputs'!$B$24)*(1+'S2 inputs'!$B$19)^(B32-1),0)</s:f>
        <s:v>524279.5919256415</s:v>
      </s:c>
      <s:c r="F32" s="5">
        <s:f>IF(AND(B32&gt;0,B32&lt;'S2 inputs'!$B$12,MOD(B32,'S2 inputs'!$B$25)=0),'S2 inputs'!$B$26*(1+'S2 inputs'!$B$19)^(B32-1),0)</s:f>
        <s:v>0</s:v>
      </s:c>
      <s:c r="G32" s="5">
        <s:f>IF(A32='S2 results'!$B$5,'S2 inputs'!$B$27*(1-'S2 inputs'!$B$28),0)</s:f>
        <s:v>0</s:v>
      </s:c>
      <s:c r="H32" s="5">
        <s:f>D32-E32-F32+G32</s:f>
        <s:v>704187.087950682</s:v>
      </s:c>
      <s:c r="I32" s="5">
        <s:f>1/(1+'S2 inputs'!$B$13)^A32</s:f>
        <s:v>0.23137744865585785</s:v>
      </s:c>
      <s:c r="J32" s="5">
        <s:f>H32*I32</s:f>
        <s:v>162933.011786427</s:v>
      </s:c>
      <s:c r="K32" s="5">
        <s:f>K31+H32-G32</s:f>
        <s:v>8101445.258449009</s:v>
      </s:c>
      <s:c r="L32" s="5">
        <s:f>IF(B32&gt;0,'S2 inputs'!$B$2*'S2 inputs'!$B$14*'S2 inputs'!$B$15*(1+'S2 inputs'!$B$18)^(B32-1)*I32,0)</s:f>
        <s:v>473.73247691419374</s:v>
      </s:c>
      <s:c r="M32" s="11" t="str">
        <s:f>IF(AND(K32&gt;=0,K31&lt;0),A32-1-K31/(H32-G32),"")</s:f>
        <s:v/>
      </s:c>
      <s:c r="N32" s="11">
        <s:f>N31+J32-G32*I32</s:f>
        <s:v>-343576.4803114919</s:v>
      </s:c>
      <s:c r="O32" s="11" t="str">
        <s:f>IF(AND(N32&gt;=0,N31&lt;0),A32-1-N31/((H32-G32)*I32),"")</s:f>
        <s:v/>
      </s:c>
    </s:row>
    <s:row r="33" ht="20" customHeight="1">
      <s:c r="A33" s="2" t="n">
        <s:v>31</s:v>
      </s:c>
      <s:c r="B33" s="2">
        <s:f>IF(AND(A33&gt;'S2 results'!$B$4,A33&lt;='S2 results'!$B$5),A33-'S2 results'!$B$4,0)</s:f>
        <s:v>30</s:v>
      </s:c>
      <s:c r="C33" s="5">
        <s:f>IF(B33&gt;0,'S2 inputs'!$B$16*(1+'S2 inputs'!$B$18)^(B33-1),0)</s:f>
        <s:v>1065.5068141784438</s:v>
      </s:c>
      <s:c r="D33" s="5">
        <s:f>IF(B33&gt;0,'S2 inputs'!$B$2*'S2 inputs'!$B$14*'S2 inputs'!$B$15*C33,0)</s:f>
        <s:v>1253036.01347385</s:v>
      </s:c>
      <s:c r="E33" s="5">
        <s:f>IF(B33&gt;0,('S2 inputs'!$B$20+'S2 inputs'!$B$21+'S2 inputs'!$B$2*'S2 inputs'!$B$14*('S2 inputs'!$B$22+'S2 inputs'!$B$23)+('S2 inputs'!$B$2*'S2 inputs'!$B$3*'S2 inputs'!$B$5+'S2 inputs'!$B$6)*'S2 inputs'!$B$24)*(1+'S2 inputs'!$B$19)^(B33-1),0)</s:f>
        <s:v>537386.5817237825</s:v>
      </s:c>
      <s:c r="F33" s="5">
        <s:f>IF(AND(B33&gt;0,B33&lt;'S2 inputs'!$B$12,MOD(B33,'S2 inputs'!$B$25)=0),'S2 inputs'!$B$26*(1+'S2 inputs'!$B$19)^(B33-1),0)</s:f>
        <s:v>613922.2182678399</s:v>
      </s:c>
      <s:c r="G33" s="5">
        <s:f>IF(A33='S2 results'!$B$5,'S2 inputs'!$B$27*(1-'S2 inputs'!$B$28),0)</s:f>
        <s:v>0</s:v>
      </s:c>
      <s:c r="H33" s="5">
        <s:f>D33-E33-F33+G33</s:f>
        <s:v>101727.21348222764</s:v>
      </s:c>
      <s:c r="I33" s="5">
        <s:f>1/(1+'S2 inputs'!$B$13)^A33</s:f>
        <s:v>0.22035947491034083</s:v>
      </s:c>
      <s:c r="J33" s="5">
        <s:f>H33*I33</s:f>
        <s:v>22416.555347035828</s:v>
      </s:c>
      <s:c r="K33" s="5">
        <s:f>K32+H33-G33</s:f>
        <s:v>8203172.471931236</s:v>
      </s:c>
      <s:c r="L33" s="5">
        <s:f>IF(B33&gt;0,'S2 inputs'!$B$2*'S2 inputs'!$B$14*'S2 inputs'!$B$15*(1+'S2 inputs'!$B$18)^(B33-1)*I33,0)</s:f>
        <s:v>460.1972632880739</s:v>
      </s:c>
      <s:c r="M33" s="11" t="str">
        <s:f>IF(AND(K33&gt;=0,K32&lt;0),A33-1-K32/(H33-G33),"")</s:f>
        <s:v/>
      </s:c>
      <s:c r="N33" s="11">
        <s:f>N32+J33-G33*I33</s:f>
        <s:v>-321159.92496445606</s:v>
      </s:c>
      <s:c r="O33" s="11" t="str">
        <s:f>IF(AND(N33&gt;=0,N32&lt;0),A33-1-N32/((H33-G33)*I33),"")</s:f>
        <s:v/>
      </s:c>
    </s:row>
    <s:row r="34" ht="20" customHeight="1">
      <s:c r="A34" s="2" t="n">
        <s:v>32</s:v>
      </s:c>
      <s:c r="B34" s="2">
        <s:f>IF(AND(A34&gt;'S2 results'!$B$4,A34&lt;='S2 results'!$B$5),A34-'S2 results'!$B$4,0)</s:f>
        <s:v>31</s:v>
      </s:c>
      <s:c r="C34" s="5">
        <s:f>IF(B34&gt;0,'S2 inputs'!$B$16*(1+'S2 inputs'!$B$18)^(B34-1),0)</s:f>
        <s:v>1086.816950462013</s:v>
      </s:c>
      <s:c r="D34" s="5">
        <s:f>IF(B34&gt;0,'S2 inputs'!$B$2*'S2 inputs'!$B$14*'S2 inputs'!$B$15*C34,0)</s:f>
        <s:v>1278096.7337433272</s:v>
      </s:c>
      <s:c r="E34" s="5">
        <s:f>IF(B34&gt;0,('S2 inputs'!$B$20+'S2 inputs'!$B$21+'S2 inputs'!$B$2*'S2 inputs'!$B$14*('S2 inputs'!$B$22+'S2 inputs'!$B$23)+('S2 inputs'!$B$2*'S2 inputs'!$B$3*'S2 inputs'!$B$5+'S2 inputs'!$B$6)*'S2 inputs'!$B$24)*(1+'S2 inputs'!$B$19)^(B34-1),0)</s:f>
        <s:v>550821.2462668769</s:v>
      </s:c>
      <s:c r="F34" s="5">
        <s:f>IF(AND(B34&gt;0,B34&lt;'S2 inputs'!$B$12,MOD(B34,'S2 inputs'!$B$25)=0),'S2 inputs'!$B$26*(1+'S2 inputs'!$B$19)^(B34-1),0)</s:f>
        <s:v>0</s:v>
      </s:c>
      <s:c r="G34" s="5">
        <s:f>IF(A34='S2 results'!$B$5,'S2 inputs'!$B$27*(1-'S2 inputs'!$B$28),0)</s:f>
        <s:v>0</s:v>
      </s:c>
      <s:c r="H34" s="5">
        <s:f>D34-E34-F34+G34</s:f>
        <s:v>727275.4874764503</s:v>
      </s:c>
      <s:c r="I34" s="5">
        <s:f>1/(1+'S2 inputs'!$B$13)^A34</s:f>
        <s:v>0.20986616658127696</s:v>
      </s:c>
      <s:c r="J34" s="5">
        <s:f>H34*I34</s:f>
        <s:v>152630.51860521213</s:v>
      </s:c>
      <s:c r="K34" s="5">
        <s:f>K33+H34-G34</s:f>
        <s:v>8930447.959407685</s:v>
      </s:c>
      <s:c r="L34" s="5">
        <s:f>IF(B34&gt;0,'S2 inputs'!$B$2*'S2 inputs'!$B$14*'S2 inputs'!$B$15*(1+'S2 inputs'!$B$18)^(B34-1)*I34,0)</s:f>
        <s:v>447.04877005127184</s:v>
      </s:c>
      <s:c r="M34" s="11" t="str">
        <s:f>IF(AND(K34&gt;=0,K33&lt;0),A34-1-K33/(H34-G34),"")</s:f>
        <s:v/>
      </s:c>
      <s:c r="N34" s="11">
        <s:f>N33+J34-G34*I34</s:f>
        <s:v>-168529.40635924393</s:v>
      </s:c>
      <s:c r="O34" s="11" t="str">
        <s:f>IF(AND(N34&gt;=0,N33&lt;0),A34-1-N33/((H34-G34)*I34),"")</s:f>
        <s:v/>
      </s:c>
    </s:row>
    <s:row r="35" ht="20" customHeight="1">
      <s:c r="A35" s="2" t="n">
        <s:v>33</s:v>
      </s:c>
      <s:c r="B35" s="2">
        <s:f>IF(AND(A35&gt;'S2 results'!$B$4,A35&lt;='S2 results'!$B$5),A35-'S2 results'!$B$4,0)</s:f>
        <s:v>32</s:v>
      </s:c>
      <s:c r="C35" s="5">
        <s:f>IF(B35&gt;0,'S2 inputs'!$B$16*(1+'S2 inputs'!$B$18)^(B35-1),0)</s:f>
        <s:v>1108.553289471253</s:v>
      </s:c>
      <s:c r="D35" s="5">
        <s:f>IF(B35&gt;0,'S2 inputs'!$B$2*'S2 inputs'!$B$14*'S2 inputs'!$B$15*C35,0)</s:f>
        <s:v>1303658.6684181935</s:v>
      </s:c>
      <s:c r="E35" s="5">
        <s:f>IF(B35&gt;0,('S2 inputs'!$B$20+'S2 inputs'!$B$21+'S2 inputs'!$B$2*'S2 inputs'!$B$14*('S2 inputs'!$B$22+'S2 inputs'!$B$23)+('S2 inputs'!$B$2*'S2 inputs'!$B$3*'S2 inputs'!$B$5+'S2 inputs'!$B$6)*'S2 inputs'!$B$24)*(1+'S2 inputs'!$B$19)^(B35-1),0)</s:f>
        <s:v>564591.777423549</s:v>
      </s:c>
      <s:c r="F35" s="5">
        <s:f>IF(AND(B35&gt;0,B35&lt;'S2 inputs'!$B$12,MOD(B35,'S2 inputs'!$B$25)=0),'S2 inputs'!$B$26*(1+'S2 inputs'!$B$19)^(B35-1),0)</s:f>
        <s:v>0</s:v>
      </s:c>
      <s:c r="G35" s="5">
        <s:f>IF(A35='S2 results'!$B$5,'S2 inputs'!$B$27*(1-'S2 inputs'!$B$28),0)</s:f>
        <s:v>0</s:v>
      </s:c>
      <s:c r="H35" s="5">
        <s:f>D35-E35-F35+G35</s:f>
        <s:v>739066.8909946445</s:v>
      </s:c>
      <s:c r="I35" s="5">
        <s:f>1/(1+'S2 inputs'!$B$13)^A35</s:f>
        <s:v>0.19987253960121615</s:v>
      </s:c>
      <s:c r="J35" s="5">
        <s:f>H35*I35</s:f>
        <s:v>147719.1764382748</s:v>
      </s:c>
      <s:c r="K35" s="5">
        <s:f>K34+H35-G35</s:f>
        <s:v>9669514.85040233</s:v>
      </s:c>
      <s:c r="L35" s="5">
        <s:f>IF(B35&gt;0,'S2 inputs'!$B$2*'S2 inputs'!$B$14*'S2 inputs'!$B$15*(1+'S2 inputs'!$B$18)^(B35-1)*I35,0)</s:f>
        <s:v>434.27594804980686</s:v>
      </s:c>
      <s:c r="M35" s="11" t="str">
        <s:f>IF(AND(K35&gt;=0,K34&lt;0),A35-1-K34/(H35-G35),"")</s:f>
        <s:v/>
      </s:c>
      <s:c r="N35" s="11">
        <s:f>N34+J35-G35*I35</s:f>
        <s:v>-20810.22992096914</s:v>
      </s:c>
      <s:c r="O35" s="11" t="str">
        <s:f>IF(AND(N35&gt;=0,N34&lt;0),A35-1-N34/((H35-G35)*I35),"")</s:f>
        <s:v/>
      </s:c>
    </s:row>
    <s:row r="36" ht="20" customHeight="1">
      <s:c r="A36" s="2" t="n">
        <s:v>34</s:v>
      </s:c>
      <s:c r="B36" s="2">
        <s:f>IF(AND(A36&gt;'S2 results'!$B$4,A36&lt;='S2 results'!$B$5),A36-'S2 results'!$B$4,0)</s:f>
        <s:v>33</s:v>
      </s:c>
      <s:c r="C36" s="5">
        <s:f>IF(B36&gt;0,'S2 inputs'!$B$16*(1+'S2 inputs'!$B$18)^(B36-1),0)</s:f>
        <s:v>1130.724355260678</s:v>
      </s:c>
      <s:c r="D36" s="5">
        <s:f>IF(B36&gt;0,'S2 inputs'!$B$2*'S2 inputs'!$B$14*'S2 inputs'!$B$15*C36,0)</s:f>
        <s:v>1329731.8417865573</s:v>
      </s:c>
      <s:c r="E36" s="5">
        <s:f>IF(B36&gt;0,('S2 inputs'!$B$20+'S2 inputs'!$B$21+'S2 inputs'!$B$2*'S2 inputs'!$B$14*('S2 inputs'!$B$22+'S2 inputs'!$B$23)+('S2 inputs'!$B$2*'S2 inputs'!$B$3*'S2 inputs'!$B$5+'S2 inputs'!$B$6)*'S2 inputs'!$B$24)*(1+'S2 inputs'!$B$19)^(B36-1),0)</s:f>
        <s:v>578706.5718591375</s:v>
      </s:c>
      <s:c r="F36" s="5">
        <s:f>IF(AND(B36&gt;0,B36&lt;'S2 inputs'!$B$12,MOD(B36,'S2 inputs'!$B$25)=0),'S2 inputs'!$B$26*(1+'S2 inputs'!$B$19)^(B36-1),0)</s:f>
        <s:v>0</s:v>
      </s:c>
      <s:c r="G36" s="5">
        <s:f>IF(A36='S2 results'!$B$5,'S2 inputs'!$B$27*(1-'S2 inputs'!$B$28),0)</s:f>
        <s:v>0</s:v>
      </s:c>
      <s:c r="H36" s="5">
        <s:f>D36-E36-F36+G36</s:f>
        <s:v>751025.2699274198</s:v>
      </s:c>
      <s:c r="I36" s="5">
        <s:f>1/(1+'S2 inputs'!$B$13)^A36</s:f>
        <s:v>0.19035479962020585</s:v>
      </s:c>
      <s:c r="J36" s="5">
        <s:f>H36*I36</s:f>
        <s:v>142961.264766745</s:v>
      </s:c>
      <s:c r="K36" s="5">
        <s:f>K35+H36-G36</s:f>
        <s:v>10420540.120329749</s:v>
      </s:c>
      <s:c r="L36" s="5">
        <s:f>IF(B36&gt;0,'S2 inputs'!$B$2*'S2 inputs'!$B$14*'S2 inputs'!$B$15*(1+'S2 inputs'!$B$18)^(B36-1)*I36,0)</s:f>
        <s:v>421.86806381981233</s:v>
      </s:c>
      <s:c r="M36" s="11" t="str">
        <s:f>IF(AND(K36&gt;=0,K35&lt;0),A36-1-K35/(H36-G36),"")</s:f>
        <s:v/>
      </s:c>
      <s:c r="N36" s="11">
        <s:f>N35+J36-G36*I36</s:f>
        <s:v>122151.03484577587</s:v>
      </s:c>
      <s:c r="O36" s="11">
        <s:f>IF(AND(N36&gt;=0,N35&lt;0),A36-1-N35/((H36-G36)*I36),"")</s:f>
        <s:v>33.1455655135321</s:v>
      </s:c>
    </s:row>
    <s:row r="37" ht="20" customHeight="1">
      <s:c r="A37" s="2" t="n">
        <s:v>35</s:v>
      </s:c>
      <s:c r="B37" s="2">
        <s:f>IF(AND(A37&gt;'S2 results'!$B$4,A37&lt;='S2 results'!$B$5),A37-'S2 results'!$B$4,0)</s:f>
        <s:v>34</s:v>
      </s:c>
      <s:c r="C37" s="5">
        <s:f>IF(B37&gt;0,'S2 inputs'!$B$16*(1+'S2 inputs'!$B$18)^(B37-1),0)</s:f>
        <s:v>1153.3388423658919</s:v>
      </s:c>
      <s:c r="D37" s="5">
        <s:f>IF(B37&gt;0,'S2 inputs'!$B$2*'S2 inputs'!$B$14*'S2 inputs'!$B$15*C37,0)</s:f>
        <s:v>1356326.478622289</s:v>
      </s:c>
      <s:c r="E37" s="5">
        <s:f>IF(B37&gt;0,('S2 inputs'!$B$20+'S2 inputs'!$B$21+'S2 inputs'!$B$2*'S2 inputs'!$B$14*('S2 inputs'!$B$22+'S2 inputs'!$B$23)+('S2 inputs'!$B$2*'S2 inputs'!$B$3*'S2 inputs'!$B$5+'S2 inputs'!$B$6)*'S2 inputs'!$B$24)*(1+'S2 inputs'!$B$19)^(B37-1),0)</s:f>
        <s:v>593174.236155616</s:v>
      </s:c>
      <s:c r="F37" s="5">
        <s:f>IF(AND(B37&gt;0,B37&lt;'S2 inputs'!$B$12,MOD(B37,'S2 inputs'!$B$25)=0),'S2 inputs'!$B$26*(1+'S2 inputs'!$B$19)^(B37-1),0)</s:f>
        <s:v>0</s:v>
      </s:c>
      <s:c r="G37" s="5">
        <s:f>IF(A37='S2 results'!$B$5,'S2 inputs'!$B$27*(1-'S2 inputs'!$B$28),0)</s:f>
        <s:v>0</s:v>
      </s:c>
      <s:c r="H37" s="5">
        <s:f>D37-E37-F37+G37</s:f>
        <s:v>763152.2424666729</s:v>
      </s:c>
      <s:c r="I37" s="5">
        <s:f>1/(1+'S2 inputs'!$B$13)^A37</s:f>
        <s:v>0.181290285352577</s:v>
      </s:c>
      <s:c r="J37" s="5">
        <s:f>H37*I37</s:f>
        <s:v>138352.08780424215</s:v>
      </s:c>
      <s:c r="K37" s="5">
        <s:f>K36+H37-G37</s:f>
        <s:v>11183692.362796422</s:v>
      </s:c>
      <s:c r="L37" s="5">
        <s:f>IF(B37&gt;0,'S2 inputs'!$B$2*'S2 inputs'!$B$14*'S2 inputs'!$B$15*(1+'S2 inputs'!$B$18)^(B37-1)*I37,0)</s:f>
        <s:v>409.81469056781776</s:v>
      </s:c>
      <s:c r="M37" s="11" t="str">
        <s:f>IF(AND(K37&gt;=0,K36&lt;0),A37-1-K36/(H37-G37),"")</s:f>
        <s:v/>
      </s:c>
      <s:c r="N37" s="11">
        <s:f>N36+J37-G37*I37</s:f>
        <s:v>260503.12265001802</s:v>
      </s:c>
      <s:c r="O37" s="11" t="str">
        <s:f>IF(AND(N37&gt;=0,N36&lt;0),A37-1-N36/((H37-G37)*I37),"")</s:f>
        <s:v/>
      </s:c>
    </s:row>
    <s:row r="38" ht="20" customHeight="1">
      <s:c r="A38" s="2" t="n">
        <s:v>36</s:v>
      </s:c>
      <s:c r="B38" s="2">
        <s:f>IF(AND(A38&gt;'S2 results'!$B$4,A38&lt;='S2 results'!$B$5),A38-'S2 results'!$B$4,0)</s:f>
        <s:v>35</s:v>
      </s:c>
      <s:c r="C38" s="5">
        <s:f>IF(B38&gt;0,'S2 inputs'!$B$16*(1+'S2 inputs'!$B$18)^(B38-1),0)</s:f>
        <s:v>1176.4056192132095</s:v>
      </s:c>
      <s:c r="D38" s="5">
        <s:f>IF(B38&gt;0,'S2 inputs'!$B$2*'S2 inputs'!$B$14*'S2 inputs'!$B$15*C38,0)</s:f>
        <s:v>1383453.0081947343</s:v>
      </s:c>
      <s:c r="E38" s="5">
        <s:f>IF(B38&gt;0,('S2 inputs'!$B$20+'S2 inputs'!$B$21+'S2 inputs'!$B$2*'S2 inputs'!$B$14*('S2 inputs'!$B$22+'S2 inputs'!$B$23)+('S2 inputs'!$B$2*'S2 inputs'!$B$3*'S2 inputs'!$B$5+'S2 inputs'!$B$6)*'S2 inputs'!$B$24)*(1+'S2 inputs'!$B$19)^(B38-1),0)</s:f>
        <s:v>608003.5920595062</s:v>
      </s:c>
      <s:c r="F38" s="5">
        <s:f>IF(AND(B38&gt;0,B38&lt;'S2 inputs'!$B$12,MOD(B38,'S2 inputs'!$B$25)=0),'S2 inputs'!$B$26*(1+'S2 inputs'!$B$19)^(B38-1),0)</s:f>
        <s:v>0</s:v>
      </s:c>
      <s:c r="G38" s="5">
        <s:f>IF(A38='S2 results'!$B$5,'S2 inputs'!$B$27*(1-'S2 inputs'!$B$28),0)</s:f>
        <s:v>0</s:v>
      </s:c>
      <s:c r="H38" s="5">
        <s:f>D38-E38-F38+G38</s:f>
        <s:v>775449.4161352281</s:v>
      </s:c>
      <s:c r="I38" s="5">
        <s:f>1/(1+'S2 inputs'!$B$13)^A38</s:f>
        <s:v>0.1726574146215019</s:v>
      </s:c>
      <s:c r="J38" s="5">
        <s:f>H38*I38</s:f>
        <s:v>133887.09135966163</s:v>
      </s:c>
      <s:c r="K38" s="5">
        <s:f>K37+H38-G38</s:f>
        <s:v>11959141.77893165</s:v>
      </s:c>
      <s:c r="L38" s="5">
        <s:f>IF(B38&gt;0,'S2 inputs'!$B$2*'S2 inputs'!$B$14*'S2 inputs'!$B$15*(1+'S2 inputs'!$B$18)^(B38-1)*I38,0)</s:f>
        <s:v>398.10569940873717</s:v>
      </s:c>
      <s:c r="M38" s="11" t="str">
        <s:f>IF(AND(K38&gt;=0,K37&lt;0),A38-1-K37/(H38-G38),"")</s:f>
        <s:v/>
      </s:c>
      <s:c r="N38" s="11">
        <s:f>N37+J38-G38*I38</s:f>
        <s:v>394390.2140096796</s:v>
      </s:c>
      <s:c r="O38" s="11" t="str">
        <s:f>IF(AND(N38&gt;=0,N37&lt;0),A38-1-N37/((H38-G38)*I38),"")</s:f>
        <s:v/>
      </s:c>
    </s:row>
    <s:row r="39" ht="20" customHeight="1">
      <s:c r="A39" s="2" t="n">
        <s:v>37</s:v>
      </s:c>
      <s:c r="B39" s="2">
        <s:f>IF(AND(A39&gt;'S2 results'!$B$4,A39&lt;='S2 results'!$B$5),A39-'S2 results'!$B$4,0)</s:f>
        <s:v>36</s:v>
      </s:c>
      <s:c r="C39" s="5">
        <s:f>IF(B39&gt;0,'S2 inputs'!$B$16*(1+'S2 inputs'!$B$18)^(B39-1),0)</s:f>
        <s:v>1199.933731597474</s:v>
      </s:c>
      <s:c r="D39" s="5">
        <s:f>IF(B39&gt;0,'S2 inputs'!$B$2*'S2 inputs'!$B$14*'S2 inputs'!$B$15*C39,0)</s:f>
        <s:v>1411122.0683586295</s:v>
      </s:c>
      <s:c r="E39" s="5">
        <s:f>IF(B39&gt;0,('S2 inputs'!$B$20+'S2 inputs'!$B$21+'S2 inputs'!$B$2*'S2 inputs'!$B$14*('S2 inputs'!$B$22+'S2 inputs'!$B$23)+('S2 inputs'!$B$2*'S2 inputs'!$B$3*'S2 inputs'!$B$5+'S2 inputs'!$B$6)*'S2 inputs'!$B$24)*(1+'S2 inputs'!$B$19)^(B39-1),0)</s:f>
        <s:v>623203.6818609938</s:v>
      </s:c>
      <s:c r="F39" s="5">
        <s:f>IF(AND(B39&gt;0,B39&lt;'S2 inputs'!$B$12,MOD(B39,'S2 inputs'!$B$25)=0),'S2 inputs'!$B$26*(1+'S2 inputs'!$B$19)^(B39-1),0)</s:f>
        <s:v>0</s:v>
      </s:c>
      <s:c r="G39" s="5">
        <s:f>IF(A39='S2 results'!$B$5,'S2 inputs'!$B$27*(1-'S2 inputs'!$B$28),0)</s:f>
        <s:v>0</s:v>
      </s:c>
      <s:c r="H39" s="5">
        <s:f>D39-E39-F39+G39</s:f>
        <s:v>787918.3864976356</s:v>
      </s:c>
      <s:c r="I39" s="5">
        <s:f>1/(1+'S2 inputs'!$B$13)^A39</s:f>
        <s:v>0.16443563297285893</s:v>
      </s:c>
      <s:c r="J39" s="5">
        <s:f>H39*I39</s:f>
        <s:v>129561.85861469242</s:v>
      </s:c>
      <s:c r="K39" s="5">
        <s:f>K38+H39-G39</s:f>
        <s:v>12747060.165429285</s:v>
      </s:c>
      <s:c r="L39" s="5">
        <s:f>IF(B39&gt;0,'S2 inputs'!$B$2*'S2 inputs'!$B$14*'S2 inputs'!$B$15*(1+'S2 inputs'!$B$18)^(B39-1)*I39,0)</s:f>
        <s:v>386.73125085420185</s:v>
      </s:c>
      <s:c r="M39" s="11" t="str">
        <s:f>IF(AND(K39&gt;=0,K38&lt;0),A39-1-K38/(H39-G39),"")</s:f>
        <s:v/>
      </s:c>
      <s:c r="N39" s="11">
        <s:f>N38+J39-G39*I39</s:f>
        <s:v>523952.072624372</s:v>
      </s:c>
      <s:c r="O39" s="11" t="str">
        <s:f>IF(AND(N39&gt;=0,N38&lt;0),A39-1-N38/((H39-G39)*I39),"")</s:f>
        <s:v/>
      </s:c>
    </s:row>
    <s:row r="40" ht="20" customHeight="1">
      <s:c r="A40" s="2" t="n">
        <s:v>38</s:v>
      </s:c>
      <s:c r="B40" s="2">
        <s:f>IF(AND(A40&gt;'S2 results'!$B$4,A40&lt;='S2 results'!$B$5),A40-'S2 results'!$B$4,0)</s:f>
        <s:v>37</s:v>
      </s:c>
      <s:c r="C40" s="5">
        <s:f>IF(B40&gt;0,'S2 inputs'!$B$16*(1+'S2 inputs'!$B$18)^(B40-1),0)</s:f>
        <s:v>1223.9324062294233</s:v>
      </s:c>
      <s:c r="D40" s="5">
        <s:f>IF(B40&gt;0,'S2 inputs'!$B$2*'S2 inputs'!$B$14*'S2 inputs'!$B$15*C40,0)</s:f>
        <s:v>1439344.5097258019</s:v>
      </s:c>
      <s:c r="E40" s="5">
        <s:f>IF(B40&gt;0,('S2 inputs'!$B$20+'S2 inputs'!$B$21+'S2 inputs'!$B$2*'S2 inputs'!$B$14*('S2 inputs'!$B$22+'S2 inputs'!$B$23)+('S2 inputs'!$B$2*'S2 inputs'!$B$3*'S2 inputs'!$B$5+'S2 inputs'!$B$6)*'S2 inputs'!$B$24)*(1+'S2 inputs'!$B$19)^(B40-1),0)</s:f>
        <s:v>638783.7739075187</s:v>
      </s:c>
      <s:c r="F40" s="5">
        <s:f>IF(AND(B40&gt;0,B40&lt;'S2 inputs'!$B$12,MOD(B40,'S2 inputs'!$B$25)=0),'S2 inputs'!$B$26*(1+'S2 inputs'!$B$19)^(B40-1),0)</s:f>
        <s:v>0</s:v>
      </s:c>
      <s:c r="G40" s="5">
        <s:f>IF(A40='S2 results'!$B$5,'S2 inputs'!$B$27*(1-'S2 inputs'!$B$28),0)</s:f>
        <s:v>0</s:v>
      </s:c>
      <s:c r="H40" s="5">
        <s:f>D40-E40-F40+G40</s:f>
        <s:v>800560.7358182832</s:v>
      </s:c>
      <s:c r="I40" s="5">
        <s:f>1/(1+'S2 inputs'!$B$13)^A40</s:f>
        <s:v>0.15660536473605613</s:v>
      </s:c>
      <s:c r="J40" s="5">
        <s:f>H40*I40</s:f>
        <s:v>125372.10602618771</s:v>
      </s:c>
      <s:c r="K40" s="5">
        <s:f>K39+H40-G40</s:f>
        <s:v>13547620.901247568</s:v>
      </s:c>
      <s:c r="L40" s="5">
        <s:f>IF(B40&gt;0,'S2 inputs'!$B$2*'S2 inputs'!$B$14*'S2 inputs'!$B$15*(1+'S2 inputs'!$B$18)^(B40-1)*I40,0)</s:f>
        <s:v>375.6817865440818</s:v>
      </s:c>
      <s:c r="M40" s="11" t="str">
        <s:f>IF(AND(K40&gt;=0,K39&lt;0),A40-1-K39/(H40-G40),"")</s:f>
        <s:v/>
      </s:c>
      <s:c r="N40" s="11">
        <s:f>N39+J40-G40*I40</s:f>
        <s:v>649324.1786505597</s:v>
      </s:c>
      <s:c r="O40" s="11" t="str">
        <s:f>IF(AND(N40&gt;=0,N39&lt;0),A40-1-N39/((H40-G40)*I40),"")</s:f>
        <s:v/>
      </s:c>
    </s:row>
    <s:row r="41" ht="20" customHeight="1">
      <s:c r="A41" s="2" t="n">
        <s:v>39</s:v>
      </s:c>
      <s:c r="B41" s="2">
        <s:f>IF(AND(A41&gt;'S2 results'!$B$4,A41&lt;='S2 results'!$B$5),A41-'S2 results'!$B$4,0)</s:f>
        <s:v>38</s:v>
      </s:c>
      <s:c r="C41" s="5">
        <s:f>IF(B41&gt;0,'S2 inputs'!$B$16*(1+'S2 inputs'!$B$18)^(B41-1),0)</s:f>
        <s:v>1248.4110543540119</s:v>
      </s:c>
      <s:c r="D41" s="5">
        <s:f>IF(B41&gt;0,'S2 inputs'!$B$2*'S2 inputs'!$B$14*'S2 inputs'!$B$15*C41,0)</s:f>
        <s:v>1468131.399920318</s:v>
      </s:c>
      <s:c r="E41" s="5">
        <s:f>IF(B41&gt;0,('S2 inputs'!$B$20+'S2 inputs'!$B$21+'S2 inputs'!$B$2*'S2 inputs'!$B$14*('S2 inputs'!$B$22+'S2 inputs'!$B$23)+('S2 inputs'!$B$2*'S2 inputs'!$B$3*'S2 inputs'!$B$5+'S2 inputs'!$B$6)*'S2 inputs'!$B$24)*(1+'S2 inputs'!$B$19)^(B41-1),0)</s:f>
        <s:v>654753.3682552066</s:v>
      </s:c>
      <s:c r="F41" s="5">
        <s:f>IF(AND(B41&gt;0,B41&lt;'S2 inputs'!$B$12,MOD(B41,'S2 inputs'!$B$25)=0),'S2 inputs'!$B$26*(1+'S2 inputs'!$B$19)^(B41-1),0)</s:f>
        <s:v>0</s:v>
      </s:c>
      <s:c r="G41" s="5">
        <s:f>IF(A41='S2 results'!$B$5,'S2 inputs'!$B$27*(1-'S2 inputs'!$B$28),0)</s:f>
        <s:v>0</s:v>
      </s:c>
      <s:c r="H41" s="5">
        <s:f>D41-E41-F41+G41</s:f>
        <s:v>813378.0316651114</s:v>
      </s:c>
      <s:c r="I41" s="5">
        <s:f>1/(1+'S2 inputs'!$B$13)^A41</s:f>
        <s:v>0.14914796641529154</s:v>
      </s:c>
      <s:c r="J41" s="5">
        <s:f>H41*I41</s:f>
        <s:v>121313.67934972399</s:v>
      </s:c>
      <s:c r="K41" s="5">
        <s:f>K40+H41-G41</s:f>
        <s:v>14360998.93291268</s:v>
      </s:c>
      <s:c r="L41" s="5">
        <s:f>IF(B41&gt;0,'S2 inputs'!$B$2*'S2 inputs'!$B$14*'S2 inputs'!$B$15*(1+'S2 inputs'!$B$18)^(B41-1)*I41,0)</s:f>
        <s:v>364.94802121425096</s:v>
      </s:c>
      <s:c r="M41" s="11" t="str">
        <s:f>IF(AND(K41&gt;=0,K40&lt;0),A41-1-K40/(H41-G41),"")</s:f>
        <s:v/>
      </s:c>
      <s:c r="N41" s="11">
        <s:f>N40+J41-G41*I41</s:f>
        <s:v>770637.8580002837</s:v>
      </s:c>
      <s:c r="O41" s="11" t="str">
        <s:f>IF(AND(N41&gt;=0,N40&lt;0),A41-1-N40/((H41-G41)*I41),"")</s:f>
        <s:v/>
      </s:c>
    </s:row>
    <s:row r="42" ht="20" customHeight="1">
      <s:c r="A42" s="2" t="n">
        <s:v>40</s:v>
      </s:c>
      <s:c r="B42" s="2">
        <s:f>IF(AND(A42&gt;'S2 results'!$B$4,A42&lt;='S2 results'!$B$5),A42-'S2 results'!$B$4,0)</s:f>
        <s:v>39</s:v>
      </s:c>
      <s:c r="C42" s="5">
        <s:f>IF(B42&gt;0,'S2 inputs'!$B$16*(1+'S2 inputs'!$B$18)^(B42-1),0)</s:f>
        <s:v>1273.379275441092</s:v>
      </s:c>
      <s:c r="D42" s="5">
        <s:f>IF(B42&gt;0,'S2 inputs'!$B$2*'S2 inputs'!$B$14*'S2 inputs'!$B$15*C42,0)</s:f>
        <s:v>1497494.027918724</s:v>
      </s:c>
      <s:c r="E42" s="5">
        <s:f>IF(B42&gt;0,('S2 inputs'!$B$20+'S2 inputs'!$B$21+'S2 inputs'!$B$2*'S2 inputs'!$B$14*('S2 inputs'!$B$22+'S2 inputs'!$B$23)+('S2 inputs'!$B$2*'S2 inputs'!$B$3*'S2 inputs'!$B$5+'S2 inputs'!$B$6)*'S2 inputs'!$B$24)*(1+'S2 inputs'!$B$19)^(B42-1),0)</s:f>
        <s:v>671122.2024615867</s:v>
      </s:c>
      <s:c r="F42" s="5">
        <s:f>IF(AND(B42&gt;0,B42&lt;'S2 inputs'!$B$12,MOD(B42,'S2 inputs'!$B$25)=0),'S2 inputs'!$B$26*(1+'S2 inputs'!$B$19)^(B42-1),0)</s:f>
        <s:v>0</s:v>
      </s:c>
      <s:c r="G42" s="5">
        <s:f>IF(A42='S2 results'!$B$5,'S2 inputs'!$B$27*(1-'S2 inputs'!$B$28),0)</s:f>
        <s:v>0</s:v>
      </s:c>
      <s:c r="H42" s="5">
        <s:f>D42-E42-F42+G42</s:f>
        <s:v>826371.8254571374</s:v>
      </s:c>
      <s:c r="I42" s="5">
        <s:f>1/(1+'S2 inputs'!$B$13)^A42</s:f>
        <s:v>0.14204568230027764</s:v>
      </s:c>
      <s:c r="J42" s="5">
        <s:f>H42*I42</s:f>
        <s:v>117382.54978078503</s:v>
      </s:c>
      <s:c r="K42" s="5">
        <s:f>K41+H42-G42</s:f>
        <s:v>15187370.758369816</s:v>
      </s:c>
      <s:c r="L42" s="5">
        <s:f>IF(B42&gt;0,'S2 inputs'!$B$2*'S2 inputs'!$B$14*'S2 inputs'!$B$15*(1+'S2 inputs'!$B$18)^(B42-1)*I42,0)</s:f>
        <s:v>354.5209348938436</s:v>
      </s:c>
      <s:c r="M42" s="11" t="str">
        <s:f>IF(AND(K42&gt;=0,K41&lt;0),A42-1-K41/(H42-G42),"")</s:f>
        <s:v/>
      </s:c>
      <s:c r="N42" s="11">
        <s:f>N41+J42-G42*I42</s:f>
        <s:v>888020.4077810687</s:v>
      </s:c>
      <s:c r="O42" s="11" t="str">
        <s:f>IF(AND(N42&gt;=0,N41&lt;0),A42-1-N41/((H42-G42)*I42),"")</s:f>
        <s:v/>
      </s:c>
    </s:row>
    <s:row r="43" ht="20" customHeight="1">
      <s:c r="A43" s="2" t="n">
        <s:v>41</s:v>
      </s:c>
      <s:c r="B43" s="2">
        <s:f>IF(AND(A43&gt;'S2 results'!$B$4,A43&lt;='S2 results'!$B$5),A43-'S2 results'!$B$4,0)</s:f>
        <s:v>40</s:v>
      </s:c>
      <s:c r="C43" s="5">
        <s:f>IF(B43&gt;0,'S2 inputs'!$B$16*(1+'S2 inputs'!$B$18)^(B43-1),0)</s:f>
        <s:v>1298.846860949914</s:v>
      </s:c>
      <s:c r="D43" s="5">
        <s:f>IF(B43&gt;0,'S2 inputs'!$B$2*'S2 inputs'!$B$14*'S2 inputs'!$B$15*C43,0)</s:f>
        <s:v>1527443.9084770987</s:v>
      </s:c>
      <s:c r="E43" s="5">
        <s:f>IF(B43&gt;0,('S2 inputs'!$B$20+'S2 inputs'!$B$21+'S2 inputs'!$B$2*'S2 inputs'!$B$14*('S2 inputs'!$B$22+'S2 inputs'!$B$23)+('S2 inputs'!$B$2*'S2 inputs'!$B$3*'S2 inputs'!$B$5+'S2 inputs'!$B$6)*'S2 inputs'!$B$24)*(1+'S2 inputs'!$B$19)^(B43-1),0)</s:f>
        <s:v>687900.2575231262</s:v>
      </s:c>
      <s:c r="F43" s="5">
        <s:f>IF(AND(B43&gt;0,B43&lt;'S2 inputs'!$B$12,MOD(B43,'S2 inputs'!$B$25)=0),'S2 inputs'!$B$26*(1+'S2 inputs'!$B$19)^(B43-1),0)</s:f>
        <s:v>0</s:v>
      </s:c>
      <s:c r="G43" s="5">
        <s:f>IF(A43='S2 results'!$B$5,'S2 inputs'!$B$27*(1-'S2 inputs'!$B$28),0)</s:f>
        <s:v>0</s:v>
      </s:c>
      <s:c r="H43" s="5">
        <s:f>D43-E43-F43+G43</s:f>
        <s:v>839543.6509539725</s:v>
      </s:c>
      <s:c r="I43" s="5">
        <s:f>1/(1+'S2 inputs'!$B$13)^A43</s:f>
        <s:v>0.13528160219074062</s:v>
      </s:c>
      <s:c r="J43" s="5">
        <s:f>H43*I43</s:f>
        <s:v>113574.8102101173</s:v>
      </s:c>
      <s:c r="K43" s="5">
        <s:f>K42+H43-G43</s:f>
        <s:v>16026914.40932379</s:v>
      </s:c>
      <s:c r="L43" s="5">
        <s:f>IF(B43&gt;0,'S2 inputs'!$B$2*'S2 inputs'!$B$14*'S2 inputs'!$B$15*(1+'S2 inputs'!$B$18)^(B43-1)*I43,0)</s:f>
        <s:v>344.39176532544815</s:v>
      </s:c>
      <s:c r="M43" s="11" t="str">
        <s:f>IF(AND(K43&gt;=0,K42&lt;0),A43-1-K42/(H43-G43),"")</s:f>
        <s:v/>
      </s:c>
      <s:c r="N43" s="11">
        <s:f>N42+J43-G43*I43</s:f>
        <s:v>1001595.217991186</s:v>
      </s:c>
      <s:c r="O43" s="11" t="str">
        <s:f>IF(AND(N43&gt;=0,N42&lt;0),A43-1-N42/((H43-G43)*I43),"")</s:f>
        <s:v/>
      </s:c>
    </s:row>
    <s:row r="44" ht="20" customHeight="1">
      <s:c r="A44" s="2" t="n">
        <s:v>42</s:v>
      </s:c>
      <s:c r="B44" s="2">
        <s:f>IF(AND(A44&gt;'S2 results'!$B$4,A44&lt;='S2 results'!$B$5),A44-'S2 results'!$B$4,0)</s:f>
        <s:v>41</s:v>
      </s:c>
      <s:c r="C44" s="5">
        <s:f>IF(B44&gt;0,'S2 inputs'!$B$16*(1+'S2 inputs'!$B$18)^(B44-1),0)</s:f>
        <s:v>1324.8237981689122</s:v>
      </s:c>
      <s:c r="D44" s="5">
        <s:f>IF(B44&gt;0,'S2 inputs'!$B$2*'S2 inputs'!$B$14*'S2 inputs'!$B$15*C44,0)</s:f>
        <s:v>1557992.7866466406</s:v>
      </s:c>
      <s:c r="E44" s="5">
        <s:f>IF(B44&gt;0,('S2 inputs'!$B$20+'S2 inputs'!$B$21+'S2 inputs'!$B$2*'S2 inputs'!$B$14*('S2 inputs'!$B$22+'S2 inputs'!$B$23)+('S2 inputs'!$B$2*'S2 inputs'!$B$3*'S2 inputs'!$B$5+'S2 inputs'!$B$6)*'S2 inputs'!$B$24)*(1+'S2 inputs'!$B$19)^(B44-1),0)</s:f>
        <s:v>705097.7639612043</s:v>
      </s:c>
      <s:c r="F44" s="5">
        <s:f>IF(AND(B44&gt;0,B44&lt;'S2 inputs'!$B$12,MOD(B44,'S2 inputs'!$B$25)=0),'S2 inputs'!$B$26*(1+'S2 inputs'!$B$19)^(B44-1),0)</s:f>
        <s:v>0</s:v>
      </s:c>
      <s:c r="G44" s="5">
        <s:f>IF(A44='S2 results'!$B$5,'S2 inputs'!$B$27*(1-'S2 inputs'!$B$28),0)</s:f>
        <s:v>0</s:v>
      </s:c>
      <s:c r="H44" s="5">
        <s:f>D44-E44-F44+G44</s:f>
        <s:v>852895.0226854363</s:v>
      </s:c>
      <s:c r="I44" s="5">
        <s:f>1/(1+'S2 inputs'!$B$13)^A44</s:f>
        <s:v>0.12883962113403868</s:v>
      </s:c>
      <s:c r="J44" s="5">
        <s:f>H44*I44</s:f>
        <s:v>109886.67158989894</s:v>
      </s:c>
      <s:c r="K44" s="5">
        <s:f>K43+H44-G44</s:f>
        <s:v>16879809.432009224</s:v>
      </s:c>
      <s:c r="L44" s="5">
        <s:f>IF(B44&gt;0,'S2 inputs'!$B$2*'S2 inputs'!$B$14*'S2 inputs'!$B$15*(1+'S2 inputs'!$B$18)^(B44-1)*I44,0)</s:f>
        <s:v>334.5520006018639</s:v>
      </s:c>
      <s:c r="M44" s="11" t="str">
        <s:f>IF(AND(K44&gt;=0,K43&lt;0),A44-1-K43/(H44-G44),"")</s:f>
        <s:v/>
      </s:c>
      <s:c r="N44" s="11">
        <s:f>N43+J44-G44*I44</s:f>
        <s:v>1111481.889581085</s:v>
      </s:c>
      <s:c r="O44" s="11" t="str">
        <s:f>IF(AND(N44&gt;=0,N43&lt;0),A44-1-N43/((H44-G44)*I44),"")</s:f>
        <s:v/>
      </s:c>
    </s:row>
    <s:row r="45" ht="20" customHeight="1">
      <s:c r="A45" s="2" t="n">
        <s:v>43</s:v>
      </s:c>
      <s:c r="B45" s="2">
        <s:f>IF(AND(A45&gt;'S2 results'!$B$4,A45&lt;='S2 results'!$B$5),A45-'S2 results'!$B$4,0)</s:f>
        <s:v>42</s:v>
      </s:c>
      <s:c r="C45" s="5">
        <s:f>IF(B45&gt;0,'S2 inputs'!$B$16*(1+'S2 inputs'!$B$18)^(B45-1),0)</s:f>
        <s:v>1351.3202741322905</s:v>
      </s:c>
      <s:c r="D45" s="5">
        <s:f>IF(B45&gt;0,'S2 inputs'!$B$2*'S2 inputs'!$B$14*'S2 inputs'!$B$15*C45,0)</s:f>
        <s:v>1589152.6423795735</s:v>
      </s:c>
      <s:c r="E45" s="5">
        <s:f>IF(B45&gt;0,('S2 inputs'!$B$20+'S2 inputs'!$B$21+'S2 inputs'!$B$2*'S2 inputs'!$B$14*('S2 inputs'!$B$22+'S2 inputs'!$B$23)+('S2 inputs'!$B$2*'S2 inputs'!$B$3*'S2 inputs'!$B$5+'S2 inputs'!$B$6)*'S2 inputs'!$B$24)*(1+'S2 inputs'!$B$19)^(B45-1),0)</s:f>
        <s:v>722725.2080602344</s:v>
      </s:c>
      <s:c r="F45" s="5">
        <s:f>IF(AND(B45&gt;0,B45&lt;'S2 inputs'!$B$12,MOD(B45,'S2 inputs'!$B$25)=0),'S2 inputs'!$B$26*(1+'S2 inputs'!$B$19)^(B45-1),0)</s:f>
        <s:v>0</s:v>
      </s:c>
      <s:c r="G45" s="5">
        <s:f>IF(A45='S2 results'!$B$5,'S2 inputs'!$B$27*(1-'S2 inputs'!$B$28),0)</s:f>
        <s:v>0</s:v>
      </s:c>
      <s:c r="H45" s="5">
        <s:f>D45-E45-F45+G45</s:f>
        <s:v>866427.4343193391</s:v>
      </s:c>
      <s:c r="I45" s="5">
        <s:f>1/(1+'S2 inputs'!$B$13)^A45</s:f>
        <s:v>0.12270440108003682</s:v>
      </s:c>
      <s:c r="J45" s="5">
        <s:f>H45*I45</s:f>
        <s:v>106314.45940746744</s:v>
      </s:c>
      <s:c r="K45" s="5">
        <s:f>K44+H45-G45</s:f>
        <s:v>17746236.866328564</s:v>
      </s:c>
      <s:c r="L45" s="5">
        <s:f>IF(B45&gt;0,'S2 inputs'!$B$2*'S2 inputs'!$B$14*'S2 inputs'!$B$15*(1+'S2 inputs'!$B$18)^(B45-1)*I45,0)</s:f>
        <s:v>324.9933720132392</s:v>
      </s:c>
      <s:c r="M45" s="11" t="str">
        <s:f>IF(AND(K45&gt;=0,K44&lt;0),A45-1-K44/(H45-G45),"")</s:f>
        <s:v/>
      </s:c>
      <s:c r="N45" s="11">
        <s:f>N44+J45-G45*I45</s:f>
        <s:v>1217796.3489885523</s:v>
      </s:c>
      <s:c r="O45" s="11" t="str">
        <s:f>IF(AND(N45&gt;=0,N44&lt;0),A45-1-N44/((H45-G45)*I45),"")</s:f>
        <s:v/>
      </s:c>
    </s:row>
    <s:row r="46" ht="20" customHeight="1">
      <s:c r="A46" s="2" t="n">
        <s:v>44</s:v>
      </s:c>
      <s:c r="B46" s="2">
        <s:f>IF(AND(A46&gt;'S2 results'!$B$4,A46&lt;='S2 results'!$B$5),A46-'S2 results'!$B$4,0)</s:f>
        <s:v>43</s:v>
      </s:c>
      <s:c r="C46" s="5">
        <s:f>IF(B46&gt;0,'S2 inputs'!$B$16*(1+'S2 inputs'!$B$18)^(B46-1),0)</s:f>
        <s:v>1378.3466796149364</s:v>
      </s:c>
      <s:c r="D46" s="5">
        <s:f>IF(B46&gt;0,'S2 inputs'!$B$2*'S2 inputs'!$B$14*'S2 inputs'!$B$15*C46,0)</s:f>
        <s:v>1620935.6952271652</s:v>
      </s:c>
      <s:c r="E46" s="5">
        <s:f>IF(B46&gt;0,('S2 inputs'!$B$20+'S2 inputs'!$B$21+'S2 inputs'!$B$2*'S2 inputs'!$B$14*('S2 inputs'!$B$22+'S2 inputs'!$B$23)+('S2 inputs'!$B$2*'S2 inputs'!$B$3*'S2 inputs'!$B$5+'S2 inputs'!$B$6)*'S2 inputs'!$B$24)*(1+'S2 inputs'!$B$19)^(B46-1),0)</s:f>
        <s:v>740793.3382617402</s:v>
      </s:c>
      <s:c r="F46" s="5">
        <s:f>IF(AND(B46&gt;0,B46&lt;'S2 inputs'!$B$12,MOD(B46,'S2 inputs'!$B$25)=0),'S2 inputs'!$B$26*(1+'S2 inputs'!$B$19)^(B46-1),0)</s:f>
        <s:v>0</s:v>
      </s:c>
      <s:c r="G46" s="5">
        <s:f>IF(A46='S2 results'!$B$5,'S2 inputs'!$B$27*(1-'S2 inputs'!$B$28),0)</s:f>
        <s:v>0</s:v>
      </s:c>
      <s:c r="H46" s="5">
        <s:f>D46-E46-F46+G46</s:f>
        <s:v>880142.3569654251</s:v>
      </s:c>
      <s:c r="I46" s="5">
        <s:f>1/(1+'S2 inputs'!$B$13)^A46</s:f>
        <s:v>0.11686133436193982</s:v>
      </s:c>
      <s:c r="J46" s="5">
        <s:f>H46*I46</s:f>
        <s:v>102854.61026344233</s:v>
      </s:c>
      <s:c r="K46" s="5">
        <s:f>K45+H46-G46</s:f>
        <s:v>18626379.22329399</s:v>
      </s:c>
      <s:c r="L46" s="5">
        <s:f>IF(B46&gt;0,'S2 inputs'!$B$2*'S2 inputs'!$B$14*'S2 inputs'!$B$15*(1+'S2 inputs'!$B$18)^(B46-1)*I46,0)</s:f>
        <s:v>315.7078470985752</s:v>
      </s:c>
      <s:c r="M46" s="11" t="str">
        <s:f>IF(AND(K46&gt;=0,K45&lt;0),A46-1-K45/(H46-G46),"")</s:f>
        <s:v/>
      </s:c>
      <s:c r="N46" s="11">
        <s:f>N45+J46-G46*I46</s:f>
        <s:v>1320650.9592519947</s:v>
      </s:c>
      <s:c r="O46" s="11" t="str">
        <s:f>IF(AND(N46&gt;=0,N45&lt;0),A46-1-N45/((H46-G46)*I46),"")</s:f>
        <s:v/>
      </s:c>
    </s:row>
    <s:row r="47" ht="20" customHeight="1">
      <s:c r="A47" s="2" t="n">
        <s:v>45</s:v>
      </s:c>
      <s:c r="B47" s="2">
        <s:f>IF(AND(A47&gt;'S2 results'!$B$4,A47&lt;='S2 results'!$B$5),A47-'S2 results'!$B$4,0)</s:f>
        <s:v>44</s:v>
      </s:c>
      <s:c r="C47" s="5">
        <s:f>IF(B47&gt;0,'S2 inputs'!$B$16*(1+'S2 inputs'!$B$18)^(B47-1),0)</s:f>
        <s:v>1405.9136132072351</s:v>
      </s:c>
      <s:c r="D47" s="5">
        <s:f>IF(B47&gt;0,'S2 inputs'!$B$2*'S2 inputs'!$B$14*'S2 inputs'!$B$15*C47,0)</s:f>
        <s:v>1653354.4091317086</s:v>
      </s:c>
      <s:c r="E47" s="5">
        <s:f>IF(B47&gt;0,('S2 inputs'!$B$20+'S2 inputs'!$B$21+'S2 inputs'!$B$2*'S2 inputs'!$B$14*('S2 inputs'!$B$22+'S2 inputs'!$B$23)+('S2 inputs'!$B$2*'S2 inputs'!$B$3*'S2 inputs'!$B$5+'S2 inputs'!$B$6)*'S2 inputs'!$B$24)*(1+'S2 inputs'!$B$19)^(B47-1),0)</s:f>
        <s:v>759313.1717182837</s:v>
      </s:c>
      <s:c r="F47" s="5">
        <s:f>IF(AND(B47&gt;0,B47&lt;'S2 inputs'!$B$12,MOD(B47,'S2 inputs'!$B$25)=0),'S2 inputs'!$B$26*(1+'S2 inputs'!$B$19)^(B47-1),0)</s:f>
        <s:v>0</s:v>
      </s:c>
      <s:c r="G47" s="5">
        <s:f>IF(A47='S2 results'!$B$5,'S2 inputs'!$B$27*(1-'S2 inputs'!$B$28),0)</s:f>
        <s:v>0</s:v>
      </s:c>
      <s:c r="H47" s="5">
        <s:f>D47-E47-F47+G47</s:f>
        <s:v>894041.2374134249</s:v>
      </s:c>
      <s:c r="I47" s="5">
        <s:f>1/(1+'S2 inputs'!$B$13)^A47</s:f>
        <s:v>0.11129650891613317</s:v>
      </s:c>
      <s:c r="J47" s="5">
        <s:f>H47*I47</s:f>
        <s:v>99503.66855117398</s:v>
      </s:c>
      <s:c r="K47" s="5">
        <s:f>K46+H47-G47</s:f>
        <s:v>19520420.460707415</s:v>
      </s:c>
      <s:c r="L47" s="5">
        <s:f>IF(B47&gt;0,'S2 inputs'!$B$2*'S2 inputs'!$B$14*'S2 inputs'!$B$15*(1+'S2 inputs'!$B$18)^(B47-1)*I47,0)</s:f>
        <s:v>306.6876228957588</s:v>
      </s:c>
      <s:c r="M47" s="11" t="str">
        <s:f>IF(AND(K47&gt;=0,K46&lt;0),A47-1-K46/(H47-G47),"")</s:f>
        <s:v/>
      </s:c>
      <s:c r="N47" s="11">
        <s:f>N46+J47-G47*I47</s:f>
        <s:v>1420154.6278031687</s:v>
      </s:c>
      <s:c r="O47" s="11" t="str">
        <s:f>IF(AND(N47&gt;=0,N46&lt;0),A47-1-N46/((H47-G47)*I47),"")</s:f>
        <s:v/>
      </s:c>
    </s:row>
    <s:row r="48" ht="20" customHeight="1">
      <s:c r="A48" s="2" t="n">
        <s:v>46</s:v>
      </s:c>
      <s:c r="B48" s="2">
        <s:f>IF(AND(A48&gt;'S2 results'!$B$4,A48&lt;='S2 results'!$B$5),A48-'S2 results'!$B$4,0)</s:f>
        <s:v>45</s:v>
      </s:c>
      <s:c r="C48" s="5">
        <s:f>IF(B48&gt;0,'S2 inputs'!$B$16*(1+'S2 inputs'!$B$18)^(B48-1),0)</s:f>
        <s:v>1434.0318854713798</s:v>
      </s:c>
      <s:c r="D48" s="5">
        <s:f>IF(B48&gt;0,'S2 inputs'!$B$2*'S2 inputs'!$B$14*'S2 inputs'!$B$15*C48,0)</s:f>
        <s:v>1686421.4973143428</s:v>
      </s:c>
      <s:c r="E48" s="5">
        <s:f>IF(B48&gt;0,('S2 inputs'!$B$20+'S2 inputs'!$B$21+'S2 inputs'!$B$2*'S2 inputs'!$B$14*('S2 inputs'!$B$22+'S2 inputs'!$B$23)+('S2 inputs'!$B$2*'S2 inputs'!$B$3*'S2 inputs'!$B$5+'S2 inputs'!$B$6)*'S2 inputs'!$B$24)*(1+'S2 inputs'!$B$19)^(B48-1),0)</s:f>
        <s:v>778296.0010112406</s:v>
      </s:c>
      <s:c r="F48" s="5">
        <s:f>IF(AND(B48&gt;0,B48&lt;'S2 inputs'!$B$12,MOD(B48,'S2 inputs'!$B$25)=0),'S2 inputs'!$B$26*(1+'S2 inputs'!$B$19)^(B48-1),0)</s:f>
        <s:v>889142.4230897647</s:v>
      </s:c>
      <s:c r="G48" s="5">
        <s:f>IF(A48='S2 results'!$B$5,'S2 inputs'!$B$27*(1-'S2 inputs'!$B$28),0)</s:f>
        <s:v>0</s:v>
      </s:c>
      <s:c r="H48" s="5">
        <s:f>D48-E48-F48+G48</s:f>
        <s:v>18983.073213337455</s:v>
      </s:c>
      <s:c r="I48" s="5">
        <s:f>1/(1+'S2 inputs'!$B$13)^A48</s:f>
        <s:v>0.10599667515822206</s:v>
      </s:c>
      <s:c r="J48" s="5">
        <s:f>H48*I48</s:f>
        <s:v>2012.1426448988768</s:v>
      </s:c>
      <s:c r="K48" s="5">
        <s:f>K47+H48-G48</s:f>
        <s:v>19539403.533920754</s:v>
      </s:c>
      <s:c r="L48" s="5">
        <s:f>IF(B48&gt;0,'S2 inputs'!$B$2*'S2 inputs'!$B$14*'S2 inputs'!$B$15*(1+'S2 inputs'!$B$18)^(B48-1)*I48,0)</s:f>
        <s:v>297.92511938445136</s:v>
      </s:c>
      <s:c r="M48" s="11" t="str">
        <s:f>IF(AND(K48&gt;=0,K47&lt;0),A48-1-K47/(H48-G48),"")</s:f>
        <s:v/>
      </s:c>
      <s:c r="N48" s="11">
        <s:f>N47+J48-G48*I48</s:f>
        <s:v>1422166.7704480677</s:v>
      </s:c>
      <s:c r="O48" s="11" t="str">
        <s:f>IF(AND(N48&gt;=0,N47&lt;0),A48-1-N47/((H48-G48)*I48),"")</s:f>
        <s:v/>
      </s:c>
    </s:row>
    <s:row r="49" ht="20" customHeight="1">
      <s:c r="A49" s="2" t="n">
        <s:v>47</s:v>
      </s:c>
      <s:c r="B49" s="2">
        <s:f>IF(AND(A49&gt;'S2 results'!$B$4,A49&lt;='S2 results'!$B$5),A49-'S2 results'!$B$4,0)</s:f>
        <s:v>46</s:v>
      </s:c>
      <s:c r="C49" s="5">
        <s:f>IF(B49&gt;0,'S2 inputs'!$B$16*(1+'S2 inputs'!$B$18)^(B49-1),0)</s:f>
        <s:v>1462.7125231808075</s:v>
      </s:c>
      <s:c r="D49" s="5">
        <s:f>IF(B49&gt;0,'S2 inputs'!$B$2*'S2 inputs'!$B$14*'S2 inputs'!$B$15*C49,0)</s:f>
        <s:v>1720149.9272606296</s:v>
      </s:c>
      <s:c r="E49" s="5">
        <s:f>IF(B49&gt;0,('S2 inputs'!$B$20+'S2 inputs'!$B$21+'S2 inputs'!$B$2*'S2 inputs'!$B$14*('S2 inputs'!$B$22+'S2 inputs'!$B$23)+('S2 inputs'!$B$2*'S2 inputs'!$B$3*'S2 inputs'!$B$5+'S2 inputs'!$B$6)*'S2 inputs'!$B$24)*(1+'S2 inputs'!$B$19)^(B49-1),0)</s:f>
        <s:v>797753.4010365217</s:v>
      </s:c>
      <s:c r="F49" s="5">
        <s:f>IF(AND(B49&gt;0,B49&lt;'S2 inputs'!$B$12,MOD(B49,'S2 inputs'!$B$25)=0),'S2 inputs'!$B$26*(1+'S2 inputs'!$B$19)^(B49-1),0)</s:f>
        <s:v>0</s:v>
      </s:c>
      <s:c r="G49" s="5">
        <s:f>IF(A49='S2 results'!$B$5,'S2 inputs'!$B$27*(1-'S2 inputs'!$B$28),0)</s:f>
        <s:v>0</s:v>
      </s:c>
      <s:c r="H49" s="5">
        <s:f>D49-E49-F49+G49</s:f>
        <s:v>922396.526224108</s:v>
      </s:c>
      <s:c r="I49" s="5">
        <s:f>1/(1+'S2 inputs'!$B$13)^A49</s:f>
        <s:v>0.10094921443640195</s:v>
      </s:c>
      <s:c r="J49" s="5">
        <s:f>H49*I49</s:f>
        <s:v>93115.20472118973</s:v>
      </s:c>
      <s:c r="K49" s="5">
        <s:f>K48+H49-G49</s:f>
        <s:v>20461800.06014486</s:v>
      </s:c>
      <s:c r="L49" s="5">
        <s:f>IF(B49&gt;0,'S2 inputs'!$B$2*'S2 inputs'!$B$14*'S2 inputs'!$B$15*(1+'S2 inputs'!$B$18)^(B49-1)*I49,0)</s:f>
        <s:v>289.4129731163242</s:v>
      </s:c>
      <s:c r="M49" s="11" t="str">
        <s:f>IF(AND(K49&gt;=0,K48&lt;0),A49-1-K48/(H49-G49),"")</s:f>
        <s:v/>
      </s:c>
      <s:c r="N49" s="11">
        <s:f>N48+J49-G49*I49</s:f>
        <s:v>1515281.9751692575</s:v>
      </s:c>
      <s:c r="O49" s="11" t="str">
        <s:f>IF(AND(N49&gt;=0,N48&lt;0),A49-1-N48/((H49-G49)*I49),"")</s:f>
        <s:v/>
      </s:c>
    </s:row>
    <s:row r="50" ht="20" customHeight="1">
      <s:c r="A50" s="2" t="n">
        <s:v>48</s:v>
      </s:c>
      <s:c r="B50" s="2">
        <s:f>IF(AND(A50&gt;'S2 results'!$B$4,A50&lt;='S2 results'!$B$5),A50-'S2 results'!$B$4,0)</s:f>
        <s:v>47</s:v>
      </s:c>
      <s:c r="C50" s="5">
        <s:f>IF(B50&gt;0,'S2 inputs'!$B$16*(1+'S2 inputs'!$B$18)^(B50-1),0)</s:f>
        <s:v>1491.9667736444235</s:v>
      </s:c>
      <s:c r="D50" s="5">
        <s:f>IF(B50&gt;0,'S2 inputs'!$B$2*'S2 inputs'!$B$14*'S2 inputs'!$B$15*C50,0)</s:f>
        <s:v>1754552.925805842</s:v>
      </s:c>
      <s:c r="E50" s="5">
        <s:f>IF(B50&gt;0,('S2 inputs'!$B$20+'S2 inputs'!$B$21+'S2 inputs'!$B$2*'S2 inputs'!$B$14*('S2 inputs'!$B$22+'S2 inputs'!$B$23)+('S2 inputs'!$B$2*'S2 inputs'!$B$3*'S2 inputs'!$B$5+'S2 inputs'!$B$6)*'S2 inputs'!$B$24)*(1+'S2 inputs'!$B$19)^(B50-1),0)</s:f>
        <s:v>817697.2360624346</s:v>
      </s:c>
      <s:c r="F50" s="5">
        <s:f>IF(AND(B50&gt;0,B50&lt;'S2 inputs'!$B$12,MOD(B50,'S2 inputs'!$B$25)=0),'S2 inputs'!$B$26*(1+'S2 inputs'!$B$19)^(B50-1),0)</s:f>
        <s:v>0</s:v>
      </s:c>
      <s:c r="G50" s="5">
        <s:f>IF(A50='S2 results'!$B$5,'S2 inputs'!$B$27*(1-'S2 inputs'!$B$28),0)</s:f>
        <s:v>0</s:v>
      </s:c>
      <s:c r="H50" s="5">
        <s:f>D50-E50-F50+G50</s:f>
        <s:v>936855.6897434074</s:v>
      </s:c>
      <s:c r="I50" s="5">
        <s:f>1/(1+'S2 inputs'!$B$13)^A50</s:f>
        <s:v>0.09614210898704947</s:v>
      </s:c>
      <s:c r="J50" s="5">
        <s:f>H50*I50</s:f>
        <s:v>90071.28182844809</s:v>
      </s:c>
      <s:c r="K50" s="5">
        <s:f>K49+H50-G50</s:f>
        <s:v>21398655.749888267</s:v>
      </s:c>
      <s:c r="L50" s="5">
        <s:f>IF(B50&gt;0,'S2 inputs'!$B$2*'S2 inputs'!$B$14*'S2 inputs'!$B$15*(1+'S2 inputs'!$B$18)^(B50-1)*I50,0)</s:f>
        <s:v>281.1440310272863</s:v>
      </s:c>
      <s:c r="M50" s="11" t="str">
        <s:f>IF(AND(K50&gt;=0,K49&lt;0),A50-1-K49/(H50-G50),"")</s:f>
        <s:v/>
      </s:c>
      <s:c r="N50" s="11">
        <s:f>N49+J50-G50*I50</s:f>
        <s:v>1605353.2569977057</s:v>
      </s:c>
      <s:c r="O50" s="11" t="str">
        <s:f>IF(AND(N50&gt;=0,N49&lt;0),A50-1-N49/((H50-G50)*I50),"")</s:f>
        <s:v/>
      </s:c>
    </s:row>
    <s:row r="51" ht="20" customHeight="1">
      <s:c r="A51" s="2" t="n">
        <s:v>49</s:v>
      </s:c>
      <s:c r="B51" s="2">
        <s:f>IF(AND(A51&gt;'S2 results'!$B$4,A51&lt;='S2 results'!$B$5),A51-'S2 results'!$B$4,0)</s:f>
        <s:v>48</s:v>
      </s:c>
      <s:c r="C51" s="5">
        <s:f>IF(B51&gt;0,'S2 inputs'!$B$16*(1+'S2 inputs'!$B$18)^(B51-1),0)</s:f>
        <s:v>1521.806109117312</s:v>
      </s:c>
      <s:c r="D51" s="5">
        <s:f>IF(B51&gt;0,'S2 inputs'!$B$2*'S2 inputs'!$B$14*'S2 inputs'!$B$15*C51,0)</s:f>
        <s:v>1789643.9843219589</s:v>
      </s:c>
      <s:c r="E51" s="5">
        <s:f>IF(B51&gt;0,('S2 inputs'!$B$20+'S2 inputs'!$B$21+'S2 inputs'!$B$2*'S2 inputs'!$B$14*('S2 inputs'!$B$22+'S2 inputs'!$B$23)+('S2 inputs'!$B$2*'S2 inputs'!$B$3*'S2 inputs'!$B$5+'S2 inputs'!$B$6)*'S2 inputs'!$B$24)*(1+'S2 inputs'!$B$19)^(B51-1),0)</s:f>
        <s:v>838139.6669639954</s:v>
      </s:c>
      <s:c r="F51" s="5">
        <s:f>IF(AND(B51&gt;0,B51&lt;'S2 inputs'!$B$12,MOD(B51,'S2 inputs'!$B$25)=0),'S2 inputs'!$B$26*(1+'S2 inputs'!$B$19)^(B51-1),0)</s:f>
        <s:v>0</s:v>
      </s:c>
      <s:c r="G51" s="5">
        <s:f>IF(A51='S2 results'!$B$5,'S2 inputs'!$B$27*(1-'S2 inputs'!$B$28),0)</s:f>
        <s:v>0</s:v>
      </s:c>
      <s:c r="H51" s="5">
        <s:f>D51-E51-F51+G51</s:f>
        <s:v>951504.3173579634</s:v>
      </s:c>
      <s:c r="I51" s="5">
        <s:f>1/(1+'S2 inputs'!$B$13)^A51</s:f>
        <s:v>0.0915639133209995</s:v>
      </s:c>
      <s:c r="J51" s="5">
        <s:f>H51*I51</s:f>
        <s:v>87123.45883912136</s:v>
      </s:c>
      <s:c r="K51" s="5">
        <s:f>K50+H51-G51</s:f>
        <s:v>22350160.067246232</s:v>
      </s:c>
      <s:c r="L51" s="5">
        <s:f>IF(B51&gt;0,'S2 inputs'!$B$2*'S2 inputs'!$B$14*'S2 inputs'!$B$15*(1+'S2 inputs'!$B$18)^(B51-1)*I51,0)</s:f>
        <s:v>273.1113444265067</s:v>
      </s:c>
      <s:c r="M51" s="11" t="str">
        <s:f>IF(AND(K51&gt;=0,K50&lt;0),A51-1-K50/(H51-G51),"")</s:f>
        <s:v/>
      </s:c>
      <s:c r="N51" s="11">
        <s:f>N50+J51-G51*I51</s:f>
        <s:v>1692476.715836827</s:v>
      </s:c>
      <s:c r="O51" s="11" t="str">
        <s:f>IF(AND(N51&gt;=0,N50&lt;0),A51-1-N50/((H51-G51)*I51),"")</s:f>
        <s:v/>
      </s:c>
    </s:row>
    <s:row r="52" ht="20" customHeight="1">
      <s:c r="A52" s="2" t="n">
        <s:v>50</s:v>
      </s:c>
      <s:c r="B52" s="2">
        <s:f>IF(AND(A52&gt;'S2 results'!$B$4,A52&lt;='S2 results'!$B$5),A52-'S2 results'!$B$4,0)</s:f>
        <s:v>49</s:v>
      </s:c>
      <s:c r="C52" s="5">
        <s:f>IF(B52&gt;0,'S2 inputs'!$B$16*(1+'S2 inputs'!$B$18)^(B52-1),0)</s:f>
        <s:v>1552.2422312996584</s:v>
      </s:c>
      <s:c r="D52" s="5">
        <s:f>IF(B52&gt;0,'S2 inputs'!$B$2*'S2 inputs'!$B$14*'S2 inputs'!$B$15*C52,0)</s:f>
        <s:v>1825436.8640083983</s:v>
      </s:c>
      <s:c r="E52" s="5">
        <s:f>IF(B52&gt;0,('S2 inputs'!$B$20+'S2 inputs'!$B$21+'S2 inputs'!$B$2*'S2 inputs'!$B$14*('S2 inputs'!$B$22+'S2 inputs'!$B$23)+('S2 inputs'!$B$2*'S2 inputs'!$B$3*'S2 inputs'!$B$5+'S2 inputs'!$B$6)*'S2 inputs'!$B$24)*(1+'S2 inputs'!$B$19)^(B52-1),0)</s:f>
        <s:v>859093.1586380953</s:v>
      </s:c>
      <s:c r="F52" s="5">
        <s:f>IF(AND(B52&gt;0,B52&lt;'S2 inputs'!$B$12,MOD(B52,'S2 inputs'!$B$25)=0),'S2 inputs'!$B$26*(1+'S2 inputs'!$B$19)^(B52-1),0)</s:f>
        <s:v>0</s:v>
      </s:c>
      <s:c r="G52" s="5">
        <s:f>IF(A52='S2 results'!$B$5,'S2 inputs'!$B$27*(1-'S2 inputs'!$B$28),0)</s:f>
        <s:v>0</s:v>
      </s:c>
      <s:c r="H52" s="5">
        <s:f>D52-E52-F52+G52</s:f>
        <s:v>966343.705370303</s:v>
      </s:c>
      <s:c r="I52" s="5">
        <s:f>1/(1+'S2 inputs'!$B$13)^A52</s:f>
        <s:v>0.08720372697238046</s:v>
      </s:c>
      <s:c r="J52" s="5">
        <s:f>H52*I52</s:f>
        <s:v>84268.77264459037</s:v>
      </s:c>
      <s:c r="K52" s="5">
        <s:f>K51+H52-G52</s:f>
        <s:v>23316503.772616535</s:v>
      </s:c>
      <s:c r="L52" s="5">
        <s:f>IF(B52&gt;0,'S2 inputs'!$B$2*'S2 inputs'!$B$14*'S2 inputs'!$B$15*(1+'S2 inputs'!$B$18)^(B52-1)*I52,0)</s:f>
        <s:v>265.30816315717794</s:v>
      </s:c>
      <s:c r="M52" s="11" t="str">
        <s:f>IF(AND(K52&gt;=0,K51&lt;0),A52-1-K51/(H52-G52),"")</s:f>
        <s:v/>
      </s:c>
      <s:c r="N52" s="11">
        <s:f>N51+J52-G52*I52</s:f>
        <s:v>1776745.4884814173</s:v>
      </s:c>
      <s:c r="O52" s="11" t="str">
        <s:f>IF(AND(N52&gt;=0,N51&lt;0),A52-1-N51/((H52-G52)*I52),"")</s:f>
        <s:v/>
      </s:c>
    </s:row>
    <s:row r="53" ht="20" customHeight="1">
      <s:c r="A53" s="2" t="n">
        <s:v>51</s:v>
      </s:c>
      <s:c r="B53" s="2">
        <s:f>IF(AND(A53&gt;'S2 results'!$B$4,A53&lt;='S2 results'!$B$5),A53-'S2 results'!$B$4,0)</s:f>
        <s:v>50</s:v>
      </s:c>
      <s:c r="C53" s="5">
        <s:f>IF(B53&gt;0,'S2 inputs'!$B$16*(1+'S2 inputs'!$B$18)^(B53-1),0)</s:f>
        <s:v>1583.2870759256516</s:v>
      </s:c>
      <s:c r="D53" s="5">
        <s:f>IF(B53&gt;0,'S2 inputs'!$B$2*'S2 inputs'!$B$14*'S2 inputs'!$B$15*C53,0)</s:f>
        <s:v>1861945.6012885664</s:v>
      </s:c>
      <s:c r="E53" s="5">
        <s:f>IF(B53&gt;0,('S2 inputs'!$B$20+'S2 inputs'!$B$21+'S2 inputs'!$B$2*'S2 inputs'!$B$14*('S2 inputs'!$B$22+'S2 inputs'!$B$23)+('S2 inputs'!$B$2*'S2 inputs'!$B$3*'S2 inputs'!$B$5+'S2 inputs'!$B$6)*'S2 inputs'!$B$24)*(1+'S2 inputs'!$B$19)^(B53-1),0)</s:f>
        <s:v>880570.4876040475</s:v>
      </s:c>
      <s:c r="F53" s="5">
        <s:f>IF(AND(B53&gt;0,B53&lt;'S2 inputs'!$B$12,MOD(B53,'S2 inputs'!$B$25)=0),'S2 inputs'!$B$26*(1+'S2 inputs'!$B$19)^(B53-1),0)</s:f>
        <s:v>0</s:v>
      </s:c>
      <s:c r="G53" s="5">
        <s:f>IF(A53='S2 results'!$B$5,'S2 inputs'!$B$27*(1-'S2 inputs'!$B$28),0)</s:f>
        <s:v>0.0</s:v>
      </s:c>
      <s:c r="H53" s="5">
        <s:f>D53-E53-F53+G53</s:f>
        <s:v>981375.1136845188</s:v>
      </s:c>
      <s:c r="I53" s="5">
        <s:f>1/(1+'S2 inputs'!$B$13)^A53</s:f>
        <s:v>0.08305116854512425</s:v>
      </s:c>
      <s:c r="J53" s="5">
        <s:f>H53*I53</s:f>
        <s:v>81504.34997260344</s:v>
      </s:c>
      <s:c r="K53" s="5">
        <s:f>K52+H53-G53</s:f>
        <s:v>24297878.886301056</s:v>
      </s:c>
      <s:c r="L53" s="5">
        <s:f>IF(B53&gt;0,'S2 inputs'!$B$2*'S2 inputs'!$B$14*'S2 inputs'!$B$15*(1+'S2 inputs'!$B$18)^(B53-1)*I53,0)</s:f>
        <s:v>257.7279299241157</s:v>
      </s:c>
      <s:c r="M53" s="11" t="str">
        <s:f>IF(AND(K53&gt;=0,K52&lt;0),A53-1-K52/(H53-G53),"")</s:f>
        <s:v/>
      </s:c>
      <s:c r="N53" s="11">
        <s:f>N52+J53-G53*I53</s:f>
        <s:v>1858249.8384540207</s:v>
      </s:c>
      <s:c r="O53" s="11" t="str">
        <s:f>IF(AND(N53&gt;=0,N52&lt;0),A53-1-N52/((H53-G53)*I53),"")</s:f>
        <s:v/>
      </s:c>
    </s:row>
    <s:row r="54" ht="20" customHeight="1">
      <s:c r="A54" s="2" t="n">
        <s:v>52</s:v>
      </s:c>
      <s:c r="B54" s="2">
        <s:f>IF(AND(A54&gt;'S2 results'!$B$4,A54&lt;='S2 results'!$B$5),A54-'S2 results'!$B$4,0)</s:f>
        <s:v>0</s:v>
      </s:c>
      <s:c r="C54" s="5">
        <s:f>IF(B54&gt;0,'S2 inputs'!$B$16*(1+'S2 inputs'!$B$18)^(B54-1),0)</s:f>
        <s:v>0</s:v>
      </s:c>
      <s:c r="D54" s="5">
        <s:f>IF(B54&gt;0,'S2 inputs'!$B$2*'S2 inputs'!$B$14*'S2 inputs'!$B$15*C54,0)</s:f>
        <s:v>0</s:v>
      </s:c>
      <s:c r="E54" s="5">
        <s:f>IF(B54&gt;0,('S2 inputs'!$B$20+'S2 inputs'!$B$21+'S2 inputs'!$B$2*'S2 inputs'!$B$14*('S2 inputs'!$B$22+'S2 inputs'!$B$23)+('S2 inputs'!$B$2*'S2 inputs'!$B$3*'S2 inputs'!$B$5+'S2 inputs'!$B$6)*'S2 inputs'!$B$24)*(1+'S2 inputs'!$B$19)^(B54-1),0)</s:f>
        <s:v>0</s:v>
      </s:c>
      <s:c r="F54" s="5">
        <s:f>IF(AND(B54&gt;0,B54&lt;'S2 inputs'!$B$12,MOD(B54,'S2 inputs'!$B$25)=0),'S2 inputs'!$B$26*(1+'S2 inputs'!$B$19)^(B54-1),0)</s:f>
        <s:v>0</s:v>
      </s:c>
      <s:c r="G54" s="5">
        <s:f>IF(A54='S2 results'!$B$5,'S2 inputs'!$B$27*(1-'S2 inputs'!$B$28),0)</s:f>
        <s:v>0</s:v>
      </s:c>
      <s:c r="H54" s="5">
        <s:f>D54-E54-F54+G54</s:f>
        <s:v>0</s:v>
      </s:c>
      <s:c r="I54" s="5">
        <s:f>1/(1+'S2 inputs'!$B$13)^A54</s:f>
        <s:v>0.07909635099535643</s:v>
      </s:c>
      <s:c r="J54" s="5">
        <s:f>H54*I54</s:f>
        <s:v>0.0</s:v>
      </s:c>
      <s:c r="K54" s="5">
        <s:f>K53+H54-G54</s:f>
        <s:v>24297878.886301056</s:v>
      </s:c>
      <s:c r="L54" s="5">
        <s:f>IF(B54&gt;0,'S2 inputs'!$B$2*'S2 inputs'!$B$14*'S2 inputs'!$B$15*(1+'S2 inputs'!$B$18)^(B54-1)*I54,0)</s:f>
        <s:v>0</s:v>
      </s:c>
      <s:c r="M54" s="11" t="str">
        <s:f>IF(AND(K54&gt;=0,K53&lt;0),A54-1-K53/(H54-G54),"")</s:f>
        <s:v/>
      </s:c>
      <s:c r="N54" s="11">
        <s:f>N53+J54-G54*I54</s:f>
        <s:v>1858249.8384540207</s:v>
      </s:c>
      <s:c r="O54" s="11" t="str">
        <s:f>IF(AND(N54&gt;=0,N53&lt;0),A54-1-N53/((H54-G54)*I54),"")</s:f>
        <s:v/>
      </s:c>
    </s:row>
    <s:row r="55" ht="20" customHeight="1">
      <s:c r="A55" s="2" t="n">
        <s:v>53</s:v>
      </s:c>
      <s:c r="B55" s="2">
        <s:f>IF(AND(A55&gt;'S2 results'!$B$4,A55&lt;='S2 results'!$B$5),A55-'S2 results'!$B$4,0)</s:f>
        <s:v>0</s:v>
      </s:c>
      <s:c r="C55" s="5">
        <s:f>IF(B55&gt;0,'S2 inputs'!$B$16*(1+'S2 inputs'!$B$18)^(B55-1),0)</s:f>
        <s:v>0</s:v>
      </s:c>
      <s:c r="D55" s="5">
        <s:f>IF(B55&gt;0,'S2 inputs'!$B$2*'S2 inputs'!$B$14*'S2 inputs'!$B$15*C55,0)</s:f>
        <s:v>0</s:v>
      </s:c>
      <s:c r="E55" s="5">
        <s:f>IF(B55&gt;0,('S2 inputs'!$B$20+'S2 inputs'!$B$21+'S2 inputs'!$B$2*'S2 inputs'!$B$14*('S2 inputs'!$B$22+'S2 inputs'!$B$23)+('S2 inputs'!$B$2*'S2 inputs'!$B$3*'S2 inputs'!$B$5+'S2 inputs'!$B$6)*'S2 inputs'!$B$24)*(1+'S2 inputs'!$B$19)^(B55-1),0)</s:f>
        <s:v>0</s:v>
      </s:c>
      <s:c r="F55" s="5">
        <s:f>IF(AND(B55&gt;0,B55&lt;'S2 inputs'!$B$12,MOD(B55,'S2 inputs'!$B$25)=0),'S2 inputs'!$B$26*(1+'S2 inputs'!$B$19)^(B55-1),0)</s:f>
        <s:v>0</s:v>
      </s:c>
      <s:c r="G55" s="5">
        <s:f>IF(A55='S2 results'!$B$5,'S2 inputs'!$B$27*(1-'S2 inputs'!$B$28),0)</s:f>
        <s:v>0</s:v>
      </s:c>
      <s:c r="H55" s="5">
        <s:f>D55-E55-F55+G55</s:f>
        <s:v>0</s:v>
      </s:c>
      <s:c r="I55" s="5">
        <s:f>1/(1+'S2 inputs'!$B$13)^A55</s:f>
        <s:v>0.07532985809081565</s:v>
      </s:c>
      <s:c r="J55" s="5">
        <s:f>H55*I55</s:f>
        <s:v>0.0</s:v>
      </s:c>
      <s:c r="K55" s="5">
        <s:f>K54+H55-G55</s:f>
        <s:v>24297878.886301056</s:v>
      </s:c>
      <s:c r="L55" s="5">
        <s:f>IF(B55&gt;0,'S2 inputs'!$B$2*'S2 inputs'!$B$14*'S2 inputs'!$B$15*(1+'S2 inputs'!$B$18)^(B55-1)*I55,0)</s:f>
        <s:v>0</s:v>
      </s:c>
      <s:c r="M55" s="11" t="str">
        <s:f>IF(AND(K55&gt;=0,K54&lt;0),A55-1-K54/(H55-G55),"")</s:f>
        <s:v/>
      </s:c>
      <s:c r="N55" s="11">
        <s:f>N54+J55-G55*I55</s:f>
        <s:v>1858249.8384540207</s:v>
      </s:c>
      <s:c r="O55" s="11" t="str">
        <s:f>IF(AND(N55&gt;=0,N54&lt;0),A55-1-N54/((H55-G55)*I55),"")</s:f>
        <s:v/>
      </s:c>
    </s:row>
    <s:row r="56" ht="20" customHeight="1">
      <s:c r="A56" s="2" t="n">
        <s:v>54</s:v>
      </s:c>
      <s:c r="B56" s="2">
        <s:f>IF(AND(A56&gt;'S2 results'!$B$4,A56&lt;='S2 results'!$B$5),A56-'S2 results'!$B$4,0)</s:f>
        <s:v>0</s:v>
      </s:c>
      <s:c r="C56" s="5">
        <s:f>IF(B56&gt;0,'S2 inputs'!$B$16*(1+'S2 inputs'!$B$18)^(B56-1),0)</s:f>
        <s:v>0</s:v>
      </s:c>
      <s:c r="D56" s="5">
        <s:f>IF(B56&gt;0,'S2 inputs'!$B$2*'S2 inputs'!$B$14*'S2 inputs'!$B$15*C56,0)</s:f>
        <s:v>0</s:v>
      </s:c>
      <s:c r="E56" s="5">
        <s:f>IF(B56&gt;0,('S2 inputs'!$B$20+'S2 inputs'!$B$21+'S2 inputs'!$B$2*'S2 inputs'!$B$14*('S2 inputs'!$B$22+'S2 inputs'!$B$23)+('S2 inputs'!$B$2*'S2 inputs'!$B$3*'S2 inputs'!$B$5+'S2 inputs'!$B$6)*'S2 inputs'!$B$24)*(1+'S2 inputs'!$B$19)^(B56-1),0)</s:f>
        <s:v>0</s:v>
      </s:c>
      <s:c r="F56" s="5">
        <s:f>IF(AND(B56&gt;0,B56&lt;'S2 inputs'!$B$12,MOD(B56,'S2 inputs'!$B$25)=0),'S2 inputs'!$B$26*(1+'S2 inputs'!$B$19)^(B56-1),0)</s:f>
        <s:v>0</s:v>
      </s:c>
      <s:c r="G56" s="5">
        <s:f>IF(A56='S2 results'!$B$5,'S2 inputs'!$B$27*(1-'S2 inputs'!$B$28),0)</s:f>
        <s:v>0</s:v>
      </s:c>
      <s:c r="H56" s="5">
        <s:f>D56-E56-F56+G56</s:f>
        <s:v>0</s:v>
      </s:c>
      <s:c r="I56" s="5">
        <s:f>1/(1+'S2 inputs'!$B$13)^A56</s:f>
        <s:v>0.07174272199125299</s:v>
      </s:c>
      <s:c r="J56" s="5">
        <s:f>H56*I56</s:f>
        <s:v>0.0</s:v>
      </s:c>
      <s:c r="K56" s="5">
        <s:f>K55+H56-G56</s:f>
        <s:v>24297878.886301056</s:v>
      </s:c>
      <s:c r="L56" s="5">
        <s:f>IF(B56&gt;0,'S2 inputs'!$B$2*'S2 inputs'!$B$14*'S2 inputs'!$B$15*(1+'S2 inputs'!$B$18)^(B56-1)*I56,0)</s:f>
        <s:v>0</s:v>
      </s:c>
      <s:c r="M56" s="11" t="str">
        <s:f>IF(AND(K56&gt;=0,K55&lt;0),A56-1-K55/(H56-G56),"")</s:f>
        <s:v/>
      </s:c>
      <s:c r="N56" s="11">
        <s:f>N55+J56-G56*I56</s:f>
        <s:v>1858249.8384540207</s:v>
      </s:c>
      <s:c r="O56" s="11" t="str">
        <s:f>IF(AND(N56&gt;=0,N55&lt;0),A56-1-N55/((H56-G56)*I56),"")</s:f>
        <s:v/>
      </s:c>
    </s:row>
    <s:row r="57" ht="20" customHeight="1">
      <s:c r="A57" s="2" t="n">
        <s:v>55</s:v>
      </s:c>
      <s:c r="B57" s="2">
        <s:f>IF(AND(A57&gt;'S2 results'!$B$4,A57&lt;='S2 results'!$B$5),A57-'S2 results'!$B$4,0)</s:f>
        <s:v>0</s:v>
      </s:c>
      <s:c r="C57" s="5">
        <s:f>IF(B57&gt;0,'S2 inputs'!$B$16*(1+'S2 inputs'!$B$18)^(B57-1),0)</s:f>
        <s:v>0</s:v>
      </s:c>
      <s:c r="D57" s="5">
        <s:f>IF(B57&gt;0,'S2 inputs'!$B$2*'S2 inputs'!$B$14*'S2 inputs'!$B$15*C57,0)</s:f>
        <s:v>0</s:v>
      </s:c>
      <s:c r="E57" s="5">
        <s:f>IF(B57&gt;0,('S2 inputs'!$B$20+'S2 inputs'!$B$21+'S2 inputs'!$B$2*'S2 inputs'!$B$14*('S2 inputs'!$B$22+'S2 inputs'!$B$23)+('S2 inputs'!$B$2*'S2 inputs'!$B$3*'S2 inputs'!$B$5+'S2 inputs'!$B$6)*'S2 inputs'!$B$24)*(1+'S2 inputs'!$B$19)^(B57-1),0)</s:f>
        <s:v>0</s:v>
      </s:c>
      <s:c r="F57" s="5">
        <s:f>IF(AND(B57&gt;0,B57&lt;'S2 inputs'!$B$12,MOD(B57,'S2 inputs'!$B$25)=0),'S2 inputs'!$B$26*(1+'S2 inputs'!$B$19)^(B57-1),0)</s:f>
        <s:v>0</s:v>
      </s:c>
      <s:c r="G57" s="5">
        <s:f>IF(A57='S2 results'!$B$5,'S2 inputs'!$B$27*(1-'S2 inputs'!$B$28),0)</s:f>
        <s:v>0</s:v>
      </s:c>
      <s:c r="H57" s="5">
        <s:f>D57-E57-F57+G57</s:f>
        <s:v>0</s:v>
      </s:c>
      <s:c r="I57" s="5">
        <s:f>1/(1+'S2 inputs'!$B$13)^A57</s:f>
        <s:v>0.06832640189643142</s:v>
      </s:c>
      <s:c r="J57" s="5">
        <s:f>H57*I57</s:f>
        <s:v>0.0</s:v>
      </s:c>
      <s:c r="K57" s="5">
        <s:f>K56+H57-G57</s:f>
        <s:v>24297878.886301056</s:v>
      </s:c>
      <s:c r="L57" s="5">
        <s:f>IF(B57&gt;0,'S2 inputs'!$B$2*'S2 inputs'!$B$14*'S2 inputs'!$B$15*(1+'S2 inputs'!$B$18)^(B57-1)*I57,0)</s:f>
        <s:v>0</s:v>
      </s:c>
      <s:c r="M57" s="11" t="str">
        <s:f>IF(AND(K57&gt;=0,K56&lt;0),A57-1-K56/(H57-G57),"")</s:f>
        <s:v/>
      </s:c>
      <s:c r="N57" s="11">
        <s:f>N56+J57-G57*I57</s:f>
        <s:v>1858249.8384540207</s:v>
      </s:c>
      <s:c r="O57" s="11" t="str">
        <s:f>IF(AND(N57&gt;=0,N56&lt;0),A57-1-N56/((H57-G57)*I57),"")</s:f>
        <s:v/>
      </s:c>
    </s:row>
    <s:row r="58" ht="20" customHeight="1">
      <s:c r="A58" s="2" t="n">
        <s:v>56</s:v>
      </s:c>
      <s:c r="B58" s="2">
        <s:f>IF(AND(A58&gt;'S2 results'!$B$4,A58&lt;='S2 results'!$B$5),A58-'S2 results'!$B$4,0)</s:f>
        <s:v>0</s:v>
      </s:c>
      <s:c r="C58" s="5">
        <s:f>IF(B58&gt;0,'S2 inputs'!$B$16*(1+'S2 inputs'!$B$18)^(B58-1),0)</s:f>
        <s:v>0</s:v>
      </s:c>
      <s:c r="D58" s="5">
        <s:f>IF(B58&gt;0,'S2 inputs'!$B$2*'S2 inputs'!$B$14*'S2 inputs'!$B$15*C58,0)</s:f>
        <s:v>0</s:v>
      </s:c>
      <s:c r="E58" s="5">
        <s:f>IF(B58&gt;0,('S2 inputs'!$B$20+'S2 inputs'!$B$21+'S2 inputs'!$B$2*'S2 inputs'!$B$14*('S2 inputs'!$B$22+'S2 inputs'!$B$23)+('S2 inputs'!$B$2*'S2 inputs'!$B$3*'S2 inputs'!$B$5+'S2 inputs'!$B$6)*'S2 inputs'!$B$24)*(1+'S2 inputs'!$B$19)^(B58-1),0)</s:f>
        <s:v>0</s:v>
      </s:c>
      <s:c r="F58" s="5">
        <s:f>IF(AND(B58&gt;0,B58&lt;'S2 inputs'!$B$12,MOD(B58,'S2 inputs'!$B$25)=0),'S2 inputs'!$B$26*(1+'S2 inputs'!$B$19)^(B58-1),0)</s:f>
        <s:v>0</s:v>
      </s:c>
      <s:c r="G58" s="5">
        <s:f>IF(A58='S2 results'!$B$5,'S2 inputs'!$B$27*(1-'S2 inputs'!$B$28),0)</s:f>
        <s:v>0</s:v>
      </s:c>
      <s:c r="H58" s="5">
        <s:f>D58-E58-F58+G58</s:f>
        <s:v>0</s:v>
      </s:c>
      <s:c r="I58" s="5">
        <s:f>1/(1+'S2 inputs'!$B$13)^A58</s:f>
        <s:v>0.06507276371088706</s:v>
      </s:c>
      <s:c r="J58" s="5">
        <s:f>H58*I58</s:f>
        <s:v>0.0</s:v>
      </s:c>
      <s:c r="K58" s="5">
        <s:f>K57+H58-G58</s:f>
        <s:v>24297878.886301056</s:v>
      </s:c>
      <s:c r="L58" s="5">
        <s:f>IF(B58&gt;0,'S2 inputs'!$B$2*'S2 inputs'!$B$14*'S2 inputs'!$B$15*(1+'S2 inputs'!$B$18)^(B58-1)*I58,0)</s:f>
        <s:v>0</s:v>
      </s:c>
      <s:c r="M58" s="11" t="str">
        <s:f>IF(AND(K58&gt;=0,K57&lt;0),A58-1-K57/(H58-G58),"")</s:f>
        <s:v/>
      </s:c>
      <s:c r="N58" s="11">
        <s:f>N57+J58-G58*I58</s:f>
        <s:v>1858249.8384540207</s:v>
      </s:c>
      <s:c r="O58" s="11" t="str">
        <s:f>IF(AND(N58&gt;=0,N57&lt;0),A58-1-N57/((H58-G58)*I58),"")</s:f>
        <s:v/>
      </s:c>
    </s:row>
    <s:row r="59" ht="20" customHeight="1">
      <s:c r="A59" s="2" t="n">
        <s:v>57</s:v>
      </s:c>
      <s:c r="B59" s="2">
        <s:f>IF(AND(A59&gt;'S2 results'!$B$4,A59&lt;='S2 results'!$B$5),A59-'S2 results'!$B$4,0)</s:f>
        <s:v>0</s:v>
      </s:c>
      <s:c r="C59" s="5">
        <s:f>IF(B59&gt;0,'S2 inputs'!$B$16*(1+'S2 inputs'!$B$18)^(B59-1),0)</s:f>
        <s:v>0</s:v>
      </s:c>
      <s:c r="D59" s="5">
        <s:f>IF(B59&gt;0,'S2 inputs'!$B$2*'S2 inputs'!$B$14*'S2 inputs'!$B$15*C59,0)</s:f>
        <s:v>0</s:v>
      </s:c>
      <s:c r="E59" s="5">
        <s:f>IF(B59&gt;0,('S2 inputs'!$B$20+'S2 inputs'!$B$21+'S2 inputs'!$B$2*'S2 inputs'!$B$14*('S2 inputs'!$B$22+'S2 inputs'!$B$23)+('S2 inputs'!$B$2*'S2 inputs'!$B$3*'S2 inputs'!$B$5+'S2 inputs'!$B$6)*'S2 inputs'!$B$24)*(1+'S2 inputs'!$B$19)^(B59-1),0)</s:f>
        <s:v>0</s:v>
      </s:c>
      <s:c r="F59" s="5">
        <s:f>IF(AND(B59&gt;0,B59&lt;'S2 inputs'!$B$12,MOD(B59,'S2 inputs'!$B$25)=0),'S2 inputs'!$B$26*(1+'S2 inputs'!$B$19)^(B59-1),0)</s:f>
        <s:v>0</s:v>
      </s:c>
      <s:c r="G59" s="5">
        <s:f>IF(A59='S2 results'!$B$5,'S2 inputs'!$B$27*(1-'S2 inputs'!$B$28),0)</s:f>
        <s:v>0</s:v>
      </s:c>
      <s:c r="H59" s="5">
        <s:f>D59-E59-F59+G59</s:f>
        <s:v>0</s:v>
      </s:c>
      <s:c r="I59" s="5">
        <s:f>1/(1+'S2 inputs'!$B$13)^A59</s:f>
        <s:v>0.0619740606770353</s:v>
      </s:c>
      <s:c r="J59" s="5">
        <s:f>H59*I59</s:f>
        <s:v>0.0</s:v>
      </s:c>
      <s:c r="K59" s="5">
        <s:f>K58+H59-G59</s:f>
        <s:v>24297878.886301056</s:v>
      </s:c>
      <s:c r="L59" s="5">
        <s:f>IF(B59&gt;0,'S2 inputs'!$B$2*'S2 inputs'!$B$14*'S2 inputs'!$B$15*(1+'S2 inputs'!$B$18)^(B59-1)*I59,0)</s:f>
        <s:v>0</s:v>
      </s:c>
      <s:c r="M59" s="11" t="str">
        <s:f>IF(AND(K59&gt;=0,K58&lt;0),A59-1-K58/(H59-G59),"")</s:f>
        <s:v/>
      </s:c>
      <s:c r="N59" s="11">
        <s:f>N58+J59-G59*I59</s:f>
        <s:v>1858249.8384540207</s:v>
      </s:c>
      <s:c r="O59" s="11" t="str">
        <s:f>IF(AND(N59&gt;=0,N58&lt;0),A59-1-N58/((H59-G59)*I59),"")</s:f>
        <s:v/>
      </s:c>
    </s:row>
    <s:row r="60" ht="20" customHeight="1">
      <s:c r="A60" s="2" t="n">
        <s:v>58</s:v>
      </s:c>
      <s:c r="B60" s="2">
        <s:f>IF(AND(A60&gt;'S2 results'!$B$4,A60&lt;='S2 results'!$B$5),A60-'S2 results'!$B$4,0)</s:f>
        <s:v>0</s:v>
      </s:c>
      <s:c r="C60" s="5">
        <s:f>IF(B60&gt;0,'S2 inputs'!$B$16*(1+'S2 inputs'!$B$18)^(B60-1),0)</s:f>
        <s:v>0</s:v>
      </s:c>
      <s:c r="D60" s="5">
        <s:f>IF(B60&gt;0,'S2 inputs'!$B$2*'S2 inputs'!$B$14*'S2 inputs'!$B$15*C60,0)</s:f>
        <s:v>0</s:v>
      </s:c>
      <s:c r="E60" s="5">
        <s:f>IF(B60&gt;0,('S2 inputs'!$B$20+'S2 inputs'!$B$21+'S2 inputs'!$B$2*'S2 inputs'!$B$14*('S2 inputs'!$B$22+'S2 inputs'!$B$23)+('S2 inputs'!$B$2*'S2 inputs'!$B$3*'S2 inputs'!$B$5+'S2 inputs'!$B$6)*'S2 inputs'!$B$24)*(1+'S2 inputs'!$B$19)^(B60-1),0)</s:f>
        <s:v>0</s:v>
      </s:c>
      <s:c r="F60" s="5">
        <s:f>IF(AND(B60&gt;0,B60&lt;'S2 inputs'!$B$12,MOD(B60,'S2 inputs'!$B$25)=0),'S2 inputs'!$B$26*(1+'S2 inputs'!$B$19)^(B60-1),0)</s:f>
        <s:v>0</s:v>
      </s:c>
      <s:c r="G60" s="5">
        <s:f>IF(A60='S2 results'!$B$5,'S2 inputs'!$B$27*(1-'S2 inputs'!$B$28),0)</s:f>
        <s:v>0</s:v>
      </s:c>
      <s:c r="H60" s="5">
        <s:f>D60-E60-F60+G60</s:f>
        <s:v>0</s:v>
      </s:c>
      <s:c r="I60" s="5">
        <s:f>1/(1+'S2 inputs'!$B$13)^A60</s:f>
        <s:v>0.0590229149305098</s:v>
      </s:c>
      <s:c r="J60" s="5">
        <s:f>H60*I60</s:f>
        <s:v>0.0</s:v>
      </s:c>
      <s:c r="K60" s="5">
        <s:f>K59+H60-G60</s:f>
        <s:v>24297878.886301056</s:v>
      </s:c>
      <s:c r="L60" s="5">
        <s:f>IF(B60&gt;0,'S2 inputs'!$B$2*'S2 inputs'!$B$14*'S2 inputs'!$B$15*(1+'S2 inputs'!$B$18)^(B60-1)*I60,0)</s:f>
        <s:v>0</s:v>
      </s:c>
      <s:c r="M60" s="11" t="str">
        <s:f>IF(AND(K60&gt;=0,K59&lt;0),A60-1-K59/(H60-G60),"")</s:f>
        <s:v/>
      </s:c>
      <s:c r="N60" s="11">
        <s:f>N59+J60-G60*I60</s:f>
        <s:v>1858249.8384540207</s:v>
      </s:c>
      <s:c r="O60" s="11" t="str">
        <s:f>IF(AND(N60&gt;=0,N59&lt;0),A60-1-N59/((H60-G60)*I60),"")</s:f>
        <s:v/>
      </s:c>
    </s:row>
    <s:row r="61" ht="20" customHeight="1">
      <s:c r="A61" s="2" t="n">
        <s:v>59</s:v>
      </s:c>
      <s:c r="B61" s="2">
        <s:f>IF(AND(A61&gt;'S2 results'!$B$4,A61&lt;='S2 results'!$B$5),A61-'S2 results'!$B$4,0)</s:f>
        <s:v>0</s:v>
      </s:c>
      <s:c r="C61" s="5">
        <s:f>IF(B61&gt;0,'S2 inputs'!$B$16*(1+'S2 inputs'!$B$18)^(B61-1),0)</s:f>
        <s:v>0</s:v>
      </s:c>
      <s:c r="D61" s="5">
        <s:f>IF(B61&gt;0,'S2 inputs'!$B$2*'S2 inputs'!$B$14*'S2 inputs'!$B$15*C61,0)</s:f>
        <s:v>0</s:v>
      </s:c>
      <s:c r="E61" s="5">
        <s:f>IF(B61&gt;0,('S2 inputs'!$B$20+'S2 inputs'!$B$21+'S2 inputs'!$B$2*'S2 inputs'!$B$14*('S2 inputs'!$B$22+'S2 inputs'!$B$23)+('S2 inputs'!$B$2*'S2 inputs'!$B$3*'S2 inputs'!$B$5+'S2 inputs'!$B$6)*'S2 inputs'!$B$24)*(1+'S2 inputs'!$B$19)^(B61-1),0)</s:f>
        <s:v>0</s:v>
      </s:c>
      <s:c r="F61" s="5">
        <s:f>IF(AND(B61&gt;0,B61&lt;'S2 inputs'!$B$12,MOD(B61,'S2 inputs'!$B$25)=0),'S2 inputs'!$B$26*(1+'S2 inputs'!$B$19)^(B61-1),0)</s:f>
        <s:v>0</s:v>
      </s:c>
      <s:c r="G61" s="5">
        <s:f>IF(A61='S2 results'!$B$5,'S2 inputs'!$B$27*(1-'S2 inputs'!$B$28),0)</s:f>
        <s:v>0</s:v>
      </s:c>
      <s:c r="H61" s="5">
        <s:f>D61-E61-F61+G61</s:f>
        <s:v>0</s:v>
      </s:c>
      <s:c r="I61" s="5">
        <s:f>1/(1+'S2 inputs'!$B$13)^A61</s:f>
        <s:v>0.056212299933818856</s:v>
      </s:c>
      <s:c r="J61" s="5">
        <s:f>H61*I61</s:f>
        <s:v>0.0</s:v>
      </s:c>
      <s:c r="K61" s="5">
        <s:f>K60+H61-G61</s:f>
        <s:v>24297878.886301056</s:v>
      </s:c>
      <s:c r="L61" s="5">
        <s:f>IF(B61&gt;0,'S2 inputs'!$B$2*'S2 inputs'!$B$14*'S2 inputs'!$B$15*(1+'S2 inputs'!$B$18)^(B61-1)*I61,0)</s:f>
        <s:v>0</s:v>
      </s:c>
      <s:c r="M61" s="11" t="str">
        <s:f>IF(AND(K61&gt;=0,K60&lt;0),A61-1-K60/(H61-G61),"")</s:f>
        <s:v/>
      </s:c>
      <s:c r="N61" s="11">
        <s:f>N60+J61-G61*I61</s:f>
        <s:v>1858249.8384540207</s:v>
      </s:c>
      <s:c r="O61" s="11" t="str">
        <s:f>IF(AND(N61&gt;=0,N60&lt;0),A61-1-N60/((H61-G61)*I61),"")</s:f>
        <s:v/>
      </s:c>
    </s:row>
    <s:row r="62" ht="20" customHeight="1">
      <s:c r="A62" s="2" t="n">
        <s:v>60</s:v>
      </s:c>
      <s:c r="B62" s="2">
        <s:f>IF(AND(A62&gt;'S2 results'!$B$4,A62&lt;='S2 results'!$B$5),A62-'S2 results'!$B$4,0)</s:f>
        <s:v>0</s:v>
      </s:c>
      <s:c r="C62" s="5">
        <s:f>IF(B62&gt;0,'S2 inputs'!$B$16*(1+'S2 inputs'!$B$18)^(B62-1),0)</s:f>
        <s:v>0</s:v>
      </s:c>
      <s:c r="D62" s="5">
        <s:f>IF(B62&gt;0,'S2 inputs'!$B$2*'S2 inputs'!$B$14*'S2 inputs'!$B$15*C62,0)</s:f>
        <s:v>0</s:v>
      </s:c>
      <s:c r="E62" s="5">
        <s:f>IF(B62&gt;0,('S2 inputs'!$B$20+'S2 inputs'!$B$21+'S2 inputs'!$B$2*'S2 inputs'!$B$14*('S2 inputs'!$B$22+'S2 inputs'!$B$23)+('S2 inputs'!$B$2*'S2 inputs'!$B$3*'S2 inputs'!$B$5+'S2 inputs'!$B$6)*'S2 inputs'!$B$24)*(1+'S2 inputs'!$B$19)^(B62-1),0)</s:f>
        <s:v>0</s:v>
      </s:c>
      <s:c r="F62" s="5">
        <s:f>IF(AND(B62&gt;0,B62&lt;'S2 inputs'!$B$12,MOD(B62,'S2 inputs'!$B$25)=0),'S2 inputs'!$B$26*(1+'S2 inputs'!$B$19)^(B62-1),0)</s:f>
        <s:v>0</s:v>
      </s:c>
      <s:c r="G62" s="5">
        <s:f>IF(A62='S2 results'!$B$5,'S2 inputs'!$B$27*(1-'S2 inputs'!$B$28),0)</s:f>
        <s:v>0</s:v>
      </s:c>
      <s:c r="H62" s="5">
        <s:f>D62-E62-F62+G62</s:f>
        <s:v>0</s:v>
      </s:c>
      <s:c r="I62" s="5">
        <s:f>1/(1+'S2 inputs'!$B$13)^A62</s:f>
        <s:v>0.05353552374649414</s:v>
      </s:c>
      <s:c r="J62" s="5">
        <s:f>H62*I62</s:f>
        <s:v>0.0</s:v>
      </s:c>
      <s:c r="K62" s="5">
        <s:f>K61+H62-G62</s:f>
        <s:v>24297878.886301056</s:v>
      </s:c>
      <s:c r="L62" s="5">
        <s:f>IF(B62&gt;0,'S2 inputs'!$B$2*'S2 inputs'!$B$14*'S2 inputs'!$B$15*(1+'S2 inputs'!$B$18)^(B62-1)*I62,0)</s:f>
        <s:v>0</s:v>
      </s:c>
      <s:c r="M62" s="11" t="str">
        <s:f>IF(AND(K62&gt;=0,K61&lt;0),A62-1-K61/(H62-G62),"")</s:f>
        <s:v/>
      </s:c>
      <s:c r="N62" s="11">
        <s:f>N61+J62-G62*I62</s:f>
        <s:v>1858249.8384540207</s:v>
      </s:c>
      <s:c r="O62" s="11" t="str">
        <s:f>IF(AND(N62&gt;=0,N61&lt;0),A62-1-N61/((H62-G62)*I62),"")</s:f>
        <s:v/>
      </s:c>
    </s:row>
  </s:sheetData>
  <s:pageMargins left="0.75" right="0.75" top="1" bottom="1" header="0.5" footer="0.5"/>
</s:worksheet>
</file>

<file path=xl/worksheets/sheet15.xml><?xml version="1.0" encoding="utf-8"?>
<s:worksheet xmlns:s="http://schemas.openxmlformats.org/spreadsheetml/2006/main">
  <s:sheetPr>
    <s:outlinePr summaryBelow="1" summaryRight="1"/>
    <s:pageSetUpPr/>
  </s:sheetPr>
  <s:dimension ref="A1:D28"/>
  <s:sheetViews>
    <s:sheetView workbookViewId="0">
      <s:selection activeCell="A1" sqref="A1"/>
    </s:sheetView>
  </s:sheetViews>
  <s:sheetFormatPr baseColWidth="8" defaultRowHeight="15" outlineLevelCol="0"/>
  <s:cols>
    <s:col width="39" customWidth="1" min="1" max="1"/>
    <s:col width="27"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Input</s:t>
        </s:is>
      </s:c>
      <s:c r="B1" s="1" t="inlineStr">
        <s:is>
          <s:t>Value</s:t>
        </s:is>
      </s:c>
      <s:c r="C1" s="1" t="inlineStr">
        <s:is>
          <s:t>Unit</s:t>
        </s:is>
      </s:c>
      <s:c r="D1" s="1" t="inlineStr">
        <s:is>
          <s:t>Basis / assumption</s:t>
        </s:is>
      </s:c>
    </s:row>
    <s:row r="2" ht="32" customHeight="1">
      <s:c r="A2" s="2" t="inlineStr">
        <s:is>
          <s:t>Rooms</s:t>
        </s:is>
      </s:c>
      <s:c r="B2" s="3">
        <s:f>Inputs!B2</s:f>
        <s:v>100</s:v>
      </s:c>
      <s:c r="C2" s="2" t="inlineStr">
        <s:is>
          <s:t>rooms</s:t>
        </s:is>
      </s:c>
      <s:c r="D2" s="2" t="inlineStr">
        <s:is>
          <s:t>Illustrative project; minimum capacity constraint</s:t>
        </s:is>
      </s:c>
    </s:row>
    <s:row r="3" ht="32" customHeight="1">
      <s:c r="A3" s="2" t="inlineStr">
        <s:is>
          <s:t>Gross area per room</s:t>
        </s:is>
      </s:c>
      <s:c r="B3" s="3">
        <s:f>Inputs!B3</s:f>
        <s:v>30</s:v>
      </s:c>
      <s:c r="C3" s="2" t="inlineStr">
        <s:is>
          <s:t>m²/room</s:t>
        </s:is>
      </s:c>
      <s:c r="D3" s="2" t="inlineStr">
        <s:is>
          <s:t>Includes allocation of common areas</s:t>
        </s:is>
      </s:c>
    </s:row>
    <s:row r="4" ht="32" customHeight="1">
      <s:c r="A4" s="2" t="inlineStr">
        <s:is>
          <s:t>Land / acquisition</s:t>
        </s:is>
      </s:c>
      <s:c r="B4" s="3">
        <s:f>Inputs!B4</s:f>
        <s:v>1200000</s:v>
      </s:c>
      <s:c r="C4" s="2" t="inlineStr">
        <s:is>
          <s:t>EUR</s:t>
        </s:is>
      </s:c>
      <s:c r="D4" s="2" t="inlineStr">
        <s:is>
          <s:t>Site-specific quotation needed</s:t>
        </s:is>
      </s:c>
    </s:row>
    <s:row r="5" ht="32" customHeight="1">
      <s:c r="A5" s="2" t="inlineStr">
        <s:is>
          <s:t>Construction cost</s:t>
        </s:is>
      </s:c>
      <s:c r="B5" s="3">
        <s:f>Inputs!B5*Scenarios!B4</s:f>
        <s:v>2400.0</s:v>
      </s:c>
      <s:c r="C5" s="2" t="inlineStr">
        <s:is>
          <s:t>EUR/m²</s:t>
        </s:is>
      </s:c>
      <s:c r="D5" s="2" t="inlineStr">
        <s:is>
          <s:t>Illustrative; VAT inclusion must be checked</s:t>
        </s:is>
      </s:c>
    </s:row>
    <s:row r="6" ht="32" customHeight="1">
      <s:c r="A6" s="2" t="inlineStr">
        <s:is>
          <s:t>Facilities</s:t>
        </s:is>
      </s:c>
      <s:c r="B6" s="3">
        <s:f>Inputs!B6</s:f>
        <s:v>400000</s:v>
      </s:c>
      <s:c r="C6" s="2" t="inlineStr">
        <s:is>
          <s:t>EUR</s:t>
        </s:is>
      </s:c>
      <s:c r="D6" s="2" t="inlineStr">
        <s:is>
          <s:t>Furniture and common equipment</s:t>
        </s:is>
      </s:c>
    </s:row>
    <s:row r="7" ht="32" customHeight="1">
      <s:c r="A7" s="2" t="inlineStr">
        <s:is>
          <s:t>Professional fees</s:t>
        </s:is>
      </s:c>
      <s:c r="B7" s="4">
        <s:f>Inputs!B7</s:f>
        <s:v>0.1</s:v>
      </s:c>
      <s:c r="C7" s="2" t="inlineStr">
        <s:is>
          <s:t>share</s:t>
        </s:is>
      </s:c>
      <s:c r="D7" s="2" t="inlineStr">
        <s:is>
          <s:t>Of construction + facilities</s:t>
        </s:is>
      </s:c>
    </s:row>
    <s:row r="8" ht="32" customHeight="1">
      <s:c r="A8" s="2" t="inlineStr">
        <s:is>
          <s:t>Force-majeure contingency</s:t>
        </s:is>
      </s:c>
      <s:c r="B8" s="4">
        <s:f>Inputs!B8</s:f>
        <s:v>0.1</s:v>
      </s:c>
      <s:c r="C8" s="2" t="inlineStr">
        <s:is>
          <s:t>share</s:t>
        </s:is>
      </s:c>
      <s:c r="D8" s="2" t="inlineStr">
        <s:is>
          <s:t>Of construction + facilities + fees</s:t>
        </s:is>
      </s:c>
    </s:row>
    <s:row r="9" ht="32" customHeight="1">
      <s:c r="A9" s="2" t="inlineStr">
        <s:is>
          <s:t>Compliance / audit cost</s:t>
        </s:is>
      </s:c>
      <s:c r="B9" s="3">
        <s:f>Inputs!B9</s:f>
        <s:v>0</s:v>
      </s:c>
      <s:c r="C9" s="2" t="inlineStr">
        <s:is>
          <s:t>EUR</s:t>
        </s:is>
      </s:c>
      <s:c r="D9" s="2" t="inlineStr">
        <s:is>
          <s:t>Legal control costs; no unlawful payments</s:t>
        </s:is>
      </s:c>
    </s:row>
    <s:row r="10" ht="32" customHeight="1">
      <s:c r="A10" s="2" t="inlineStr">
        <s:is>
          <s:t>Initial subsidy</s:t>
        </s:is>
      </s:c>
      <s:c r="B10" s="3">
        <s:f>Inputs!B10</s:f>
        <s:v>0</s:v>
      </s:c>
      <s:c r="C10" s="2" t="inlineStr">
        <s:is>
          <s:t>EUR</s:t>
        </s:is>
      </s:c>
      <s:c r="D10" s="2" t="inlineStr">
        <s:is>
          <s:t>Only committed funding should be used</s:t>
        </s:is>
      </s:c>
    </s:row>
    <s:row r="11" ht="32" customHeight="1">
      <s:c r="A11" s="2" t="inlineStr">
        <s:is>
          <s:t>Construction duration</s:t>
        </s:is>
      </s:c>
      <s:c r="B11" s="3">
        <s:f>Scenarios!D4</s:f>
        <s:v>30</s:v>
      </s:c>
      <s:c r="C11" s="2" t="inlineStr">
        <s:is>
          <s:t>months</s:t>
        </s:is>
      </s:c>
      <s:c r="D11" s="2" t="inlineStr">
        <s:is>
          <s:t>Illustrative, including permitting</s:t>
        </s:is>
      </s:c>
    </s:row>
    <s:row r="12" ht="32" customHeight="1">
      <s:c r="A12" s="2" t="inlineStr">
        <s:is>
          <s:t>Operating useful life</s:t>
        </s:is>
      </s:c>
      <s:c r="B12" s="3">
        <s:f>Scenarios!F4</s:f>
        <s:v>30</s:v>
      </s:c>
      <s:c r="C12" s="2" t="inlineStr">
        <s:is>
          <s:t>years</s:t>
        </s:is>
      </s:c>
      <s:c r="D12" s="2" t="inlineStr">
        <s:is>
          <s:t>Subject to engineering assessment and refurbishment</s:t>
        </s:is>
      </s:c>
    </s:row>
    <s:row r="13" ht="32" customHeight="1">
      <s:c r="A13" s="2" t="inlineStr">
        <s:is>
          <s:t>Discount rate</s:t>
        </s:is>
      </s:c>
      <s:c r="B13" s="4">
        <s:f>Scenarios!E4</s:f>
        <s:v>0.08</s:v>
      </s:c>
      <s:c r="C13" s="2" t="inlineStr">
        <s:is>
          <s:t>annual</s:t>
        </s:is>
      </s:c>
      <s:c r="D13" s="2" t="inlineStr">
        <s:is>
          <s:t>Nominal unlevered required return</s:t>
        </s:is>
      </s:c>
    </s:row>
    <s:row r="14" ht="32" customHeight="1">
      <s:c r="A14" s="2" t="inlineStr">
        <s:is>
          <s:t>Occupancy</s:t>
        </s:is>
      </s:c>
      <s:c r="B14" s="4">
        <s:f>Scenarios!C4</s:f>
        <s:v>0.85</s:v>
      </s:c>
      <s:c r="C14" s="2" t="inlineStr">
        <s:is>
          <s:t>share</s:t>
        </s:is>
      </s:c>
      <s:c r="D14" s="2" t="inlineStr">
        <s:is>
          <s:t>Average paying occupancy</s:t>
        </s:is>
      </s:c>
    </s:row>
    <s:row r="15" ht="32" customHeight="1">
      <s:c r="A15" s="2" t="inlineStr">
        <s:is>
          <s:t>Rent / billing months</s:t>
        </s:is>
      </s:c>
      <s:c r="B15" s="3">
        <s:f>Inputs!B15</s:f>
        <s:v>12</s:v>
      </s:c>
      <s:c r="C15" s="2" t="inlineStr">
        <s:is>
          <s:t>months/year</s:t>
        </s:is>
      </s:c>
      <s:c r="D15" s="2" t="inlineStr">
        <s:is>
          <s:t>Check lease structure</s:t>
        </s:is>
      </s:c>
    </s:row>
    <s:row r="16" ht="32" customHeight="1">
      <s:c r="A16" s="2" t="inlineStr">
        <s:is>
          <s:t>Student monthly all-in rent</s:t>
        </s:is>
      </s:c>
      <s:c r="B16" s="3">
        <s:f>Inputs!B16</s:f>
        <s:v>600</s:v>
      </s:c>
      <s:c r="C16" s="2" t="inlineStr">
        <s:is>
          <s:t>EUR/month</s:t>
        </s:is>
      </s:c>
      <s:c r="D16" s="2" t="inlineStr">
        <s:is>
          <s:t>Illustrative initial rent</s:t>
        </s:is>
      </s:c>
    </s:row>
    <s:row r="17" ht="32" customHeight="1">
      <s:c r="A17" s="2" t="inlineStr">
        <s:is>
          <s:t>Affordability cap</s:t>
        </s:is>
      </s:c>
      <s:c r="B17" s="3">
        <s:f>Inputs!B17</s:f>
        <s:v>650</s:v>
      </s:c>
      <s:c r="C17" s="2" t="inlineStr">
        <s:is>
          <s:t>EUR/month</s:t>
        </s:is>
      </s:c>
      <s:c r="D17" s="2" t="inlineStr">
        <s:is>
          <s:t>Policy assumption; validate student budget</s:t>
        </s:is>
      </s:c>
    </s:row>
    <s:row r="18" ht="32" customHeight="1">
      <s:c r="A18" s="2" t="inlineStr">
        <s:is>
          <s:t>Rent escalation</s:t>
        </s:is>
      </s:c>
      <s:c r="B18" s="4">
        <s:f>Inputs!B18</s:f>
        <s:v>0.02</s:v>
      </s:c>
      <s:c r="C18" s="2" t="inlineStr">
        <s:is>
          <s:t>annual</s:t>
        </s:is>
      </s:c>
      <s:c r="D18" s="2" t="inlineStr">
        <s:is>
          <s:t>Scenario assumption, not entitlement to index</s:t>
        </s:is>
      </s:c>
    </s:row>
    <s:row r="19" ht="32" customHeight="1">
      <s:c r="A19" s="2" t="inlineStr">
        <s:is>
          <s:t>Operating cost escalation</s:t>
        </s:is>
      </s:c>
      <s:c r="B19" s="4">
        <s:f>Inputs!B19</s:f>
        <s:v>0.025</s:v>
      </s:c>
      <s:c r="C19" s="2" t="inlineStr">
        <s:is>
          <s:t>annual</s:t>
        </s:is>
      </s:c>
      <s:c r="D19" s="2" t="inlineStr">
        <s:is>
          <s:t>Nominal assumption</s:t>
        </s:is>
      </s:c>
    </s:row>
    <s:row r="20" ht="32" customHeight="1">
      <s:c r="A20" s="2" t="inlineStr">
        <s:is>
          <s:t>Fixed operations</s:t>
        </s:is>
      </s:c>
      <s:c r="B20" s="3">
        <s:f>Inputs!B20</s:f>
        <s:v>30000</s:v>
      </s:c>
      <s:c r="C20" s="2" t="inlineStr">
        <s:is>
          <s:t>EUR/year</s:t>
        </s:is>
      </s:c>
      <s:c r="D20" s="2" t="inlineStr">
        <s:is>
          <s:t>Excludes wages, maintenance, utilities</s:t>
        </s:is>
      </s:c>
    </s:row>
    <s:row r="21" ht="32" customHeight="1">
      <s:c r="A21" s="2" t="inlineStr">
        <s:is>
          <s:t>Wages incl. employer costs</s:t>
        </s:is>
      </s:c>
      <s:c r="B21" s="3">
        <s:f>Inputs!B21</s:f>
        <s:v>60000</s:v>
      </s:c>
      <s:c r="C21" s="2" t="inlineStr">
        <s:is>
          <s:t>EUR/year</s:t>
        </s:is>
      </s:c>
      <s:c r="D21" s="2" t="inlineStr">
        <s:is>
          <s:t>Illustrative annual staffing</s:t>
        </s:is>
      </s:c>
    </s:row>
    <s:row r="22" ht="32" customHeight="1">
      <s:c r="A22" s="2" t="inlineStr">
        <s:is>
          <s:t>Variable operations</s:t>
        </s:is>
      </s:c>
      <s:c r="B22" s="3">
        <s:f>Inputs!B22</s:f>
        <s:v>300</s:v>
      </s:c>
      <s:c r="C22" s="2" t="inlineStr">
        <s:is>
          <s:t>EUR/occupied room/year</s:t>
        </s:is>
      </s:c>
      <s:c r="D22" s="2" t="inlineStr">
        <s:is>
          <s:t>Cleaning/administration, excludes utilities</s:t>
        </s:is>
      </s:c>
    </s:row>
    <s:row r="23" ht="32" customHeight="1">
      <s:c r="A23" s="2" t="inlineStr">
        <s:is>
          <s:t>Utilities</s:t>
        </s:is>
      </s:c>
      <s:c r="B23" s="3">
        <s:f>Inputs!B23</s:f>
        <s:v>900</s:v>
      </s:c>
      <s:c r="C23" s="2" t="inlineStr">
        <s:is>
          <s:t>EUR/occupied room/year</s:t>
        </s:is>
      </s:c>
      <s:c r="D23" s="2" t="inlineStr">
        <s:is>
          <s:t>All-in rent model</s:t>
        </s:is>
      </s:c>
    </s:row>
    <s:row r="24" ht="32" customHeight="1">
      <s:c r="A24" s="2" t="inlineStr">
        <s:is>
          <s:t>Maintenance reserve</s:t>
        </s:is>
      </s:c>
      <s:c r="B24" s="4">
        <s:f>Inputs!B24</s:f>
        <s:v>0.01</s:v>
      </s:c>
      <s:c r="C24" s="2" t="inlineStr">
        <s:is>
          <s:t>share/year</s:t>
        </s:is>
      </s:c>
      <s:c r="D24" s="2" t="inlineStr">
        <s:is>
          <s:t>Of construction + facilities; treated as annual cash expense</s:t>
        </s:is>
      </s:c>
    </s:row>
    <s:row r="25" ht="32" customHeight="1">
      <s:c r="A25" s="2" t="inlineStr">
        <s:is>
          <s:t>Refurbishment interval</s:t>
        </s:is>
      </s:c>
      <s:c r="B25" s="3">
        <s:f>Inputs!B25</s:f>
        <s:v>15</s:v>
      </s:c>
      <s:c r="C25" s="2" t="inlineStr">
        <s:is>
          <s:t>operating years</s:t>
        </s:is>
      </s:c>
      <s:c r="D25" s="2" t="inlineStr">
        <s:is>
          <s:t>Every N years, before final operating year</s:t>
        </s:is>
      </s:c>
    </s:row>
    <s:row r="26" ht="32" customHeight="1">
      <s:c r="A26" s="2" t="inlineStr">
        <s:is>
          <s:t>Refurbishment cost</s:t>
        </s:is>
      </s:c>
      <s:c r="B26" s="3">
        <s:f>Inputs!B26</s:f>
        <s:v>300000</s:v>
      </s:c>
      <s:c r="C26" s="2" t="inlineStr">
        <s:is>
          <s:t>EUR/event</s:t>
        </s:is>
      </s:c>
      <s:c r="D26" s="2" t="inlineStr">
        <s:is>
          <s:t>Today-price cost, escalates with operating costs</s:t>
        </s:is>
      </s:c>
    </s:row>
    <s:row r="27" ht="32" customHeight="1">
      <s:c r="A27" s="2" t="inlineStr">
        <s:is>
          <s:t>Terminal gross asset value</s:t>
        </s:is>
      </s:c>
      <s:c r="B27" s="3">
        <s:f>Inputs!B27</s:f>
        <s:v>0</s:v>
      </s:c>
      <s:c r="C27" s="2" t="inlineStr">
        <s:is>
          <s:t>EUR at end</s:t>
        </s:is>
      </s:c>
      <s:c r="D27" s="2" t="inlineStr">
        <s:is>
          <s:t>Default zero; enter defensible net-of-tax valuation assumption</s:t>
        </s:is>
      </s:c>
    </s:row>
    <s:row r="28" ht="32" customHeight="1">
      <s:c r="A28" s="2" t="inlineStr">
        <s:is>
          <s:t>Sale costs</s:t>
        </s:is>
      </s:c>
      <s:c r="B28" s="4">
        <s:f>Inputs!B28</s:f>
        <s:v>0.02</s:v>
      </s:c>
      <s:c r="C28" s="2" t="inlineStr">
        <s:is>
          <s:t>share</s:t>
        </s:is>
      </s:c>
      <s:c r="D28" s="2" t="inlineStr">
        <s:is>
          <s:t>Of gross terminal value</s:t>
        </s:is>
      </s:c>
    </s:row>
  </s:sheetData>
  <s:pageMargins left="0.75" right="0.75" top="1" bottom="1" header="0.5" footer="0.5"/>
</s:worksheet>
</file>

<file path=xl/worksheets/sheet16.xml><?xml version="1.0" encoding="utf-8"?>
<s:worksheet xmlns:s="http://schemas.openxmlformats.org/spreadsheetml/2006/main">
  <s:sheetPr>
    <s:outlinePr summaryBelow="1" summaryRight="1"/>
    <s:pageSetUpPr/>
  </s:sheetPr>
  <s:dimension ref="A1:C20"/>
  <s:sheetViews>
    <s:sheetView workbookViewId="0">
      <s:selection activeCell="A1" sqref="A1"/>
    </s:sheetView>
  </s:sheetViews>
  <s:sheetFormatPr baseColWidth="8" defaultRowHeight="15" outlineLevelCol="0"/>
  <s:cols>
    <s:col width="39" customWidth="1" min="1" max="1"/>
    <s:col width="27" customWidth="1" min="2" max="2"/>
    <s:col width="65" customWidth="1" min="3" max="3"/>
    <s:col width="65" customWidth="1" min="4" max="4"/>
    <s:col width="27" customWidth="1" min="5" max="5"/>
    <s:col width="27" customWidth="1" min="6" max="6"/>
    <s:col width="27" customWidth="1" min="7" max="7"/>
    <s:col width="27" customWidth="1" min="8" max="8"/>
    <s:col width="27" customWidth="1" min="9" max="9"/>
    <s:col width="27" customWidth="1" min="10" max="10"/>
    <s:col width="27" customWidth="1" min="11" max="11"/>
    <s:col width="27" customWidth="1" min="12" max="12"/>
  </s:cols>
  <s:sheetData>
    <s:row r="1" ht="30" customHeight="1">
      <s:c r="A1" s="1" t="inlineStr">
        <s:is>
          <s:t>Metric</s:t>
        </s:is>
      </s:c>
      <s:c r="B1" s="1" t="inlineStr">
        <s:is>
          <s:t>Value</s:t>
        </s:is>
      </s:c>
      <s:c r="C1" s="1" t="inlineStr">
        <s:is>
          <s:t>Interpretation</s:t>
        </s:is>
      </s:c>
    </s:row>
    <s:row r="2" ht="32" customHeight="1">
      <s:c r="A2" s="2" t="inlineStr">
        <s:is>
          <s:t>Gross initial investment</s:t>
        </s:is>
      </s:c>
      <s:c r="B2" s="14">
        <s:f>'S3 inputs'!$B$4+'S3 inputs'!$B$2*'S3 inputs'!$B$3*'S3 inputs'!$B$5+'S3 inputs'!$B$6+('S3 inputs'!$B$2*'S3 inputs'!$B$3*'S3 inputs'!$B$5+'S3 inputs'!$B$6)*'S3 inputs'!$B$7+('S3 inputs'!$B$2*'S3 inputs'!$B$3*'S3 inputs'!$B$5+'S3 inputs'!$B$6)*(1+'S3 inputs'!$B$7)*'S3 inputs'!$B$8+'S3 inputs'!$B$9</s:f>
        <s:v>10396000.000000002</s:v>
      </s:c>
      <s:c r="C2" s="2" t="inlineStr">
        <s:is>
          <s:t>Includes contingency; no subsidy deduction</s:t>
        </s:is>
      </s:c>
    </s:row>
    <s:row r="3" ht="32" customHeight="1">
      <s:c r="A3" s="2" t="inlineStr">
        <s:is>
          <s:t>Investor initial cash</s:t>
        </s:is>
      </s:c>
      <s:c r="B3" s="14">
        <s:f>B2-'S3 inputs'!$B$10</s:f>
        <s:v>10396000.000000002</s:v>
      </s:c>
      <s:c r="C3" s="2" t="inlineStr">
        <s:is>
          <s:t>Gross investment less committed upfront subsidy</s:t>
        </s:is>
      </s:c>
    </s:row>
    <s:row r="4" ht="32" customHeight="1">
      <s:c r="A4" s="2" t="inlineStr">
        <s:is>
          <s:t>Construction years</s:t>
        </s:is>
      </s:c>
      <s:c r="B4" s="14">
        <s:f>ROUNDUP('S3 inputs'!$B$11/12,0)</s:f>
        <s:v>3</s:v>
      </s:c>
      <s:c r="C4" s="2" t="inlineStr">
        <s:is>
          <s:t>Conservative rounding; full-year operating model</s:t>
        </s:is>
      </s:c>
    </s:row>
    <s:row r="5" ht="32" customHeight="1">
      <s:c r="A5" s="2" t="inlineStr">
        <s:is>
          <s:t>Final cash-flow year</s:t>
        </s:is>
      </s:c>
      <s:c r="B5" s="14">
        <s:f>B4+'S3 inputs'!$B$12</s:f>
        <s:v>33</s:v>
      </s:c>
      <s:c r="C5" s="2" t="inlineStr">
        <s:is>
          <s:t>Construction + operating life</s:t>
        </s:is>
      </s:c>
    </s:row>
    <s:row r="6" ht="32" customHeight="1">
      <s:c r="A6" s="2" t="inlineStr">
        <s:is>
          <s:t>NPV</s:t>
        </s:is>
      </s:c>
      <s:c r="B6" s="14">
        <s:f>SUM('S3 cash flow'!J2:J62)</s:f>
        <s:v>-6924346.930395819</s:v>
      </s:c>
      <s:c r="C6" s="2" t="inlineStr">
        <s:is>
          <s:t>Project NPV including terminal value</s:t>
        </s:is>
      </s:c>
    </s:row>
    <s:row r="7" ht="32" customHeight="1">
      <s:c r="A7" s="2" t="inlineStr">
        <s:is>
          <s:t>IRR</s:t>
        </s:is>
      </s:c>
      <s:c r="B7" s="7">
        <s:f>IFERROR(IRR('S3 cash flow'!H2:H62),"No IRR")</s:f>
        <s:v>0.010158837759825068</s:v>
      </s:c>
      <s:c r="C7" s="2" t="inlineStr">
        <s:is>
          <s:t>Annual project IRR; check sign changes</s:t>
        </s:is>
      </s:c>
    </s:row>
    <s:row r="8" ht="32" customHeight="1">
      <s:c r="A8" s="2" t="inlineStr">
        <s:is>
          <s:t>Simple PBP (years)</s:t>
        </s:is>
      </s:c>
      <s:c r="B8" s="14">
        <s:f>IF(COUNT('S3 cash flow'!M3:M62)&gt;0,MIN('S3 cash flow'!M3:M62),"Not recovered")</s:f>
        <s:v>28.73271678963154</s:v>
      </s:c>
      <s:c r="C8" s="2" t="inlineStr">
        <s:is>
          <s:t>From time 0; interpolated annual cash; excludes terminal sale</s:t>
        </s:is>
      </s:c>
    </s:row>
    <s:row r="9" ht="32" customHeight="1">
      <s:c r="A9" s="2" t="inlineStr">
        <s:is>
          <s:t>Student price P</s:t>
        </s:is>
      </s:c>
      <s:c r="B9" s="14">
        <s:f>'S3 inputs'!$B$16</s:f>
        <s:v>600</s:v>
      </s:c>
      <s:c r="C9" s="2" t="inlineStr">
        <s:is>
          <s:t>Initial monthly all-in rent</s:t>
        </s:is>
      </s:c>
    </s:row>
    <s:row r="10" ht="32" customHeight="1">
      <s:c r="A10" s="2" t="inlineStr">
        <s:is>
          <s:t>Student affordability cap</s:t>
        </s:is>
      </s:c>
      <s:c r="B10" s="14">
        <s:f>'S3 inputs'!$B$17</s:f>
        <s:v>650</s:v>
      </s:c>
      <s:c r="C10" s="2" t="inlineStr">
        <s:is>
          <s:t>Editable student budget threshold</s:t>
        </s:is>
      </s:c>
    </s:row>
    <s:row r="11" ht="32" customHeight="1">
      <s:c r="A11" s="2" t="inlineStr">
        <s:is>
          <s:t>Required initial rent for NPV = 0</s:t>
        </s:is>
      </s:c>
      <s:c r="B11" s="14">
        <s:f>MAX(0,('S3 inputs'!$B$16*SUM('S3 cash flow'!L3:L62)-B6)/SUM('S3 cash flow'!L3:L62))</s:f>
        <s:v>1225.7368024253874</s:v>
      </s:c>
      <s:c r="C11" s="2" t="inlineStr">
        <s:is>
          <s:t>Investor break-even price given all other inputs</s:t>
        </s:is>
      </s:c>
    </s:row>
    <s:row r="12" ht="32" customHeight="1">
      <s:c r="A12" s="2" t="inlineStr">
        <s:is>
          <s:t>NPV at affordability cap</s:t>
        </s:is>
      </s:c>
      <s:c r="B12" s="14">
        <s:f>B6+('S3 inputs'!$B$17-'S3 inputs'!$B$16)*SUM('S3 cash flow'!L3:L62)</s:f>
        <s:v>-6371051.447090642</s:v>
      </s:c>
      <s:c r="C12" s="2" t="inlineStr">
        <s:is>
          <s:t>Feasibility under student cap</s:t>
        </s:is>
      </s:c>
    </s:row>
    <s:row r="13" ht="32" customHeight="1">
      <s:c r="A13" s="2" t="inlineStr">
        <s:is>
          <s:t>Upfront subsidy needed at cap</s:t>
        </s:is>
      </s:c>
      <s:c r="B13" s="14">
        <s:f>MAX(0,-B12)</s:f>
        <s:v>6371051.447090642</s:v>
      </s:c>
      <s:c r="C13" s="2" t="inlineStr">
        <s:is>
          <s:t>Additional time-0 grant / cost reduction required</s:t>
        </s:is>
      </s:c>
    </s:row>
    <s:row r="14" ht="32" customHeight="1">
      <s:c r="A14" s="2" t="inlineStr">
        <s:is>
          <s:t>Maximum investor capital at cap</s:t>
        </s:is>
      </s:c>
      <s:c r="B14" s="14">
        <s:f>B3+B12</s:f>
        <s:v>4024948.5529093603</s:v>
      </s:c>
      <s:c r="C14" s="2" t="inlineStr">
        <s:is>
          <s:t>PV of future net cash flows at capped rent</s:t>
        </s:is>
      </s:c>
    </s:row>
    <s:row r="15" ht="32" customHeight="1">
      <s:c r="A15" s="2" t="inlineStr">
        <s:is>
          <s:t>Joint feasibility</s:t>
        </s:is>
      </s:c>
      <s:c r="B15" s="14" t="str">
        <s:f>IF(B11&lt;=B10,"Feasible under assumptions","Funding / cost gap")</s:f>
        <s:v>Funding / cost gap</s:v>
      </s:c>
      <s:c r="C15" s="2" t="inlineStr">
        <s:is>
          <s:t>A positive gap cannot be solved by choosing an arbitrary rent</s:t>
        </s:is>
      </s:c>
    </s:row>
    <s:row r="16" ht="32" customHeight="1">
      <s:c r="A16" s="2" t="inlineStr">
        <s:is>
          <s:t>Recommended student price</s:t>
        </s:is>
      </s:c>
      <s:c r="B16" s="14" t="str">
        <s:f>IF(B11&lt;=B10,B11,"No feasible price under cap")</s:f>
        <s:v>No feasible price under cap</s:v>
      </s:c>
      <s:c r="C16" s="2" t="inlineStr">
        <s:is>
          <s:t>Lowest price meeting NPV &gt;= 0 at selected discount rate</s:t>
        </s:is>
      </s:c>
    </s:row>
    <s:row r="17" ht="32" customHeight="1">
      <s:c r="A17" s="2" t="inlineStr">
        <s:is>
          <s:t>First full operating year</s:t>
        </s:is>
      </s:c>
      <s:c r="B17" s="14">
        <s:f>B4+1</s:f>
        <s:v>4</s:v>
      </s:c>
      <s:c r="C17" s="2" t="inlineStr">
        <s:is>
          <s:t>Minimum safe planning time requires site and permit evidence</s:t>
        </s:is>
      </s:c>
    </s:row>
    <s:row r="18">
      <s:c r="A18" t="inlineStr">
        <s:is>
          <s:t>Input check</s:t>
        </s:is>
      </s:c>
      <s:c r="B18" t="str">
        <s:f>IF(AND('S3 inputs'!B10&lt;=B2,'S3 inputs'!B14&gt;0,B5&lt;=60),"OK","CHECK subsidy, occupancy or horizon")</s:f>
        <s:v>OK</s:v>
      </s:c>
      <s:c r="C18" t="inlineStr">
        <s:is>
          <s:t>Subsidy must not exceed gross investment; positive occupancy required</s:t>
        </s:is>
      </s:c>
    </s:row>
    <s:row r="19">
      <s:c r="A19" t="inlineStr">
        <s:is>
          <s:t>Discounted PBP (years)</s:t>
        </s:is>
      </s:c>
      <s:c r="B19" t="str">
        <s:f>IF(COUNT('S3 cash flow'!O3:O62)&gt;0,MIN('S3 cash flow'!O3:O62),"Not recovered")</s:f>
        <s:v>Not recovered</s:v>
      </s:c>
      <s:c r="C19" t="inlineStr">
        <s:is>
          <s:t>Discounted at project hurdle; excludes terminal sale</s:t>
        </s:is>
      </s:c>
    </s:row>
    <s:row r="20">
      <s:c r="A20" t="inlineStr">
        <s:is>
          <s:t>Capital per room</s:t>
        </s:is>
      </s:c>
      <s:c r="B20">
        <s:f>B2/'S3 inputs'!B2</s:f>
        <s:v>103960.00000000001</s:v>
      </s:c>
      <s:c r="C20" t="inlineStr">
        <s:is>
          <s:t>Gross investment / room, including allocated common area and land</s:t>
        </s:is>
      </s:c>
    </s:row>
  </s:sheetData>
  <s:pageMargins left="0.75" right="0.75" top="1" bottom="1" header="0.5" footer="0.5"/>
</s:worksheet>
</file>

<file path=xl/worksheets/sheet17.xml><?xml version="1.0" encoding="utf-8"?>
<s:worksheet xmlns:s="http://schemas.openxmlformats.org/spreadsheetml/2006/main">
  <s:sheetPr>
    <s:outlinePr summaryBelow="1" summaryRight="1"/>
    <s:pageSetUpPr/>
  </s:sheetPr>
  <s:dimension ref="A1:O62"/>
  <s:sheetViews>
    <s:sheetView workbookViewId="0">
      <s:selection activeCell="A1" sqref="A1"/>
    </s:sheetView>
  </s:sheetViews>
  <s:sheetFormatPr baseColWidth="8" defaultRowHeight="15" outlineLevelCol="0"/>
  <s:cols>
    <s:col width="39" customWidth="1" min="1" max="1"/>
    <s:col width="23" customWidth="1" min="2" max="2"/>
    <s:col width="23" customWidth="1" min="3" max="3"/>
    <s:col width="23" customWidth="1" min="4" max="4"/>
    <s:col width="23" customWidth="1" min="5" max="5"/>
    <s:col width="23" customWidth="1" min="6" max="6"/>
    <s:col width="23" customWidth="1" min="7" max="7"/>
    <s:col width="23" customWidth="1" min="8" max="8"/>
    <s:col width="23" customWidth="1" min="9" max="9"/>
    <s:col width="23" customWidth="1" min="10" max="10"/>
    <s:col width="23" customWidth="1" min="11" max="11"/>
    <s:col width="23" customWidth="1" min="12" max="12"/>
    <s:col width="25" customWidth="1" min="13" max="13"/>
    <s:col width="25" customWidth="1" min="14" max="14"/>
    <s:col width="25" customWidth="1" min="15" max="15"/>
  </s:cols>
  <s:sheetData>
    <s:row r="1" ht="30" customHeight="1">
      <s:c r="A1" s="1" t="inlineStr">
        <s:is>
          <s:t>Year</s:t>
        </s:is>
      </s:c>
      <s:c r="B1" s="1" t="inlineStr">
        <s:is>
          <s:t>Operating year</s:t>
        </s:is>
      </s:c>
      <s:c r="C1" s="1" t="inlineStr">
        <s:is>
          <s:t>All-in rent / month</s:t>
        </s:is>
      </s:c>
      <s:c r="D1" s="1" t="inlineStr">
        <s:is>
          <s:t>Revenue</s:t>
        </s:is>
      </s:c>
      <s:c r="E1" s="1" t="inlineStr">
        <s:is>
          <s:t>Operating costs</s:t>
        </s:is>
      </s:c>
      <s:c r="F1" s="1" t="inlineStr">
        <s:is>
          <s:t>Refurbishment</s:t>
        </s:is>
      </s:c>
      <s:c r="G1" s="1" t="inlineStr">
        <s:is>
          <s:t>Terminal proceeds</s:t>
        </s:is>
      </s:c>
      <s:c r="H1" s="1" t="inlineStr">
        <s:is>
          <s:t>Net cash flow</s:t>
        </s:is>
      </s:c>
      <s:c r="I1" s="1" t="inlineStr">
        <s:is>
          <s:t>Discount factor</s:t>
        </s:is>
      </s:c>
      <s:c r="J1" s="1" t="inlineStr">
        <s:is>
          <s:t>PV cash flow</s:t>
        </s:is>
      </s:c>
      <s:c r="K1" s="1" t="inlineStr">
        <s:is>
          <s:t>Cumulative operating cash</s:t>
        </s:is>
      </s:c>
      <s:c r="L1" s="1" t="inlineStr">
        <s:is>
          <s:t>PV revenue per EUR rent</s:t>
        </s:is>
      </s:c>
      <s:c r="M1" t="inlineStr">
        <s:is>
          <s:t>Payback crossing year</s:t>
        </s:is>
      </s:c>
      <s:c r="N1" t="inlineStr">
        <s:is>
          <s:t>Cumulative discounted cash</s:t>
        </s:is>
      </s:c>
      <s:c r="O1" t="inlineStr">
        <s:is>
          <s:t>Discounted crossing year</s:t>
        </s:is>
      </s:c>
    </s:row>
    <s:row r="2" ht="20" customHeight="1">
      <s:c r="A2" s="2" t="n">
        <s:v>0</s:v>
      </s:c>
      <s:c r="B2" s="2">
        <s:f>IF(AND(A2&gt;'S3 results'!$B$4,A2&lt;='S3 results'!$B$5),A2-'S3 results'!$B$4,0)</s:f>
        <s:v>0</s:v>
      </s:c>
      <s:c r="C2" s="5">
        <s:f>IF(B2&gt;0,'S3 inputs'!$B$16*(1+'S3 inputs'!$B$18)^(B2-1),0)</s:f>
        <s:v>0</s:v>
      </s:c>
      <s:c r="D2" s="5">
        <s:f>IF(B2&gt;0,'S3 inputs'!$B$2*'S3 inputs'!$B$14*'S3 inputs'!$B$15*C2,0)</s:f>
        <s:v>0</s:v>
      </s:c>
      <s:c r="E2" s="5">
        <s:f>IF(B2&gt;0,('S3 inputs'!$B$20+'S3 inputs'!$B$21+'S3 inputs'!$B$2*'S3 inputs'!$B$14*('S3 inputs'!$B$22+'S3 inputs'!$B$23)+('S3 inputs'!$B$2*'S3 inputs'!$B$3*'S3 inputs'!$B$5+'S3 inputs'!$B$6)*'S3 inputs'!$B$24)*(1+'S3 inputs'!$B$19)^(B2-1),0)</s:f>
        <s:v>0</s:v>
      </s:c>
      <s:c r="F2" s="5">
        <s:f>IF(AND(B2&gt;0,B2&lt;'S3 inputs'!$B$12,MOD(B2,'S3 inputs'!$B$25)=0),'S3 inputs'!$B$26*(1+'S3 inputs'!$B$19)^(B2-1),0)</s:f>
        <s:v>0</s:v>
      </s:c>
      <s:c r="G2" s="5">
        <s:f>IF(A2='S3 results'!$B$5,'S3 inputs'!$B$27*(1-'S3 inputs'!$B$28),0)</s:f>
        <s:v>0</s:v>
      </s:c>
      <s:c r="H2" s="5">
        <s:f> -'S3 results'!B3</s:f>
        <s:v>-10396000.000000002</s:v>
      </s:c>
      <s:c r="I2" s="5">
        <s:f>1/(1+'S3 inputs'!$B$13)^A2</s:f>
        <s:v>1.0</s:v>
      </s:c>
      <s:c r="J2" s="5">
        <s:f>H2*I2</s:f>
        <s:v>-10396000.000000002</s:v>
      </s:c>
      <s:c r="K2" s="5">
        <s:f>-'S3 results'!B3</s:f>
        <s:v>-10396000.000000002</s:v>
      </s:c>
      <s:c r="L2" s="5">
        <s:f>IF(B2&gt;0,'S3 inputs'!$B$2*'S3 inputs'!$B$14*'S3 inputs'!$B$15*(1+'S3 inputs'!$B$18)^(B2-1)*I2,0)</s:f>
        <s:v>0</s:v>
      </s:c>
      <s:c r="M2" s="11" t="inlineStr"/>
      <s:c r="N2" s="11">
        <s:f>J2</s:f>
        <s:v>-10396000.000000002</s:v>
      </s:c>
      <s:c r="O2" s="11" t="inlineStr"/>
    </s:row>
    <s:row r="3" ht="20" customHeight="1">
      <s:c r="A3" s="2" t="n">
        <s:v>1</s:v>
      </s:c>
      <s:c r="B3" s="2">
        <s:f>IF(AND(A3&gt;'S3 results'!$B$4,A3&lt;='S3 results'!$B$5),A3-'S3 results'!$B$4,0)</s:f>
        <s:v>0</s:v>
      </s:c>
      <s:c r="C3" s="5">
        <s:f>IF(B3&gt;0,'S3 inputs'!$B$16*(1+'S3 inputs'!$B$18)^(B3-1),0)</s:f>
        <s:v>0</s:v>
      </s:c>
      <s:c r="D3" s="5">
        <s:f>IF(B3&gt;0,'S3 inputs'!$B$2*'S3 inputs'!$B$14*'S3 inputs'!$B$15*C3,0)</s:f>
        <s:v>0</s:v>
      </s:c>
      <s:c r="E3" s="5">
        <s:f>IF(B3&gt;0,('S3 inputs'!$B$20+'S3 inputs'!$B$21+'S3 inputs'!$B$2*'S3 inputs'!$B$14*('S3 inputs'!$B$22+'S3 inputs'!$B$23)+('S3 inputs'!$B$2*'S3 inputs'!$B$3*'S3 inputs'!$B$5+'S3 inputs'!$B$6)*'S3 inputs'!$B$24)*(1+'S3 inputs'!$B$19)^(B3-1),0)</s:f>
        <s:v>0</s:v>
      </s:c>
      <s:c r="F3" s="5">
        <s:f>IF(AND(B3&gt;0,B3&lt;'S3 inputs'!$B$12,MOD(B3,'S3 inputs'!$B$25)=0),'S3 inputs'!$B$26*(1+'S3 inputs'!$B$19)^(B3-1),0)</s:f>
        <s:v>0</s:v>
      </s:c>
      <s:c r="G3" s="5">
        <s:f>IF(A3='S3 results'!$B$5,'S3 inputs'!$B$27*(1-'S3 inputs'!$B$28),0)</s:f>
        <s:v>0</s:v>
      </s:c>
      <s:c r="H3" s="5">
        <s:f>D3-E3-F3+G3</s:f>
        <s:v>0</s:v>
      </s:c>
      <s:c r="I3" s="5">
        <s:f>1/(1+'S3 inputs'!$B$13)^A3</s:f>
        <s:v>0.9259259259259258</s:v>
      </s:c>
      <s:c r="J3" s="5">
        <s:f>H3*I3</s:f>
        <s:v>0.0</s:v>
      </s:c>
      <s:c r="K3" s="5">
        <s:f>K2+H3-G3</s:f>
        <s:v>-10396000.000000002</s:v>
      </s:c>
      <s:c r="L3" s="5">
        <s:f>IF(B3&gt;0,'S3 inputs'!$B$2*'S3 inputs'!$B$14*'S3 inputs'!$B$15*(1+'S3 inputs'!$B$18)^(B3-1)*I3,0)</s:f>
        <s:v>0</s:v>
      </s:c>
      <s:c r="M3" s="11" t="str">
        <s:f>IF(AND(K3&gt;=0,K2&lt;0),A3-1-K2/(H3-G3),"")</s:f>
        <s:v/>
      </s:c>
      <s:c r="N3" s="11">
        <s:f>N2+J3-G3*I3</s:f>
        <s:v>-10396000.000000002</s:v>
      </s:c>
      <s:c r="O3" s="11" t="str">
        <s:f>IF(AND(N3&gt;=0,N2&lt;0),A3-1-N2/((H3-G3)*I3),"")</s:f>
        <s:v/>
      </s:c>
    </s:row>
    <s:row r="4" ht="20" customHeight="1">
      <s:c r="A4" s="2" t="n">
        <s:v>2</s:v>
      </s:c>
      <s:c r="B4" s="2">
        <s:f>IF(AND(A4&gt;'S3 results'!$B$4,A4&lt;='S3 results'!$B$5),A4-'S3 results'!$B$4,0)</s:f>
        <s:v>0</s:v>
      </s:c>
      <s:c r="C4" s="5">
        <s:f>IF(B4&gt;0,'S3 inputs'!$B$16*(1+'S3 inputs'!$B$18)^(B4-1),0)</s:f>
        <s:v>0</s:v>
      </s:c>
      <s:c r="D4" s="5">
        <s:f>IF(B4&gt;0,'S3 inputs'!$B$2*'S3 inputs'!$B$14*'S3 inputs'!$B$15*C4,0)</s:f>
        <s:v>0</s:v>
      </s:c>
      <s:c r="E4" s="5">
        <s:f>IF(B4&gt;0,('S3 inputs'!$B$20+'S3 inputs'!$B$21+'S3 inputs'!$B$2*'S3 inputs'!$B$14*('S3 inputs'!$B$22+'S3 inputs'!$B$23)+('S3 inputs'!$B$2*'S3 inputs'!$B$3*'S3 inputs'!$B$5+'S3 inputs'!$B$6)*'S3 inputs'!$B$24)*(1+'S3 inputs'!$B$19)^(B4-1),0)</s:f>
        <s:v>0</s:v>
      </s:c>
      <s:c r="F4" s="5">
        <s:f>IF(AND(B4&gt;0,B4&lt;'S3 inputs'!$B$12,MOD(B4,'S3 inputs'!$B$25)=0),'S3 inputs'!$B$26*(1+'S3 inputs'!$B$19)^(B4-1),0)</s:f>
        <s:v>0</s:v>
      </s:c>
      <s:c r="G4" s="5">
        <s:f>IF(A4='S3 results'!$B$5,'S3 inputs'!$B$27*(1-'S3 inputs'!$B$28),0)</s:f>
        <s:v>0</s:v>
      </s:c>
      <s:c r="H4" s="5">
        <s:f>D4-E4-F4+G4</s:f>
        <s:v>0</s:v>
      </s:c>
      <s:c r="I4" s="5">
        <s:f>1/(1+'S3 inputs'!$B$13)^A4</s:f>
        <s:v>0.8573388203017832</s:v>
      </s:c>
      <s:c r="J4" s="5">
        <s:f>H4*I4</s:f>
        <s:v>0.0</s:v>
      </s:c>
      <s:c r="K4" s="5">
        <s:f>K3+H4-G4</s:f>
        <s:v>-10396000.000000002</s:v>
      </s:c>
      <s:c r="L4" s="5">
        <s:f>IF(B4&gt;0,'S3 inputs'!$B$2*'S3 inputs'!$B$14*'S3 inputs'!$B$15*(1+'S3 inputs'!$B$18)^(B4-1)*I4,0)</s:f>
        <s:v>0</s:v>
      </s:c>
      <s:c r="M4" s="11" t="str">
        <s:f>IF(AND(K4&gt;=0,K3&lt;0),A4-1-K3/(H4-G4),"")</s:f>
        <s:v/>
      </s:c>
      <s:c r="N4" s="11">
        <s:f>N3+J4-G4*I4</s:f>
        <s:v>-10396000.000000002</s:v>
      </s:c>
      <s:c r="O4" s="11" t="str">
        <s:f>IF(AND(N4&gt;=0,N3&lt;0),A4-1-N3/((H4-G4)*I4),"")</s:f>
        <s:v/>
      </s:c>
    </s:row>
    <s:row r="5" ht="20" customHeight="1">
      <s:c r="A5" s="2" t="n">
        <s:v>3</s:v>
      </s:c>
      <s:c r="B5" s="2">
        <s:f>IF(AND(A5&gt;'S3 results'!$B$4,A5&lt;='S3 results'!$B$5),A5-'S3 results'!$B$4,0)</s:f>
        <s:v>0</s:v>
      </s:c>
      <s:c r="C5" s="5">
        <s:f>IF(B5&gt;0,'S3 inputs'!$B$16*(1+'S3 inputs'!$B$18)^(B5-1),0)</s:f>
        <s:v>0</s:v>
      </s:c>
      <s:c r="D5" s="5">
        <s:f>IF(B5&gt;0,'S3 inputs'!$B$2*'S3 inputs'!$B$14*'S3 inputs'!$B$15*C5,0)</s:f>
        <s:v>0</s:v>
      </s:c>
      <s:c r="E5" s="5">
        <s:f>IF(B5&gt;0,('S3 inputs'!$B$20+'S3 inputs'!$B$21+'S3 inputs'!$B$2*'S3 inputs'!$B$14*('S3 inputs'!$B$22+'S3 inputs'!$B$23)+('S3 inputs'!$B$2*'S3 inputs'!$B$3*'S3 inputs'!$B$5+'S3 inputs'!$B$6)*'S3 inputs'!$B$24)*(1+'S3 inputs'!$B$19)^(B5-1),0)</s:f>
        <s:v>0</s:v>
      </s:c>
      <s:c r="F5" s="5">
        <s:f>IF(AND(B5&gt;0,B5&lt;'S3 inputs'!$B$12,MOD(B5,'S3 inputs'!$B$25)=0),'S3 inputs'!$B$26*(1+'S3 inputs'!$B$19)^(B5-1),0)</s:f>
        <s:v>0</s:v>
      </s:c>
      <s:c r="G5" s="5">
        <s:f>IF(A5='S3 results'!$B$5,'S3 inputs'!$B$27*(1-'S3 inputs'!$B$28),0)</s:f>
        <s:v>0</s:v>
      </s:c>
      <s:c r="H5" s="5">
        <s:f>D5-E5-F5+G5</s:f>
        <s:v>0</s:v>
      </s:c>
      <s:c r="I5" s="5">
        <s:f>1/(1+'S3 inputs'!$B$13)^A5</s:f>
        <s:v>0.7938322410201696</s:v>
      </s:c>
      <s:c r="J5" s="5">
        <s:f>H5*I5</s:f>
        <s:v>0.0</s:v>
      </s:c>
      <s:c r="K5" s="5">
        <s:f>K4+H5-G5</s:f>
        <s:v>-10396000.000000002</s:v>
      </s:c>
      <s:c r="L5" s="5">
        <s:f>IF(B5&gt;0,'S3 inputs'!$B$2*'S3 inputs'!$B$14*'S3 inputs'!$B$15*(1+'S3 inputs'!$B$18)^(B5-1)*I5,0)</s:f>
        <s:v>0</s:v>
      </s:c>
      <s:c r="M5" s="11" t="str">
        <s:f>IF(AND(K5&gt;=0,K4&lt;0),A5-1-K4/(H5-G5),"")</s:f>
        <s:v/>
      </s:c>
      <s:c r="N5" s="11">
        <s:f>N4+J5-G5*I5</s:f>
        <s:v>-10396000.000000002</s:v>
      </s:c>
      <s:c r="O5" s="11" t="str">
        <s:f>IF(AND(N5&gt;=0,N4&lt;0),A5-1-N4/((H5-G5)*I5),"")</s:f>
        <s:v/>
      </s:c>
    </s:row>
    <s:row r="6" ht="20" customHeight="1">
      <s:c r="A6" s="2" t="n">
        <s:v>4</s:v>
      </s:c>
      <s:c r="B6" s="2">
        <s:f>IF(AND(A6&gt;'S3 results'!$B$4,A6&lt;='S3 results'!$B$5),A6-'S3 results'!$B$4,0)</s:f>
        <s:v>1</s:v>
      </s:c>
      <s:c r="C6" s="5">
        <s:f>IF(B6&gt;0,'S3 inputs'!$B$16*(1+'S3 inputs'!$B$18)^(B6-1),0)</s:f>
        <s:v>600.0</s:v>
      </s:c>
      <s:c r="D6" s="5">
        <s:f>IF(B6&gt;0,'S3 inputs'!$B$2*'S3 inputs'!$B$14*'S3 inputs'!$B$15*C6,0)</s:f>
        <s:v>612000.0</s:v>
      </s:c>
      <s:c r="E6" s="5">
        <s:f>IF(B6&gt;0,('S3 inputs'!$B$20+'S3 inputs'!$B$21+'S3 inputs'!$B$2*'S3 inputs'!$B$14*('S3 inputs'!$B$22+'S3 inputs'!$B$23)+('S3 inputs'!$B$2*'S3 inputs'!$B$3*'S3 inputs'!$B$5+'S3 inputs'!$B$6)*'S3 inputs'!$B$24)*(1+'S3 inputs'!$B$19)^(B6-1),0)</s:f>
        <s:v>268000.0</s:v>
      </s:c>
      <s:c r="F6" s="5">
        <s:f>IF(AND(B6&gt;0,B6&lt;'S3 inputs'!$B$12,MOD(B6,'S3 inputs'!$B$25)=0),'S3 inputs'!$B$26*(1+'S3 inputs'!$B$19)^(B6-1),0)</s:f>
        <s:v>0</s:v>
      </s:c>
      <s:c r="G6" s="5">
        <s:f>IF(A6='S3 results'!$B$5,'S3 inputs'!$B$27*(1-'S3 inputs'!$B$28),0)</s:f>
        <s:v>0</s:v>
      </s:c>
      <s:c r="H6" s="5">
        <s:f>D6-E6-F6+G6</s:f>
        <s:v>344000.0</s:v>
      </s:c>
      <s:c r="I6" s="5">
        <s:f>1/(1+'S3 inputs'!$B$13)^A6</s:f>
        <s:v>0.7350298527964533</s:v>
      </s:c>
      <s:c r="J6" s="5">
        <s:f>H6*I6</s:f>
        <s:v>252850.26936197994</s:v>
      </s:c>
      <s:c r="K6" s="5">
        <s:f>K5+H6-G6</s:f>
        <s:v>-10052000.000000002</s:v>
      </s:c>
      <s:c r="L6" s="5">
        <s:f>IF(B6&gt;0,'S3 inputs'!$B$2*'S3 inputs'!$B$14*'S3 inputs'!$B$15*(1+'S3 inputs'!$B$18)^(B6-1)*I6,0)</s:f>
        <s:v>749.7304498523823</s:v>
      </s:c>
      <s:c r="M6" s="11" t="str">
        <s:f>IF(AND(K6&gt;=0,K5&lt;0),A6-1-K5/(H6-G6),"")</s:f>
        <s:v/>
      </s:c>
      <s:c r="N6" s="11">
        <s:f>N5+J6-G6*I6</s:f>
        <s:v>-10143149.730638022</s:v>
      </s:c>
      <s:c r="O6" s="11" t="str">
        <s:f>IF(AND(N6&gt;=0,N5&lt;0),A6-1-N5/((H6-G6)*I6),"")</s:f>
        <s:v/>
      </s:c>
    </s:row>
    <s:row r="7" ht="20" customHeight="1">
      <s:c r="A7" s="2" t="n">
        <s:v>5</s:v>
      </s:c>
      <s:c r="B7" s="2">
        <s:f>IF(AND(A7&gt;'S3 results'!$B$4,A7&lt;='S3 results'!$B$5),A7-'S3 results'!$B$4,0)</s:f>
        <s:v>2</s:v>
      </s:c>
      <s:c r="C7" s="5">
        <s:f>IF(B7&gt;0,'S3 inputs'!$B$16*(1+'S3 inputs'!$B$18)^(B7-1),0)</s:f>
        <s:v>612.0</s:v>
      </s:c>
      <s:c r="D7" s="5">
        <s:f>IF(B7&gt;0,'S3 inputs'!$B$2*'S3 inputs'!$B$14*'S3 inputs'!$B$15*C7,0)</s:f>
        <s:v>624240.0</s:v>
      </s:c>
      <s:c r="E7" s="5">
        <s:f>IF(B7&gt;0,('S3 inputs'!$B$20+'S3 inputs'!$B$21+'S3 inputs'!$B$2*'S3 inputs'!$B$14*('S3 inputs'!$B$22+'S3 inputs'!$B$23)+('S3 inputs'!$B$2*'S3 inputs'!$B$3*'S3 inputs'!$B$5+'S3 inputs'!$B$6)*'S3 inputs'!$B$24)*(1+'S3 inputs'!$B$19)^(B7-1),0)</s:f>
        <s:v>274700.0</s:v>
      </s:c>
      <s:c r="F7" s="5">
        <s:f>IF(AND(B7&gt;0,B7&lt;'S3 inputs'!$B$12,MOD(B7,'S3 inputs'!$B$25)=0),'S3 inputs'!$B$26*(1+'S3 inputs'!$B$19)^(B7-1),0)</s:f>
        <s:v>0</s:v>
      </s:c>
      <s:c r="G7" s="5">
        <s:f>IF(A7='S3 results'!$B$5,'S3 inputs'!$B$27*(1-'S3 inputs'!$B$28),0)</s:f>
        <s:v>0</s:v>
      </s:c>
      <s:c r="H7" s="5">
        <s:f>D7-E7-F7+G7</s:f>
        <s:v>349540.0</s:v>
      </s:c>
      <s:c r="I7" s="5">
        <s:f>1/(1+'S3 inputs'!$B$13)^A7</s:f>
        <s:v>0.6805831970337529</s:v>
      </s:c>
      <s:c r="J7" s="5">
        <s:f>H7*I7</s:f>
        <s:v>237891.05069117798</s:v>
      </s:c>
      <s:c r="K7" s="5">
        <s:f>K6+H7-G7</s:f>
        <s:v>-9702460.000000002</s:v>
      </s:c>
      <s:c r="L7" s="5">
        <s:f>IF(B7&gt;0,'S3 inputs'!$B$2*'S3 inputs'!$B$14*'S3 inputs'!$B$15*(1+'S3 inputs'!$B$18)^(B7-1)*I7,0)</s:f>
        <s:v>708.0787581939165</s:v>
      </s:c>
      <s:c r="M7" s="11" t="str">
        <s:f>IF(AND(K7&gt;=0,K6&lt;0),A7-1-K6/(H7-G7),"")</s:f>
        <s:v/>
      </s:c>
      <s:c r="N7" s="11">
        <s:f>N6+J7-G7*I7</s:f>
        <s:v>-9905258.679946844</s:v>
      </s:c>
      <s:c r="O7" s="11" t="str">
        <s:f>IF(AND(N7&gt;=0,N6&lt;0),A7-1-N6/((H7-G7)*I7),"")</s:f>
        <s:v/>
      </s:c>
    </s:row>
    <s:row r="8" ht="20" customHeight="1">
      <s:c r="A8" s="2" t="n">
        <s:v>6</s:v>
      </s:c>
      <s:c r="B8" s="2">
        <s:f>IF(AND(A8&gt;'S3 results'!$B$4,A8&lt;='S3 results'!$B$5),A8-'S3 results'!$B$4,0)</s:f>
        <s:v>3</s:v>
      </s:c>
      <s:c r="C8" s="5">
        <s:f>IF(B8&gt;0,'S3 inputs'!$B$16*(1+'S3 inputs'!$B$18)^(B8-1),0)</s:f>
        <s:v>624.24</s:v>
      </s:c>
      <s:c r="D8" s="5">
        <s:f>IF(B8&gt;0,'S3 inputs'!$B$2*'S3 inputs'!$B$14*'S3 inputs'!$B$15*C8,0)</s:f>
        <s:v>636724.8</s:v>
      </s:c>
      <s:c r="E8" s="5">
        <s:f>IF(B8&gt;0,('S3 inputs'!$B$20+'S3 inputs'!$B$21+'S3 inputs'!$B$2*'S3 inputs'!$B$14*('S3 inputs'!$B$22+'S3 inputs'!$B$23)+('S3 inputs'!$B$2*'S3 inputs'!$B$3*'S3 inputs'!$B$5+'S3 inputs'!$B$6)*'S3 inputs'!$B$24)*(1+'S3 inputs'!$B$19)^(B8-1),0)</s:f>
        <s:v>281567.5</s:v>
      </s:c>
      <s:c r="F8" s="5">
        <s:f>IF(AND(B8&gt;0,B8&lt;'S3 inputs'!$B$12,MOD(B8,'S3 inputs'!$B$25)=0),'S3 inputs'!$B$26*(1+'S3 inputs'!$B$19)^(B8-1),0)</s:f>
        <s:v>0</s:v>
      </s:c>
      <s:c r="G8" s="5">
        <s:f>IF(A8='S3 results'!$B$5,'S3 inputs'!$B$27*(1-'S3 inputs'!$B$28),0)</s:f>
        <s:v>0</s:v>
      </s:c>
      <s:c r="H8" s="5">
        <s:f>D8-E8-F8+G8</s:f>
        <s:v>355157.30000000005</s:v>
      </s:c>
      <s:c r="I8" s="5">
        <s:f>1/(1+'S3 inputs'!$B$13)^A8</s:f>
        <s:v>0.6301696268831045</s:v>
      </s:c>
      <s:c r="J8" s="5">
        <s:f>H8*I8</s:f>
        <s:v>223809.34322581085</s:v>
      </s:c>
      <s:c r="K8" s="5">
        <s:f>K7+H8-G8</s:f>
        <s:v>-9347302.700000001</s:v>
      </s:c>
      <s:c r="L8" s="5">
        <s:f>IF(B8&gt;0,'S3 inputs'!$B$2*'S3 inputs'!$B$14*'S3 inputs'!$B$15*(1+'S3 inputs'!$B$18)^(B8-1)*I8,0)</s:f>
        <s:v>668.7410494053656</s:v>
      </s:c>
      <s:c r="M8" s="11" t="str">
        <s:f>IF(AND(K8&gt;=0,K7&lt;0),A8-1-K7/(H8-G8),"")</s:f>
        <s:v/>
      </s:c>
      <s:c r="N8" s="11">
        <s:f>N7+J8-G8*I8</s:f>
        <s:v>-9681449.336721033</s:v>
      </s:c>
      <s:c r="O8" s="11" t="str">
        <s:f>IF(AND(N8&gt;=0,N7&lt;0),A8-1-N7/((H8-G8)*I8),"")</s:f>
        <s:v/>
      </s:c>
    </s:row>
    <s:row r="9" ht="20" customHeight="1">
      <s:c r="A9" s="2" t="n">
        <s:v>7</s:v>
      </s:c>
      <s:c r="B9" s="2">
        <s:f>IF(AND(A9&gt;'S3 results'!$B$4,A9&lt;='S3 results'!$B$5),A9-'S3 results'!$B$4,0)</s:f>
        <s:v>4</s:v>
      </s:c>
      <s:c r="C9" s="5">
        <s:f>IF(B9&gt;0,'S3 inputs'!$B$16*(1+'S3 inputs'!$B$18)^(B9-1),0)</s:f>
        <s:v>636.7248000000001</s:v>
      </s:c>
      <s:c r="D9" s="5">
        <s:f>IF(B9&gt;0,'S3 inputs'!$B$2*'S3 inputs'!$B$14*'S3 inputs'!$B$15*C9,0)</s:f>
        <s:v>649459.2960000001</s:v>
      </s:c>
      <s:c r="E9" s="5">
        <s:f>IF(B9&gt;0,('S3 inputs'!$B$20+'S3 inputs'!$B$21+'S3 inputs'!$B$2*'S3 inputs'!$B$14*('S3 inputs'!$B$22+'S3 inputs'!$B$23)+('S3 inputs'!$B$2*'S3 inputs'!$B$3*'S3 inputs'!$B$5+'S3 inputs'!$B$6)*'S3 inputs'!$B$24)*(1+'S3 inputs'!$B$19)^(B9-1),0)</s:f>
        <s:v>288606.6874999999</s:v>
      </s:c>
      <s:c r="F9" s="5">
        <s:f>IF(AND(B9&gt;0,B9&lt;'S3 inputs'!$B$12,MOD(B9,'S3 inputs'!$B$25)=0),'S3 inputs'!$B$26*(1+'S3 inputs'!$B$19)^(B9-1),0)</s:f>
        <s:v>0</s:v>
      </s:c>
      <s:c r="G9" s="5">
        <s:f>IF(A9='S3 results'!$B$5,'S3 inputs'!$B$27*(1-'S3 inputs'!$B$28),0)</s:f>
        <s:v>0</s:v>
      </s:c>
      <s:c r="H9" s="5">
        <s:f>D9-E9-F9+G9</s:f>
        <s:v>360852.6085000002</s:v>
      </s:c>
      <s:c r="I9" s="5">
        <s:f>1/(1+'S3 inputs'!$B$13)^A9</s:f>
        <s:v>0.5834903952621338</s:v>
      </s:c>
      <s:c r="J9" s="5">
        <s:f>H9*I9</s:f>
        <s:v>210554.03116503713</s:v>
      </s:c>
      <s:c r="K9" s="5">
        <s:f>K8+H9-G9</s:f>
        <s:v>-8986450.091500001</s:v>
      </s:c>
      <s:c r="L9" s="5">
        <s:f>IF(B9&gt;0,'S3 inputs'!$B$2*'S3 inputs'!$B$14*'S3 inputs'!$B$15*(1+'S3 inputs'!$B$18)^(B9-1)*I9,0)</s:f>
        <s:v>631.5887688828452</s:v>
      </s:c>
      <s:c r="M9" s="11" t="str">
        <s:f>IF(AND(K9&gt;=0,K8&lt;0),A9-1-K8/(H9-G9),"")</s:f>
        <s:v/>
      </s:c>
      <s:c r="N9" s="11">
        <s:f>N8+J9-G9*I9</s:f>
        <s:v>-9470895.305555996</s:v>
      </s:c>
      <s:c r="O9" s="11" t="str">
        <s:f>IF(AND(N9&gt;=0,N8&lt;0),A9-1-N8/((H9-G9)*I9),"")</s:f>
        <s:v/>
      </s:c>
    </s:row>
    <s:row r="10" ht="20" customHeight="1">
      <s:c r="A10" s="2" t="n">
        <s:v>8</s:v>
      </s:c>
      <s:c r="B10" s="2">
        <s:f>IF(AND(A10&gt;'S3 results'!$B$4,A10&lt;='S3 results'!$B$5),A10-'S3 results'!$B$4,0)</s:f>
        <s:v>5</s:v>
      </s:c>
      <s:c r="C10" s="5">
        <s:f>IF(B10&gt;0,'S3 inputs'!$B$16*(1+'S3 inputs'!$B$18)^(B10-1),0)</s:f>
        <s:v>649.459296</s:v>
      </s:c>
      <s:c r="D10" s="5">
        <s:f>IF(B10&gt;0,'S3 inputs'!$B$2*'S3 inputs'!$B$14*'S3 inputs'!$B$15*C10,0)</s:f>
        <s:v>662448.48192</s:v>
      </s:c>
      <s:c r="E10" s="5">
        <s:f>IF(B10&gt;0,('S3 inputs'!$B$20+'S3 inputs'!$B$21+'S3 inputs'!$B$2*'S3 inputs'!$B$14*('S3 inputs'!$B$22+'S3 inputs'!$B$23)+('S3 inputs'!$B$2*'S3 inputs'!$B$3*'S3 inputs'!$B$5+'S3 inputs'!$B$6)*'S3 inputs'!$B$24)*(1+'S3 inputs'!$B$19)^(B10-1),0)</s:f>
        <s:v>295821.8546874999</s:v>
      </s:c>
      <s:c r="F10" s="5">
        <s:f>IF(AND(B10&gt;0,B10&lt;'S3 inputs'!$B$12,MOD(B10,'S3 inputs'!$B$25)=0),'S3 inputs'!$B$26*(1+'S3 inputs'!$B$19)^(B10-1),0)</s:f>
        <s:v>0</s:v>
      </s:c>
      <s:c r="G10" s="5">
        <s:f>IF(A10='S3 results'!$B$5,'S3 inputs'!$B$27*(1-'S3 inputs'!$B$28),0)</s:f>
        <s:v>0</s:v>
      </s:c>
      <s:c r="H10" s="5">
        <s:f>D10-E10-F10+G10</s:f>
        <s:v>366626.6272325002</s:v>
      </s:c>
      <s:c r="I10" s="5">
        <s:f>1/(1+'S3 inputs'!$B$13)^A10</s:f>
        <s:v>0.5402688845019757</s:v>
      </s:c>
      <s:c r="J10" s="5">
        <s:f>H10*I10</s:f>
        <s:v>198076.95892362457</s:v>
      </s:c>
      <s:c r="K10" s="5">
        <s:f>K9+H10-G10</s:f>
        <s:v>-8619823.464267502</s:v>
      </s:c>
      <s:c r="L10" s="5">
        <s:f>IF(B10&gt;0,'S3 inputs'!$B$2*'S3 inputs'!$B$14*'S3 inputs'!$B$15*(1+'S3 inputs'!$B$18)^(B10-1)*I10,0)</s:f>
        <s:v>596.5005039449094</s:v>
      </s:c>
      <s:c r="M10" s="11" t="str">
        <s:f>IF(AND(K10&gt;=0,K9&lt;0),A10-1-K9/(H10-G10),"")</s:f>
        <s:v/>
      </s:c>
      <s:c r="N10" s="11">
        <s:f>N9+J10-G10*I10</s:f>
        <s:v>-9272818.34663237</s:v>
      </s:c>
      <s:c r="O10" s="11" t="str">
        <s:f>IF(AND(N10&gt;=0,N9&lt;0),A10-1-N9/((H10-G10)*I10),"")</s:f>
        <s:v/>
      </s:c>
    </s:row>
    <s:row r="11" ht="20" customHeight="1">
      <s:c r="A11" s="2" t="n">
        <s:v>9</s:v>
      </s:c>
      <s:c r="B11" s="2">
        <s:f>IF(AND(A11&gt;'S3 results'!$B$4,A11&lt;='S3 results'!$B$5),A11-'S3 results'!$B$4,0)</s:f>
        <s:v>6</s:v>
      </s:c>
      <s:c r="C11" s="5">
        <s:f>IF(B11&gt;0,'S3 inputs'!$B$16*(1+'S3 inputs'!$B$18)^(B11-1),0)</s:f>
        <s:v>662.4484819200001</s:v>
      </s:c>
      <s:c r="D11" s="5">
        <s:f>IF(B11&gt;0,'S3 inputs'!$B$2*'S3 inputs'!$B$14*'S3 inputs'!$B$15*C11,0)</s:f>
        <s:v>675697.4515584001</s:v>
      </s:c>
      <s:c r="E11" s="5">
        <s:f>IF(B11&gt;0,('S3 inputs'!$B$20+'S3 inputs'!$B$21+'S3 inputs'!$B$2*'S3 inputs'!$B$14*('S3 inputs'!$B$22+'S3 inputs'!$B$23)+('S3 inputs'!$B$2*'S3 inputs'!$B$3*'S3 inputs'!$B$5+'S3 inputs'!$B$6)*'S3 inputs'!$B$24)*(1+'S3 inputs'!$B$19)^(B11-1),0)</s:f>
        <s:v>303217.40105468733</s:v>
      </s:c>
      <s:c r="F11" s="5">
        <s:f>IF(AND(B11&gt;0,B11&lt;'S3 inputs'!$B$12,MOD(B11,'S3 inputs'!$B$25)=0),'S3 inputs'!$B$26*(1+'S3 inputs'!$B$19)^(B11-1),0)</s:f>
        <s:v>0</s:v>
      </s:c>
      <s:c r="G11" s="5">
        <s:f>IF(A11='S3 results'!$B$5,'S3 inputs'!$B$27*(1-'S3 inputs'!$B$28),0)</s:f>
        <s:v>0</s:v>
      </s:c>
      <s:c r="H11" s="5">
        <s:f>D11-E11-F11+G11</s:f>
        <s:v>372480.05050371273</s:v>
      </s:c>
      <s:c r="I11" s="5">
        <s:f>1/(1+'S3 inputs'!$B$13)^A11</s:f>
        <s:v>0.5002489671314589</s:v>
      </s:c>
      <s:c r="J11" s="5">
        <s:f>H11*I11</s:f>
        <s:v>186332.76054155597</s:v>
      </s:c>
      <s:c r="K11" s="5">
        <s:f>K10+H11-G11</s:f>
        <s:v>-8247343.4137637885</s:v>
      </s:c>
      <s:c r="L11" s="5">
        <s:f>IF(B11&gt;0,'S3 inputs'!$B$2*'S3 inputs'!$B$14*'S3 inputs'!$B$15*(1+'S3 inputs'!$B$18)^(B11-1)*I11,0)</s:f>
        <s:v>563.361587059081</s:v>
      </s:c>
      <s:c r="M11" s="11" t="str">
        <s:f>IF(AND(K11&gt;=0,K10&lt;0),A11-1-K10/(H11-G11),"")</s:f>
        <s:v/>
      </s:c>
      <s:c r="N11" s="11">
        <s:f>N10+J11-G11*I11</s:f>
        <s:v>-9086485.586090814</s:v>
      </s:c>
      <s:c r="O11" s="11" t="str">
        <s:f>IF(AND(N11&gt;=0,N10&lt;0),A11-1-N10/((H11-G11)*I11),"")</s:f>
        <s:v/>
      </s:c>
    </s:row>
    <s:row r="12" ht="20" customHeight="1">
      <s:c r="A12" s="2" t="n">
        <s:v>10</s:v>
      </s:c>
      <s:c r="B12" s="2">
        <s:f>IF(AND(A12&gt;'S3 results'!$B$4,A12&lt;='S3 results'!$B$5),A12-'S3 results'!$B$4,0)</s:f>
        <s:v>7</s:v>
      </s:c>
      <s:c r="C12" s="5">
        <s:f>IF(B12&gt;0,'S3 inputs'!$B$16*(1+'S3 inputs'!$B$18)^(B12-1),0)</s:f>
        <s:v>675.6974515584001</s:v>
      </s:c>
      <s:c r="D12" s="5">
        <s:f>IF(B12&gt;0,'S3 inputs'!$B$2*'S3 inputs'!$B$14*'S3 inputs'!$B$15*C12,0)</s:f>
        <s:v>689211.4005895681</s:v>
      </s:c>
      <s:c r="E12" s="5">
        <s:f>IF(B12&gt;0,('S3 inputs'!$B$20+'S3 inputs'!$B$21+'S3 inputs'!$B$2*'S3 inputs'!$B$14*('S3 inputs'!$B$22+'S3 inputs'!$B$23)+('S3 inputs'!$B$2*'S3 inputs'!$B$3*'S3 inputs'!$B$5+'S3 inputs'!$B$6)*'S3 inputs'!$B$24)*(1+'S3 inputs'!$B$19)^(B12-1),0)</s:f>
        <s:v>310797.8360810545</s:v>
      </s:c>
      <s:c r="F12" s="5">
        <s:f>IF(AND(B12&gt;0,B12&lt;'S3 inputs'!$B$12,MOD(B12,'S3 inputs'!$B$25)=0),'S3 inputs'!$B$26*(1+'S3 inputs'!$B$19)^(B12-1),0)</s:f>
        <s:v>0</s:v>
      </s:c>
      <s:c r="G12" s="5">
        <s:f>IF(A12='S3 results'!$B$5,'S3 inputs'!$B$27*(1-'S3 inputs'!$B$28),0)</s:f>
        <s:v>0</s:v>
      </s:c>
      <s:c r="H12" s="5">
        <s:f>D12-E12-F12+G12</s:f>
        <s:v>378413.56450851355</s:v>
      </s:c>
      <s:c r="I12" s="5">
        <s:f>1/(1+'S3 inputs'!$B$13)^A12</s:f>
        <s:v>0.46319348808468414</s:v>
      </s:c>
      <s:c r="J12" s="5">
        <s:f>H12*I12</s:f>
        <s:v>175278.69888325702</s:v>
      </s:c>
      <s:c r="K12" s="5">
        <s:f>K11+H12-G12</s:f>
        <s:v>-7868929.849255275</s:v>
      </s:c>
      <s:c r="L12" s="5">
        <s:f>IF(B12&gt;0,'S3 inputs'!$B$2*'S3 inputs'!$B$14*'S3 inputs'!$B$15*(1+'S3 inputs'!$B$18)^(B12-1)*I12,0)</s:f>
        <s:v>532.0637211113542</s:v>
      </s:c>
      <s:c r="M12" s="11" t="str">
        <s:f>IF(AND(K12&gt;=0,K11&lt;0),A12-1-K11/(H12-G12),"")</s:f>
        <s:v/>
      </s:c>
      <s:c r="N12" s="11">
        <s:f>N11+J12-G12*I12</s:f>
        <s:v>-8911206.887207557</s:v>
      </s:c>
      <s:c r="O12" s="11" t="str">
        <s:f>IF(AND(N12&gt;=0,N11&lt;0),A12-1-N11/((H12-G12)*I12),"")</s:f>
        <s:v/>
      </s:c>
    </s:row>
    <s:row r="13" ht="20" customHeight="1">
      <s:c r="A13" s="2" t="n">
        <s:v>11</s:v>
      </s:c>
      <s:c r="B13" s="2">
        <s:f>IF(AND(A13&gt;'S3 results'!$B$4,A13&lt;='S3 results'!$B$5),A13-'S3 results'!$B$4,0)</s:f>
        <s:v>8</s:v>
      </s:c>
      <s:c r="C13" s="5">
        <s:f>IF(B13&gt;0,'S3 inputs'!$B$16*(1+'S3 inputs'!$B$18)^(B13-1),0)</s:f>
        <s:v>689.211400589568</s:v>
      </s:c>
      <s:c r="D13" s="5">
        <s:f>IF(B13&gt;0,'S3 inputs'!$B$2*'S3 inputs'!$B$14*'S3 inputs'!$B$15*C13,0)</s:f>
        <s:v>702995.6286013594</s:v>
      </s:c>
      <s:c r="E13" s="5">
        <s:f>IF(B13&gt;0,('S3 inputs'!$B$20+'S3 inputs'!$B$21+'S3 inputs'!$B$2*'S3 inputs'!$B$14*('S3 inputs'!$B$22+'S3 inputs'!$B$23)+('S3 inputs'!$B$2*'S3 inputs'!$B$3*'S3 inputs'!$B$5+'S3 inputs'!$B$6)*'S3 inputs'!$B$24)*(1+'S3 inputs'!$B$19)^(B13-1),0)</s:f>
        <s:v>318567.7819830809</s:v>
      </s:c>
      <s:c r="F13" s="5">
        <s:f>IF(AND(B13&gt;0,B13&lt;'S3 inputs'!$B$12,MOD(B13,'S3 inputs'!$B$25)=0),'S3 inputs'!$B$26*(1+'S3 inputs'!$B$19)^(B13-1),0)</s:f>
        <s:v>0</s:v>
      </s:c>
      <s:c r="G13" s="5">
        <s:f>IF(A13='S3 results'!$B$5,'S3 inputs'!$B$27*(1-'S3 inputs'!$B$28),0)</s:f>
        <s:v>0</s:v>
      </s:c>
      <s:c r="H13" s="5">
        <s:f>D13-E13-F13+G13</s:f>
        <s:v>384427.84661827853</s:v>
      </s:c>
      <s:c r="I13" s="5">
        <s:f>1/(1+'S3 inputs'!$B$13)^A13</s:f>
        <s:v>0.4288828593376705</s:v>
      </s:c>
      <s:c r="J13" s="5">
        <s:f>H13*I13</s:f>
        <s:v>164874.51406667073</s:v>
      </s:c>
      <s:c r="K13" s="5">
        <s:f>K12+H13-G13</s:f>
        <s:v>-7484502.002636996</s:v>
      </s:c>
      <s:c r="L13" s="5">
        <s:f>IF(B13&gt;0,'S3 inputs'!$B$2*'S3 inputs'!$B$14*'S3 inputs'!$B$15*(1+'S3 inputs'!$B$18)^(B13-1)*I13,0)</s:f>
        <s:v>502.5046254940568</s:v>
      </s:c>
      <s:c r="M13" s="11" t="str">
        <s:f>IF(AND(K13&gt;=0,K12&lt;0),A13-1-K12/(H13-G13),"")</s:f>
        <s:v/>
      </s:c>
      <s:c r="N13" s="11">
        <s:f>N12+J13-G13*I13</s:f>
        <s:v>-8746332.373140886</s:v>
      </s:c>
      <s:c r="O13" s="11" t="str">
        <s:f>IF(AND(N13&gt;=0,N12&lt;0),A13-1-N12/((H13-G13)*I13),"")</s:f>
        <s:v/>
      </s:c>
    </s:row>
    <s:row r="14" ht="20" customHeight="1">
      <s:c r="A14" s="2" t="n">
        <s:v>12</s:v>
      </s:c>
      <s:c r="B14" s="2">
        <s:f>IF(AND(A14&gt;'S3 results'!$B$4,A14&lt;='S3 results'!$B$5),A14-'S3 results'!$B$4,0)</s:f>
        <s:v>9</s:v>
      </s:c>
      <s:c r="C14" s="5">
        <s:f>IF(B14&gt;0,'S3 inputs'!$B$16*(1+'S3 inputs'!$B$18)^(B14-1),0)</s:f>
        <s:v>702.9956286013595</s:v>
      </s:c>
      <s:c r="D14" s="5">
        <s:f>IF(B14&gt;0,'S3 inputs'!$B$2*'S3 inputs'!$B$14*'S3 inputs'!$B$15*C14,0)</s:f>
        <s:v>717055.5411733867</s:v>
      </s:c>
      <s:c r="E14" s="5">
        <s:f>IF(B14&gt;0,('S3 inputs'!$B$20+'S3 inputs'!$B$21+'S3 inputs'!$B$2*'S3 inputs'!$B$14*('S3 inputs'!$B$22+'S3 inputs'!$B$23)+('S3 inputs'!$B$2*'S3 inputs'!$B$3*'S3 inputs'!$B$5+'S3 inputs'!$B$6)*'S3 inputs'!$B$24)*(1+'S3 inputs'!$B$19)^(B14-1),0)</s:f>
        <s:v>326531.9765326578</s:v>
      </s:c>
      <s:c r="F14" s="5">
        <s:f>IF(AND(B14&gt;0,B14&lt;'S3 inputs'!$B$12,MOD(B14,'S3 inputs'!$B$25)=0),'S3 inputs'!$B$26*(1+'S3 inputs'!$B$19)^(B14-1),0)</s:f>
        <s:v>0</s:v>
      </s:c>
      <s:c r="G14" s="5">
        <s:f>IF(A14='S3 results'!$B$5,'S3 inputs'!$B$27*(1-'S3 inputs'!$B$28),0)</s:f>
        <s:v>0</s:v>
      </s:c>
      <s:c r="H14" s="5">
        <s:f>D14-E14-F14+G14</s:f>
        <s:v>390523.56464072893</s:v>
      </s:c>
      <s:c r="I14" s="5">
        <s:f>1/(1+'S3 inputs'!$B$13)^A14</s:f>
        <s:v>0.3971137586459912</s:v>
      </s:c>
      <s:c r="J14" s="5">
        <s:f>H14*I14</s:f>
        <s:v>155082.28059431058</s:v>
      </s:c>
      <s:c r="K14" s="5">
        <s:f>K13+H14-G14</s:f>
        <s:v>-7093978.437996267</s:v>
      </s:c>
      <s:c r="L14" s="5">
        <s:f>IF(B14&gt;0,'S3 inputs'!$B$2*'S3 inputs'!$B$14*'S3 inputs'!$B$15*(1+'S3 inputs'!$B$18)^(B14-1)*I14,0)</s:f>
        <s:v>474.5877018554981</s:v>
      </s:c>
      <s:c r="M14" s="11" t="str">
        <s:f>IF(AND(K14&gt;=0,K13&lt;0),A14-1-K13/(H14-G14),"")</s:f>
        <s:v/>
      </s:c>
      <s:c r="N14" s="11">
        <s:f>N13+J14-G14*I14</s:f>
        <s:v>-8591250.092546577</s:v>
      </s:c>
      <s:c r="O14" s="11" t="str">
        <s:f>IF(AND(N14&gt;=0,N13&lt;0),A14-1-N13/((H14-G14)*I14),"")</s:f>
        <s:v/>
      </s:c>
    </s:row>
    <s:row r="15" ht="20" customHeight="1">
      <s:c r="A15" s="2" t="n">
        <s:v>13</s:v>
      </s:c>
      <s:c r="B15" s="2">
        <s:f>IF(AND(A15&gt;'S3 results'!$B$4,A15&lt;='S3 results'!$B$5),A15-'S3 results'!$B$4,0)</s:f>
        <s:v>10</s:v>
      </s:c>
      <s:c r="C15" s="5">
        <s:f>IF(B15&gt;0,'S3 inputs'!$B$16*(1+'S3 inputs'!$B$18)^(B15-1),0)</s:f>
        <s:v>717.0555411733866</s:v>
      </s:c>
      <s:c r="D15" s="5">
        <s:f>IF(B15&gt;0,'S3 inputs'!$B$2*'S3 inputs'!$B$14*'S3 inputs'!$B$15*C15,0)</s:f>
        <s:v>731396.6519968543</s:v>
      </s:c>
      <s:c r="E15" s="5">
        <s:f>IF(B15&gt;0,('S3 inputs'!$B$20+'S3 inputs'!$B$21+'S3 inputs'!$B$2*'S3 inputs'!$B$14*('S3 inputs'!$B$22+'S3 inputs'!$B$23)+('S3 inputs'!$B$2*'S3 inputs'!$B$3*'S3 inputs'!$B$5+'S3 inputs'!$B$6)*'S3 inputs'!$B$24)*(1+'S3 inputs'!$B$19)^(B15-1),0)</s:f>
        <s:v>334695.2759459743</s:v>
      </s:c>
      <s:c r="F15" s="5">
        <s:f>IF(AND(B15&gt;0,B15&lt;'S3 inputs'!$B$12,MOD(B15,'S3 inputs'!$B$25)=0),'S3 inputs'!$B$26*(1+'S3 inputs'!$B$19)^(B15-1),0)</s:f>
        <s:v>0</s:v>
      </s:c>
      <s:c r="G15" s="5">
        <s:f>IF(A15='S3 results'!$B$5,'S3 inputs'!$B$27*(1-'S3 inputs'!$B$28),0)</s:f>
        <s:v>0</s:v>
      </s:c>
      <s:c r="H15" s="5">
        <s:f>D15-E15-F15+G15</s:f>
        <s:v>396701.37605088006</s:v>
      </s:c>
      <s:c r="I15" s="5">
        <s:f>1/(1+'S3 inputs'!$B$13)^A15</s:f>
        <s:v>0.367697924672214</s:v>
      </s:c>
      <s:c r="J15" s="5">
        <s:f>H15*I15</s:f>
        <s:v>145866.27268852014</s:v>
      </s:c>
      <s:c r="K15" s="5">
        <s:f>K14+H15-G15</s:f>
        <s:v>-6697277.061945387</s:v>
      </s:c>
      <s:c r="L15" s="5">
        <s:f>IF(B15&gt;0,'S3 inputs'!$B$2*'S3 inputs'!$B$14*'S3 inputs'!$B$15*(1+'S3 inputs'!$B$18)^(B15-1)*I15,0)</s:f>
        <s:v>448.22171841908147</s:v>
      </s:c>
      <s:c r="M15" s="11" t="str">
        <s:f>IF(AND(K15&gt;=0,K14&lt;0),A15-1-K14/(H15-G15),"")</s:f>
        <s:v/>
      </s:c>
      <s:c r="N15" s="11">
        <s:f>N14+J15-G15*I15</s:f>
        <s:v>-8445383.819858056</s:v>
      </s:c>
      <s:c r="O15" s="11" t="str">
        <s:f>IF(AND(N15&gt;=0,N14&lt;0),A15-1-N14/((H15-G15)*I15),"")</s:f>
        <s:v/>
      </s:c>
    </s:row>
    <s:row r="16" ht="20" customHeight="1">
      <s:c r="A16" s="2" t="n">
        <s:v>14</s:v>
      </s:c>
      <s:c r="B16" s="2">
        <s:f>IF(AND(A16&gt;'S3 results'!$B$4,A16&lt;='S3 results'!$B$5),A16-'S3 results'!$B$4,0)</s:f>
        <s:v>11</s:v>
      </s:c>
      <s:c r="C16" s="5">
        <s:f>IF(B16&gt;0,'S3 inputs'!$B$16*(1+'S3 inputs'!$B$18)^(B16-1),0)</s:f>
        <s:v>731.3966519968544</s:v>
      </s:c>
      <s:c r="D16" s="5">
        <s:f>IF(B16&gt;0,'S3 inputs'!$B$2*'S3 inputs'!$B$14*'S3 inputs'!$B$15*C16,0)</s:f>
        <s:v>746024.5850367915</s:v>
      </s:c>
      <s:c r="E16" s="5">
        <s:f>IF(B16&gt;0,('S3 inputs'!$B$20+'S3 inputs'!$B$21+'S3 inputs'!$B$2*'S3 inputs'!$B$14*('S3 inputs'!$B$22+'S3 inputs'!$B$23)+('S3 inputs'!$B$2*'S3 inputs'!$B$3*'S3 inputs'!$B$5+'S3 inputs'!$B$6)*'S3 inputs'!$B$24)*(1+'S3 inputs'!$B$19)^(B16-1),0)</s:f>
        <s:v>343062.6578446236</s:v>
      </s:c>
      <s:c r="F16" s="5">
        <s:f>IF(AND(B16&gt;0,B16&lt;'S3 inputs'!$B$12,MOD(B16,'S3 inputs'!$B$25)=0),'S3 inputs'!$B$26*(1+'S3 inputs'!$B$19)^(B16-1),0)</s:f>
        <s:v>0</s:v>
      </s:c>
      <s:c r="G16" s="5">
        <s:f>IF(A16='S3 results'!$B$5,'S3 inputs'!$B$27*(1-'S3 inputs'!$B$28),0)</s:f>
        <s:v>0</s:v>
      </s:c>
      <s:c r="H16" s="5">
        <s:f>D16-E16-F16+G16</s:f>
        <s:v>402961.9271921679</s:v>
      </s:c>
      <s:c r="I16" s="5">
        <s:f>1/(1+'S3 inputs'!$B$13)^A16</s:f>
        <s:v>0.34046104136316113</s:v>
      </s:c>
      <s:c r="J16" s="5">
        <s:f>H16*I16</s:f>
        <s:v>137192.8373615518</s:v>
      </s:c>
      <s:c r="K16" s="5">
        <s:f>K15+H16-G16</s:f>
        <s:v>-6294315.134753219</s:v>
      </s:c>
      <s:c r="L16" s="5">
        <s:f>IF(B16&gt;0,'S3 inputs'!$B$2*'S3 inputs'!$B$14*'S3 inputs'!$B$15*(1+'S3 inputs'!$B$18)^(B16-1)*I16,0)</s:f>
        <s:v>423.3205118402436</s:v>
      </s:c>
      <s:c r="M16" s="11" t="str">
        <s:f>IF(AND(K16&gt;=0,K15&lt;0),A16-1-K15/(H16-G16),"")</s:f>
        <s:v/>
      </s:c>
      <s:c r="N16" s="11">
        <s:f>N15+J16-G16*I16</s:f>
        <s:v>-8308190.982496504</s:v>
      </s:c>
      <s:c r="O16" s="11" t="str">
        <s:f>IF(AND(N16&gt;=0,N15&lt;0),A16-1-N15/((H16-G16)*I16),"")</s:f>
        <s:v/>
      </s:c>
    </s:row>
    <s:row r="17" ht="20" customHeight="1">
      <s:c r="A17" s="2" t="n">
        <s:v>15</s:v>
      </s:c>
      <s:c r="B17" s="2">
        <s:f>IF(AND(A17&gt;'S3 results'!$B$4,A17&lt;='S3 results'!$B$5),A17-'S3 results'!$B$4,0)</s:f>
        <s:v>12</s:v>
      </s:c>
      <s:c r="C17" s="5">
        <s:f>IF(B17&gt;0,'S3 inputs'!$B$16*(1+'S3 inputs'!$B$18)^(B17-1),0)</s:f>
        <s:v>746.0245850367914</s:v>
      </s:c>
      <s:c r="D17" s="5">
        <s:f>IF(B17&gt;0,'S3 inputs'!$B$2*'S3 inputs'!$B$14*'S3 inputs'!$B$15*C17,0)</s:f>
        <s:v>760945.0767375273</s:v>
      </s:c>
      <s:c r="E17" s="5">
        <s:f>IF(B17&gt;0,('S3 inputs'!$B$20+'S3 inputs'!$B$21+'S3 inputs'!$B$2*'S3 inputs'!$B$14*('S3 inputs'!$B$22+'S3 inputs'!$B$23)+('S3 inputs'!$B$2*'S3 inputs'!$B$3*'S3 inputs'!$B$5+'S3 inputs'!$B$6)*'S3 inputs'!$B$24)*(1+'S3 inputs'!$B$19)^(B17-1),0)</s:f>
        <s:v>351639.22429073916</s:v>
      </s:c>
      <s:c r="F17" s="5">
        <s:f>IF(AND(B17&gt;0,B17&lt;'S3 inputs'!$B$12,MOD(B17,'S3 inputs'!$B$25)=0),'S3 inputs'!$B$26*(1+'S3 inputs'!$B$19)^(B17-1),0)</s:f>
        <s:v>0</s:v>
      </s:c>
      <s:c r="G17" s="5">
        <s:f>IF(A17='S3 results'!$B$5,'S3 inputs'!$B$27*(1-'S3 inputs'!$B$28),0)</s:f>
        <s:v>0</s:v>
      </s:c>
      <s:c r="H17" s="5">
        <s:f>D17-E17-F17+G17</s:f>
        <s:v>409305.8524467881</s:v>
      </s:c>
      <s:c r="I17" s="5">
        <s:f>1/(1+'S3 inputs'!$B$13)^A17</s:f>
        <s:v>0.31524170496588994</s:v>
      </s:c>
      <s:c r="J17" s="5">
        <s:f>H17*I17</s:f>
        <s:v>129030.27477784245</s:v>
      </s:c>
      <s:c r="K17" s="5">
        <s:f>K16+H17-G17</s:f>
        <s:v>-5885009.282306431</s:v>
      </s:c>
      <s:c r="L17" s="5">
        <s:f>IF(B17&gt;0,'S3 inputs'!$B$2*'S3 inputs'!$B$14*'S3 inputs'!$B$15*(1+'S3 inputs'!$B$18)^(B17-1)*I17,0)</s:f>
        <s:v>399.80270562689674</s:v>
      </s:c>
      <s:c r="M17" s="11" t="str">
        <s:f>IF(AND(K17&gt;=0,K16&lt;0),A17-1-K16/(H17-G17),"")</s:f>
        <s:v/>
      </s:c>
      <s:c r="N17" s="11">
        <s:f>N16+J17-G17*I17</s:f>
        <s:v>-8179160.707718661</s:v>
      </s:c>
      <s:c r="O17" s="11" t="str">
        <s:f>IF(AND(N17&gt;=0,N16&lt;0),A17-1-N16/((H17-G17)*I17),"")</s:f>
        <s:v/>
      </s:c>
    </s:row>
    <s:row r="18" ht="20" customHeight="1">
      <s:c r="A18" s="2" t="n">
        <s:v>16</s:v>
      </s:c>
      <s:c r="B18" s="2">
        <s:f>IF(AND(A18&gt;'S3 results'!$B$4,A18&lt;='S3 results'!$B$5),A18-'S3 results'!$B$4,0)</s:f>
        <s:v>13</s:v>
      </s:c>
      <s:c r="C18" s="5">
        <s:f>IF(B18&gt;0,'S3 inputs'!$B$16*(1+'S3 inputs'!$B$18)^(B18-1),0)</s:f>
        <s:v>760.9450767375273</s:v>
      </s:c>
      <s:c r="D18" s="5">
        <s:f>IF(B18&gt;0,'S3 inputs'!$B$2*'S3 inputs'!$B$14*'S3 inputs'!$B$15*C18,0)</s:f>
        <s:v>776163.9782722779</s:v>
      </s:c>
      <s:c r="E18" s="5">
        <s:f>IF(B18&gt;0,('S3 inputs'!$B$20+'S3 inputs'!$B$21+'S3 inputs'!$B$2*'S3 inputs'!$B$14*('S3 inputs'!$B$22+'S3 inputs'!$B$23)+('S3 inputs'!$B$2*'S3 inputs'!$B$3*'S3 inputs'!$B$5+'S3 inputs'!$B$6)*'S3 inputs'!$B$24)*(1+'S3 inputs'!$B$19)^(B18-1),0)</s:f>
        <s:v>360430.2048980076</s:v>
      </s:c>
      <s:c r="F18" s="5">
        <s:f>IF(AND(B18&gt;0,B18&lt;'S3 inputs'!$B$12,MOD(B18,'S3 inputs'!$B$25)=0),'S3 inputs'!$B$26*(1+'S3 inputs'!$B$19)^(B18-1),0)</s:f>
        <s:v>0</s:v>
      </s:c>
      <s:c r="G18" s="5">
        <s:f>IF(A18='S3 results'!$B$5,'S3 inputs'!$B$27*(1-'S3 inputs'!$B$28),0)</s:f>
        <s:v>0</s:v>
      </s:c>
      <s:c r="H18" s="5">
        <s:f>D18-E18-F18+G18</s:f>
        <s:v>415733.77337427024</s:v>
      </s:c>
      <s:c r="I18" s="5">
        <s:f>1/(1+'S3 inputs'!$B$13)^A18</s:f>
        <s:v>0.29189046756100917</s:v>
      </s:c>
      <s:c r="J18" s="5">
        <s:f>H18*I18</s:f>
        <s:v>121348.72549111837</s:v>
      </s:c>
      <s:c r="K18" s="5">
        <s:f>K17+H18-G18</s:f>
        <s:v>-5469275.50893216</s:v>
      </s:c>
      <s:c r="L18" s="5">
        <s:f>IF(B18&gt;0,'S3 inputs'!$B$2*'S3 inputs'!$B$14*'S3 inputs'!$B$15*(1+'S3 inputs'!$B$18)^(B18-1)*I18,0)</s:f>
        <s:v>377.59144420318023</s:v>
      </s:c>
      <s:c r="M18" s="11" t="str">
        <s:f>IF(AND(K18&gt;=0,K17&lt;0),A18-1-K17/(H18-G18),"")</s:f>
        <s:v/>
      </s:c>
      <s:c r="N18" s="11">
        <s:f>N17+J18-G18*I18</s:f>
        <s:v>-8057811.982227542</s:v>
      </s:c>
      <s:c r="O18" s="11" t="str">
        <s:f>IF(AND(N18&gt;=0,N17&lt;0),A18-1-N17/((H18-G18)*I18),"")</s:f>
        <s:v/>
      </s:c>
    </s:row>
    <s:row r="19" ht="20" customHeight="1">
      <s:c r="A19" s="2" t="n">
        <s:v>17</s:v>
      </s:c>
      <s:c r="B19" s="2">
        <s:f>IF(AND(A19&gt;'S3 results'!$B$4,A19&lt;='S3 results'!$B$5),A19-'S3 results'!$B$4,0)</s:f>
        <s:v>14</s:v>
      </s:c>
      <s:c r="C19" s="5">
        <s:f>IF(B19&gt;0,'S3 inputs'!$B$16*(1+'S3 inputs'!$B$18)^(B19-1),0)</s:f>
        <s:v>776.163978272278</s:v>
      </s:c>
      <s:c r="D19" s="5">
        <s:f>IF(B19&gt;0,'S3 inputs'!$B$2*'S3 inputs'!$B$14*'S3 inputs'!$B$15*C19,0)</s:f>
        <s:v>791687.2578377235</s:v>
      </s:c>
      <s:c r="E19" s="5">
        <s:f>IF(B19&gt;0,('S3 inputs'!$B$20+'S3 inputs'!$B$21+'S3 inputs'!$B$2*'S3 inputs'!$B$14*('S3 inputs'!$B$22+'S3 inputs'!$B$23)+('S3 inputs'!$B$2*'S3 inputs'!$B$3*'S3 inputs'!$B$5+'S3 inputs'!$B$6)*'S3 inputs'!$B$24)*(1+'S3 inputs'!$B$19)^(B19-1),0)</s:f>
        <s:v>369440.96002045774</s:v>
      </s:c>
      <s:c r="F19" s="5">
        <s:f>IF(AND(B19&gt;0,B19&lt;'S3 inputs'!$B$12,MOD(B19,'S3 inputs'!$B$25)=0),'S3 inputs'!$B$26*(1+'S3 inputs'!$B$19)^(B19-1),0)</s:f>
        <s:v>0</s:v>
      </s:c>
      <s:c r="G19" s="5">
        <s:f>IF(A19='S3 results'!$B$5,'S3 inputs'!$B$27*(1-'S3 inputs'!$B$28),0)</s:f>
        <s:v>0</s:v>
      </s:c>
      <s:c r="H19" s="5">
        <s:f>D19-E19-F19+G19</s:f>
        <s:v>422246.29781726573</s:v>
      </s:c>
      <s:c r="I19" s="5">
        <s:f>1/(1+'S3 inputs'!$B$13)^A19</s:f>
        <s:v>0.2702689514453788</s:v>
      </s:c>
      <s:c r="J19" s="5">
        <s:f>H19*I19</s:f>
        <s:v>114120.06416276556</s:v>
      </s:c>
      <s:c r="K19" s="5">
        <s:f>K18+H19-G19</s:f>
        <s:v>-5047029.211114895</s:v>
      </s:c>
      <s:c r="L19" s="5">
        <s:f>IF(B19&gt;0,'S3 inputs'!$B$2*'S3 inputs'!$B$14*'S3 inputs'!$B$15*(1+'S3 inputs'!$B$18)^(B19-1)*I19,0)</s:f>
        <s:v>356.614141747448</s:v>
      </s:c>
      <s:c r="M19" s="11" t="str">
        <s:f>IF(AND(K19&gt;=0,K18&lt;0),A19-1-K18/(H19-G19),"")</s:f>
        <s:v/>
      </s:c>
      <s:c r="N19" s="11">
        <s:f>N18+J19-G19*I19</s:f>
        <s:v>-7943691.918064777</s:v>
      </s:c>
      <s:c r="O19" s="11" t="str">
        <s:f>IF(AND(N19&gt;=0,N18&lt;0),A19-1-N18/((H19-G19)*I19),"")</s:f>
        <s:v/>
      </s:c>
    </s:row>
    <s:row r="20" ht="20" customHeight="1">
      <s:c r="A20" s="2" t="n">
        <s:v>18</s:v>
      </s:c>
      <s:c r="B20" s="2">
        <s:f>IF(AND(A20&gt;'S3 results'!$B$4,A20&lt;='S3 results'!$B$5),A20-'S3 results'!$B$4,0)</s:f>
        <s:v>15</s:v>
      </s:c>
      <s:c r="C20" s="5">
        <s:f>IF(B20&gt;0,'S3 inputs'!$B$16*(1+'S3 inputs'!$B$18)^(B20-1),0)</s:f>
        <s:v>791.6872578377235</s:v>
      </s:c>
      <s:c r="D20" s="5">
        <s:f>IF(B20&gt;0,'S3 inputs'!$B$2*'S3 inputs'!$B$14*'S3 inputs'!$B$15*C20,0)</s:f>
        <s:v>807521.0029944779</s:v>
      </s:c>
      <s:c r="E20" s="5">
        <s:f>IF(B20&gt;0,('S3 inputs'!$B$20+'S3 inputs'!$B$21+'S3 inputs'!$B$2*'S3 inputs'!$B$14*('S3 inputs'!$B$22+'S3 inputs'!$B$23)+('S3 inputs'!$B$2*'S3 inputs'!$B$3*'S3 inputs'!$B$5+'S3 inputs'!$B$6)*'S3 inputs'!$B$24)*(1+'S3 inputs'!$B$19)^(B20-1),0)</s:f>
        <s:v>378676.9840209692</s:v>
      </s:c>
      <s:c r="F20" s="5">
        <s:f>IF(AND(B20&gt;0,B20&lt;'S3 inputs'!$B$12,MOD(B20,'S3 inputs'!$B$25)=0),'S3 inputs'!$B$26*(1+'S3 inputs'!$B$19)^(B20-1),0)</s:f>
        <s:v>423892.1462921297</s:v>
      </s:c>
      <s:c r="G20" s="5">
        <s:f>IF(A20='S3 results'!$B$5,'S3 inputs'!$B$27*(1-'S3 inputs'!$B$28),0)</s:f>
        <s:v>0</s:v>
      </s:c>
      <s:c r="H20" s="5">
        <s:f>D20-E20-F20+G20</s:f>
        <s:v>4951.872681378969</s:v>
      </s:c>
      <s:c r="I20" s="5">
        <s:f>1/(1+'S3 inputs'!$B$13)^A20</s:f>
        <s:v>0.2502490291160915</s:v>
      </s:c>
      <s:c r="J20" s="5">
        <s:f>H20*I20</s:f>
        <s:v>1239.2013308215835</s:v>
      </s:c>
      <s:c r="K20" s="5">
        <s:f>K19+H20-G20</s:f>
        <s:v>-5042077.338433515</s:v>
      </s:c>
      <s:c r="L20" s="5">
        <s:f>IF(B20&gt;0,'S3 inputs'!$B$2*'S3 inputs'!$B$14*'S3 inputs'!$B$15*(1+'S3 inputs'!$B$18)^(B20-1)*I20,0)</s:f>
        <s:v>336.8022449837008</s:v>
      </s:c>
      <s:c r="M20" s="11" t="str">
        <s:f>IF(AND(K20&gt;=0,K19&lt;0),A20-1-K19/(H20-G20),"")</s:f>
        <s:v/>
      </s:c>
      <s:c r="N20" s="11">
        <s:f>N19+J20-G20*I20</s:f>
        <s:v>-7942452.716733955</s:v>
      </s:c>
      <s:c r="O20" s="11" t="str">
        <s:f>IF(AND(N20&gt;=0,N19&lt;0),A20-1-N19/((H20-G20)*I20),"")</s:f>
        <s:v/>
      </s:c>
    </s:row>
    <s:row r="21" ht="20" customHeight="1">
      <s:c r="A21" s="2" t="n">
        <s:v>19</s:v>
      </s:c>
      <s:c r="B21" s="2">
        <s:f>IF(AND(A21&gt;'S3 results'!$B$4,A21&lt;='S3 results'!$B$5),A21-'S3 results'!$B$4,0)</s:f>
        <s:v>16</s:v>
      </s:c>
      <s:c r="C21" s="5">
        <s:f>IF(B21&gt;0,'S3 inputs'!$B$16*(1+'S3 inputs'!$B$18)^(B21-1),0)</s:f>
        <s:v>807.521002994478</s:v>
      </s:c>
      <s:c r="D21" s="5">
        <s:f>IF(B21&gt;0,'S3 inputs'!$B$2*'S3 inputs'!$B$14*'S3 inputs'!$B$15*C21,0)</s:f>
        <s:v>823671.4230543675</s:v>
      </s:c>
      <s:c r="E21" s="5">
        <s:f>IF(B21&gt;0,('S3 inputs'!$B$20+'S3 inputs'!$B$21+'S3 inputs'!$B$2*'S3 inputs'!$B$14*('S3 inputs'!$B$22+'S3 inputs'!$B$23)+('S3 inputs'!$B$2*'S3 inputs'!$B$3*'S3 inputs'!$B$5+'S3 inputs'!$B$6)*'S3 inputs'!$B$24)*(1+'S3 inputs'!$B$19)^(B21-1),0)</s:f>
        <s:v>388143.9086214934</s:v>
      </s:c>
      <s:c r="F21" s="5">
        <s:f>IF(AND(B21&gt;0,B21&lt;'S3 inputs'!$B$12,MOD(B21,'S3 inputs'!$B$25)=0),'S3 inputs'!$B$26*(1+'S3 inputs'!$B$19)^(B21-1),0)</s:f>
        <s:v>0</s:v>
      </s:c>
      <s:c r="G21" s="5">
        <s:f>IF(A21='S3 results'!$B$5,'S3 inputs'!$B$27*(1-'S3 inputs'!$B$28),0)</s:f>
        <s:v>0</s:v>
      </s:c>
      <s:c r="H21" s="5">
        <s:f>D21-E21-F21+G21</s:f>
        <s:v>435527.51443287416</s:v>
      </s:c>
      <s:c r="I21" s="5">
        <s:f>1/(1+'S3 inputs'!$B$13)^A21</s:f>
        <s:v>0.231712063996381</s:v>
      </s:c>
      <s:c r="J21" s="5">
        <s:f>H21*I21</s:f>
        <s:v>100916.97929645488</s:v>
      </s:c>
      <s:c r="K21" s="5">
        <s:f>K20+H21-G21</s:f>
        <s:v>-4606549.824000641</s:v>
      </s:c>
      <s:c r="L21" s="5">
        <s:f>IF(B21&gt;0,'S3 inputs'!$B$2*'S3 inputs'!$B$14*'S3 inputs'!$B$15*(1+'S3 inputs'!$B$18)^(B21-1)*I21,0)</s:f>
        <s:v>318.091009151273</s:v>
      </s:c>
      <s:c r="M21" s="11" t="str">
        <s:f>IF(AND(K21&gt;=0,K20&lt;0),A21-1-K20/(H21-G21),"")</s:f>
        <s:v/>
      </s:c>
      <s:c r="N21" s="11">
        <s:f>N20+J21-G21*I21</s:f>
        <s:v>-7841535.7374375</s:v>
      </s:c>
      <s:c r="O21" s="11" t="str">
        <s:f>IF(AND(N21&gt;=0,N20&lt;0),A21-1-N20/((H21-G21)*I21),"")</s:f>
        <s:v/>
      </s:c>
    </s:row>
    <s:row r="22" ht="20" customHeight="1">
      <s:c r="A22" s="2" t="n">
        <s:v>20</s:v>
      </s:c>
      <s:c r="B22" s="2">
        <s:f>IF(AND(A22&gt;'S3 results'!$B$4,A22&lt;='S3 results'!$B$5),A22-'S3 results'!$B$4,0)</s:f>
        <s:v>17</s:v>
      </s:c>
      <s:c r="C22" s="5">
        <s:f>IF(B22&gt;0,'S3 inputs'!$B$16*(1+'S3 inputs'!$B$18)^(B22-1),0)</s:f>
        <s:v>823.6714230543674</s:v>
      </s:c>
      <s:c r="D22" s="5">
        <s:f>IF(B22&gt;0,'S3 inputs'!$B$2*'S3 inputs'!$B$14*'S3 inputs'!$B$15*C22,0)</s:f>
        <s:v>840144.8515154548</s:v>
      </s:c>
      <s:c r="E22" s="5">
        <s:f>IF(B22&gt;0,('S3 inputs'!$B$20+'S3 inputs'!$B$21+'S3 inputs'!$B$2*'S3 inputs'!$B$14*('S3 inputs'!$B$22+'S3 inputs'!$B$23)+('S3 inputs'!$B$2*'S3 inputs'!$B$3*'S3 inputs'!$B$5+'S3 inputs'!$B$6)*'S3 inputs'!$B$24)*(1+'S3 inputs'!$B$19)^(B22-1),0)</s:f>
        <s:v>397847.5063370307</s:v>
      </s:c>
      <s:c r="F22" s="5">
        <s:f>IF(AND(B22&gt;0,B22&lt;'S3 inputs'!$B$12,MOD(B22,'S3 inputs'!$B$25)=0),'S3 inputs'!$B$26*(1+'S3 inputs'!$B$19)^(B22-1),0)</s:f>
        <s:v>0</s:v>
      </s:c>
      <s:c r="G22" s="5">
        <s:f>IF(A22='S3 results'!$B$5,'S3 inputs'!$B$27*(1-'S3 inputs'!$B$28),0)</s:f>
        <s:v>0</s:v>
      </s:c>
      <s:c r="H22" s="5">
        <s:f>D22-E22-F22+G22</s:f>
        <s:v>442297.34517842415</s:v>
      </s:c>
      <s:c r="I22" s="5">
        <s:f>1/(1+'S3 inputs'!$B$13)^A22</s:f>
        <s:v>0.21454820740405645</s:v>
      </s:c>
      <s:c r="J22" s="5">
        <s:f>H22*I22</s:f>
        <s:v>94894.1025476041</s:v>
      </s:c>
      <s:c r="K22" s="5">
        <s:f>K21+H22-G22</s:f>
        <s:v>-4164252.4788222164</s:v>
      </s:c>
      <s:c r="L22" s="5">
        <s:f>IF(B22&gt;0,'S3 inputs'!$B$2*'S3 inputs'!$B$14*'S3 inputs'!$B$15*(1+'S3 inputs'!$B$18)^(B22-1)*I22,0)</s:f>
        <s:v>300.4192864206467</s:v>
      </s:c>
      <s:c r="M22" s="11" t="str">
        <s:f>IF(AND(K22&gt;=0,K21&lt;0),A22-1-K21/(H22-G22),"")</s:f>
        <s:v/>
      </s:c>
      <s:c r="N22" s="11">
        <s:f>N21+J22-G22*I22</s:f>
        <s:v>-7746641.634889896</s:v>
      </s:c>
      <s:c r="O22" s="11" t="str">
        <s:f>IF(AND(N22&gt;=0,N21&lt;0),A22-1-N21/((H22-G22)*I22),"")</s:f>
        <s:v/>
      </s:c>
    </s:row>
    <s:row r="23" ht="20" customHeight="1">
      <s:c r="A23" s="2" t="n">
        <s:v>21</s:v>
      </s:c>
      <s:c r="B23" s="2">
        <s:f>IF(AND(A23&gt;'S3 results'!$B$4,A23&lt;='S3 results'!$B$5),A23-'S3 results'!$B$4,0)</s:f>
        <s:v>18</s:v>
      </s:c>
      <s:c r="C23" s="5">
        <s:f>IF(B23&gt;0,'S3 inputs'!$B$16*(1+'S3 inputs'!$B$18)^(B23-1),0)</s:f>
        <s:v>840.1448515154549</s:v>
      </s:c>
      <s:c r="D23" s="5">
        <s:f>IF(B23&gt;0,'S3 inputs'!$B$2*'S3 inputs'!$B$14*'S3 inputs'!$B$15*C23,0)</s:f>
        <s:v>856947.748545764</s:v>
      </s:c>
      <s:c r="E23" s="5">
        <s:f>IF(B23&gt;0,('S3 inputs'!$B$20+'S3 inputs'!$B$21+'S3 inputs'!$B$2*'S3 inputs'!$B$14*('S3 inputs'!$B$22+'S3 inputs'!$B$23)+('S3 inputs'!$B$2*'S3 inputs'!$B$3*'S3 inputs'!$B$5+'S3 inputs'!$B$6)*'S3 inputs'!$B$24)*(1+'S3 inputs'!$B$19)^(B23-1),0)</s:f>
        <s:v>407793.6939954564</s:v>
      </s:c>
      <s:c r="F23" s="5">
        <s:f>IF(AND(B23&gt;0,B23&lt;'S3 inputs'!$B$12,MOD(B23,'S3 inputs'!$B$25)=0),'S3 inputs'!$B$26*(1+'S3 inputs'!$B$19)^(B23-1),0)</s:f>
        <s:v>0</s:v>
      </s:c>
      <s:c r="G23" s="5">
        <s:f>IF(A23='S3 results'!$B$5,'S3 inputs'!$B$27*(1-'S3 inputs'!$B$28),0)</s:f>
        <s:v>0</s:v>
      </s:c>
      <s:c r="H23" s="5">
        <s:f>D23-E23-F23+G23</s:f>
        <s:v>449154.0545503076</s:v>
      </s:c>
      <s:c r="I23" s="5">
        <s:f>1/(1+'S3 inputs'!$B$13)^A23</s:f>
        <s:v>0.19865574759634858</s:v>
      </s:c>
      <s:c r="J23" s="5">
        <s:f>H23*I23</s:f>
        <s:v>89227.0344926225</s:v>
      </s:c>
      <s:c r="K23" s="5">
        <s:f>K22+H23-G23</s:f>
        <s:v>-3715098.4242719086</s:v>
      </s:c>
      <s:c r="L23" s="5">
        <s:f>IF(B23&gt;0,'S3 inputs'!$B$2*'S3 inputs'!$B$14*'S3 inputs'!$B$15*(1+'S3 inputs'!$B$18)^(B23-1)*I23,0)</s:f>
        <s:v>283.72932606394414</s:v>
      </s:c>
      <s:c r="M23" s="11" t="str">
        <s:f>IF(AND(K23&gt;=0,K22&lt;0),A23-1-K22/(H23-G23),"")</s:f>
        <s:v/>
      </s:c>
      <s:c r="N23" s="11">
        <s:f>N22+J23-G23*I23</s:f>
        <s:v>-7657414.600397274</s:v>
      </s:c>
      <s:c r="O23" s="11" t="str">
        <s:f>IF(AND(N23&gt;=0,N22&lt;0),A23-1-N22/((H23-G23)*I23),"")</s:f>
        <s:v/>
      </s:c>
    </s:row>
    <s:row r="24" ht="20" customHeight="1">
      <s:c r="A24" s="2" t="n">
        <s:v>22</s:v>
      </s:c>
      <s:c r="B24" s="2">
        <s:f>IF(AND(A24&gt;'S3 results'!$B$4,A24&lt;='S3 results'!$B$5),A24-'S3 results'!$B$4,0)</s:f>
        <s:v>19</s:v>
      </s:c>
      <s:c r="C24" s="5">
        <s:f>IF(B24&gt;0,'S3 inputs'!$B$16*(1+'S3 inputs'!$B$18)^(B24-1),0)</s:f>
        <s:v>856.9477485457641</s:v>
      </s:c>
      <s:c r="D24" s="5">
        <s:f>IF(B24&gt;0,'S3 inputs'!$B$2*'S3 inputs'!$B$14*'S3 inputs'!$B$15*C24,0)</s:f>
        <s:v>874086.7035166794</s:v>
      </s:c>
      <s:c r="E24" s="5">
        <s:f>IF(B24&gt;0,('S3 inputs'!$B$20+'S3 inputs'!$B$21+'S3 inputs'!$B$2*'S3 inputs'!$B$14*('S3 inputs'!$B$22+'S3 inputs'!$B$23)+('S3 inputs'!$B$2*'S3 inputs'!$B$3*'S3 inputs'!$B$5+'S3 inputs'!$B$6)*'S3 inputs'!$B$24)*(1+'S3 inputs'!$B$19)^(B24-1),0)</s:f>
        <s:v>417988.53634534276</s:v>
      </s:c>
      <s:c r="F24" s="5">
        <s:f>IF(AND(B24&gt;0,B24&lt;'S3 inputs'!$B$12,MOD(B24,'S3 inputs'!$B$25)=0),'S3 inputs'!$B$26*(1+'S3 inputs'!$B$19)^(B24-1),0)</s:f>
        <s:v>0</s:v>
      </s:c>
      <s:c r="G24" s="5">
        <s:f>IF(A24='S3 results'!$B$5,'S3 inputs'!$B$27*(1-'S3 inputs'!$B$28),0)</s:f>
        <s:v>0</s:v>
      </s:c>
      <s:c r="H24" s="5">
        <s:f>D24-E24-F24+G24</s:f>
        <s:v>456098.1671713366</s:v>
      </s:c>
      <s:c r="I24" s="5">
        <s:f>1/(1+'S3 inputs'!$B$13)^A24</s:f>
        <s:v>0.18394050703365605</s:v>
      </s:c>
      <s:c r="J24" s="5">
        <s:f>H24*I24</s:f>
        <s:v>83894.92812661687</s:v>
      </s:c>
      <s:c r="K24" s="5">
        <s:f>K23+H24-G24</s:f>
        <s:v>-3259000.257100572</s:v>
      </s:c>
      <s:c r="L24" s="5">
        <s:f>IF(B24&gt;0,'S3 inputs'!$B$2*'S3 inputs'!$B$14*'S3 inputs'!$B$15*(1+'S3 inputs'!$B$18)^(B24-1)*I24,0)</s:f>
        <s:v>267.9665857270583</s:v>
      </s:c>
      <s:c r="M24" s="11" t="str">
        <s:f>IF(AND(K24&gt;=0,K23&lt;0),A24-1-K23/(H24-G24),"")</s:f>
        <s:v/>
      </s:c>
      <s:c r="N24" s="11">
        <s:f>N23+J24-G24*I24</s:f>
        <s:v>-7573519.6722706575</s:v>
      </s:c>
      <s:c r="O24" s="11" t="str">
        <s:f>IF(AND(N24&gt;=0,N23&lt;0),A24-1-N23/((H24-G24)*I24),"")</s:f>
        <s:v/>
      </s:c>
    </s:row>
    <s:row r="25" ht="20" customHeight="1">
      <s:c r="A25" s="2" t="n">
        <s:v>23</s:v>
      </s:c>
      <s:c r="B25" s="2">
        <s:f>IF(AND(A25&gt;'S3 results'!$B$4,A25&lt;='S3 results'!$B$5),A25-'S3 results'!$B$4,0)</s:f>
        <s:v>20</s:v>
      </s:c>
      <s:c r="C25" s="5">
        <s:f>IF(B25&gt;0,'S3 inputs'!$B$16*(1+'S3 inputs'!$B$18)^(B25-1),0)</s:f>
        <s:v>874.0867035166792</s:v>
      </s:c>
      <s:c r="D25" s="5">
        <s:f>IF(B25&gt;0,'S3 inputs'!$B$2*'S3 inputs'!$B$14*'S3 inputs'!$B$15*C25,0)</s:f>
        <s:v>891568.4375870128</s:v>
      </s:c>
      <s:c r="E25" s="5">
        <s:f>IF(B25&gt;0,('S3 inputs'!$B$20+'S3 inputs'!$B$21+'S3 inputs'!$B$2*'S3 inputs'!$B$14*('S3 inputs'!$B$22+'S3 inputs'!$B$23)+('S3 inputs'!$B$2*'S3 inputs'!$B$3*'S3 inputs'!$B$5+'S3 inputs'!$B$6)*'S3 inputs'!$B$24)*(1+'S3 inputs'!$B$19)^(B25-1),0)</s:f>
        <s:v>428438.2497539763</s:v>
      </s:c>
      <s:c r="F25" s="5">
        <s:f>IF(AND(B25&gt;0,B25&lt;'S3 inputs'!$B$12,MOD(B25,'S3 inputs'!$B$25)=0),'S3 inputs'!$B$26*(1+'S3 inputs'!$B$19)^(B25-1),0)</s:f>
        <s:v>0</s:v>
      </s:c>
      <s:c r="G25" s="5">
        <s:f>IF(A25='S3 results'!$B$5,'S3 inputs'!$B$27*(1-'S3 inputs'!$B$28),0)</s:f>
        <s:v>0</s:v>
      </s:c>
      <s:c r="H25" s="5">
        <s:f>D25-E25-F25+G25</s:f>
        <s:v>463130.18783303647</s:v>
      </s:c>
      <s:c r="I25" s="5">
        <s:f>1/(1+'S3 inputs'!$B$13)^A25</s:f>
        <s:v>0.17031528429042228</s:v>
      </s:c>
      <s:c r="J25" s="5">
        <s:f>H25*I25</s:f>
        <s:v>78878.14960426028</s:v>
      </s:c>
      <s:c r="K25" s="5">
        <s:f>K24+H25-G25</s:f>
        <s:v>-2795870.0692675356</s:v>
      </s:c>
      <s:c r="L25" s="5">
        <s:f>IF(B25&gt;0,'S3 inputs'!$B$2*'S3 inputs'!$B$14*'S3 inputs'!$B$15*(1+'S3 inputs'!$B$18)^(B25-1)*I25,0)</s:f>
        <s:v>253.07955318666617</s:v>
      </s:c>
      <s:c r="M25" s="11" t="str">
        <s:f>IF(AND(K25&gt;=0,K24&lt;0),A25-1-K24/(H25-G25),"")</s:f>
        <s:v/>
      </s:c>
      <s:c r="N25" s="11">
        <s:f>N24+J25-G25*I25</s:f>
        <s:v>-7494641.5226663975</s:v>
      </s:c>
      <s:c r="O25" s="11" t="str">
        <s:f>IF(AND(N25&gt;=0,N24&lt;0),A25-1-N24/((H25-G25)*I25),"")</s:f>
        <s:v/>
      </s:c>
    </s:row>
    <s:row r="26" ht="20" customHeight="1">
      <s:c r="A26" s="2" t="n">
        <s:v>24</s:v>
      </s:c>
      <s:c r="B26" s="2">
        <s:f>IF(AND(A26&gt;'S3 results'!$B$4,A26&lt;='S3 results'!$B$5),A26-'S3 results'!$B$4,0)</s:f>
        <s:v>21</s:v>
      </s:c>
      <s:c r="C26" s="5">
        <s:f>IF(B26&gt;0,'S3 inputs'!$B$16*(1+'S3 inputs'!$B$18)^(B26-1),0)</s:f>
        <s:v>891.5684375870129</s:v>
      </s:c>
      <s:c r="D26" s="5">
        <s:f>IF(B26&gt;0,'S3 inputs'!$B$2*'S3 inputs'!$B$14*'S3 inputs'!$B$15*C26,0)</s:f>
        <s:v>909399.8063387532</s:v>
      </s:c>
      <s:c r="E26" s="5">
        <s:f>IF(B26&gt;0,('S3 inputs'!$B$20+'S3 inputs'!$B$21+'S3 inputs'!$B$2*'S3 inputs'!$B$14*('S3 inputs'!$B$22+'S3 inputs'!$B$23)+('S3 inputs'!$B$2*'S3 inputs'!$B$3*'S3 inputs'!$B$5+'S3 inputs'!$B$6)*'S3 inputs'!$B$24)*(1+'S3 inputs'!$B$19)^(B26-1),0)</s:f>
        <s:v>439149.20599782566</s:v>
      </s:c>
      <s:c r="F26" s="5">
        <s:f>IF(AND(B26&gt;0,B26&lt;'S3 inputs'!$B$12,MOD(B26,'S3 inputs'!$B$25)=0),'S3 inputs'!$B$26*(1+'S3 inputs'!$B$19)^(B26-1),0)</s:f>
        <s:v>0</s:v>
      </s:c>
      <s:c r="G26" s="5">
        <s:f>IF(A26='S3 results'!$B$5,'S3 inputs'!$B$27*(1-'S3 inputs'!$B$28),0)</s:f>
        <s:v>0</s:v>
      </s:c>
      <s:c r="H26" s="5">
        <s:f>D26-E26-F26+G26</s:f>
        <s:v>470250.60034092754</s:v>
      </s:c>
      <s:c r="I26" s="5">
        <s:f>1/(1+'S3 inputs'!$B$13)^A26</s:f>
        <s:v>0.15769933730594654</s:v>
      </s:c>
      <s:c r="J26" s="5">
        <s:f>H26*I26</s:f>
        <s:v>74158.20804148779</s:v>
      </s:c>
      <s:c r="K26" s="5">
        <s:f>K25+H26-G26</s:f>
        <s:v>-2325619.468926608</s:v>
      </s:c>
      <s:c r="L26" s="5">
        <s:f>IF(B26&gt;0,'S3 inputs'!$B$2*'S3 inputs'!$B$14*'S3 inputs'!$B$15*(1+'S3 inputs'!$B$18)^(B26-1)*I26,0)</s:f>
        <s:v>239.01957800962916</s:v>
      </s:c>
      <s:c r="M26" s="11" t="str">
        <s:f>IF(AND(K26&gt;=0,K25&lt;0),A26-1-K25/(H26-G26),"")</s:f>
        <s:v/>
      </s:c>
      <s:c r="N26" s="11">
        <s:f>N25+J26-G26*I26</s:f>
        <s:v>-7420483.314624909</s:v>
      </s:c>
      <s:c r="O26" s="11" t="str">
        <s:f>IF(AND(N26&gt;=0,N25&lt;0),A26-1-N25/((H26-G26)*I26),"")</s:f>
        <s:v/>
      </s:c>
    </s:row>
    <s:row r="27" ht="20" customHeight="1">
      <s:c r="A27" s="2" t="n">
        <s:v>25</s:v>
      </s:c>
      <s:c r="B27" s="2">
        <s:f>IF(AND(A27&gt;'S3 results'!$B$4,A27&lt;='S3 results'!$B$5),A27-'S3 results'!$B$4,0)</s:f>
        <s:v>22</s:v>
      </s:c>
      <s:c r="C27" s="5">
        <s:f>IF(B27&gt;0,'S3 inputs'!$B$16*(1+'S3 inputs'!$B$18)^(B27-1),0)</s:f>
        <s:v>909.3998063387531</s:v>
      </s:c>
      <s:c r="D27" s="5">
        <s:f>IF(B27&gt;0,'S3 inputs'!$B$2*'S3 inputs'!$B$14*'S3 inputs'!$B$15*C27,0)</s:f>
        <s:v>927587.8024655282</s:v>
      </s:c>
      <s:c r="E27" s="5">
        <s:f>IF(B27&gt;0,('S3 inputs'!$B$20+'S3 inputs'!$B$21+'S3 inputs'!$B$2*'S3 inputs'!$B$14*('S3 inputs'!$B$22+'S3 inputs'!$B$23)+('S3 inputs'!$B$2*'S3 inputs'!$B$3*'S3 inputs'!$B$5+'S3 inputs'!$B$6)*'S3 inputs'!$B$24)*(1+'S3 inputs'!$B$19)^(B27-1),0)</s:f>
        <s:v>450127.9361477713</s:v>
      </s:c>
      <s:c r="F27" s="5">
        <s:f>IF(AND(B27&gt;0,B27&lt;'S3 inputs'!$B$12,MOD(B27,'S3 inputs'!$B$25)=0),'S3 inputs'!$B$26*(1+'S3 inputs'!$B$19)^(B27-1),0)</s:f>
        <s:v>0</s:v>
      </s:c>
      <s:c r="G27" s="5">
        <s:f>IF(A27='S3 results'!$B$5,'S3 inputs'!$B$27*(1-'S3 inputs'!$B$28),0)</s:f>
        <s:v>0</s:v>
      </s:c>
      <s:c r="H27" s="5">
        <s:f>D27-E27-F27+G27</s:f>
        <s:v>477459.86631775694</s:v>
      </s:c>
      <s:c r="I27" s="5">
        <s:f>1/(1+'S3 inputs'!$B$13)^A27</s:f>
        <s:v>0.14601790491291344</s:v>
      </s:c>
      <s:c r="J27" s="5">
        <s:f>H27*I27</s:f>
        <s:v>69717.6893597186</s:v>
      </s:c>
      <s:c r="K27" s="5">
        <s:f>K26+H27-G27</s:f>
        <s:v>-1848159.6026088512</s:v>
      </s:c>
      <s:c r="L27" s="5">
        <s:f>IF(B27&gt;0,'S3 inputs'!$B$2*'S3 inputs'!$B$14*'S3 inputs'!$B$15*(1+'S3 inputs'!$B$18)^(B27-1)*I27,0)</s:f>
        <s:v>225.74071256464973</s:v>
      </s:c>
      <s:c r="M27" s="11" t="str">
        <s:f>IF(AND(K27&gt;=0,K26&lt;0),A27-1-K26/(H27-G27),"")</s:f>
        <s:v/>
      </s:c>
      <s:c r="N27" s="11">
        <s:f>N26+J27-G27*I27</s:f>
        <s:v>-7350765.62526519</s:v>
      </s:c>
      <s:c r="O27" s="11" t="str">
        <s:f>IF(AND(N27&gt;=0,N26&lt;0),A27-1-N26/((H27-G27)*I27),"")</s:f>
        <s:v/>
      </s:c>
    </s:row>
    <s:row r="28" ht="20" customHeight="1">
      <s:c r="A28" s="2" t="n">
        <s:v>26</s:v>
      </s:c>
      <s:c r="B28" s="2">
        <s:f>IF(AND(A28&gt;'S3 results'!$B$4,A28&lt;='S3 results'!$B$5),A28-'S3 results'!$B$4,0)</s:f>
        <s:v>23</s:v>
      </s:c>
      <s:c r="C28" s="5">
        <s:f>IF(B28&gt;0,'S3 inputs'!$B$16*(1+'S3 inputs'!$B$18)^(B28-1),0)</s:f>
        <s:v>927.5878024655283</s:v>
      </s:c>
      <s:c r="D28" s="5">
        <s:f>IF(B28&gt;0,'S3 inputs'!$B$2*'S3 inputs'!$B$14*'S3 inputs'!$B$15*C28,0)</s:f>
        <s:v>946139.5585148388</s:v>
      </s:c>
      <s:c r="E28" s="5">
        <s:f>IF(B28&gt;0,('S3 inputs'!$B$20+'S3 inputs'!$B$21+'S3 inputs'!$B$2*'S3 inputs'!$B$14*('S3 inputs'!$B$22+'S3 inputs'!$B$23)+('S3 inputs'!$B$2*'S3 inputs'!$B$3*'S3 inputs'!$B$5+'S3 inputs'!$B$6)*'S3 inputs'!$B$24)*(1+'S3 inputs'!$B$19)^(B28-1),0)</s:f>
        <s:v>461381.1345514655</s:v>
      </s:c>
      <s:c r="F28" s="5">
        <s:f>IF(AND(B28&gt;0,B28&lt;'S3 inputs'!$B$12,MOD(B28,'S3 inputs'!$B$25)=0),'S3 inputs'!$B$26*(1+'S3 inputs'!$B$19)^(B28-1),0)</s:f>
        <s:v>0</s:v>
      </s:c>
      <s:c r="G28" s="5">
        <s:f>IF(A28='S3 results'!$B$5,'S3 inputs'!$B$27*(1-'S3 inputs'!$B$28),0)</s:f>
        <s:v>0</s:v>
      </s:c>
      <s:c r="H28" s="5">
        <s:f>D28-E28-F28+G28</s:f>
        <s:v>484758.4239633733</s:v>
      </s:c>
      <s:c r="I28" s="5">
        <s:f>1/(1+'S3 inputs'!$B$13)^A28</s:f>
        <s:v>0.1352017638082532</s:v>
      </s:c>
      <s:c r="J28" s="5">
        <s:f>H28*I28</s:f>
        <s:v>65540.19394075706</s:v>
      </s:c>
      <s:c r="K28" s="5">
        <s:f>K27+H28-G28</s:f>
        <s:v>-1363401.1786454779</s:v>
      </s:c>
      <s:c r="L28" s="5">
        <s:f>IF(B28&gt;0,'S3 inputs'!$B$2*'S3 inputs'!$B$14*'S3 inputs'!$B$15*(1+'S3 inputs'!$B$18)^(B28-1)*I28,0)</s:f>
        <s:v>213.19956186661364</s:v>
      </s:c>
      <s:c r="M28" s="11" t="str">
        <s:f>IF(AND(K28&gt;=0,K27&lt;0),A28-1-K27/(H28-G28),"")</s:f>
        <s:v/>
      </s:c>
      <s:c r="N28" s="11">
        <s:f>N27+J28-G28*I28</s:f>
        <s:v>-7285225.431324434</s:v>
      </s:c>
      <s:c r="O28" s="11" t="str">
        <s:f>IF(AND(N28&gt;=0,N27&lt;0),A28-1-N27/((H28-G28)*I28),"")</s:f>
        <s:v/>
      </s:c>
    </s:row>
    <s:row r="29" ht="20" customHeight="1">
      <s:c r="A29" s="2" t="n">
        <s:v>27</s:v>
      </s:c>
      <s:c r="B29" s="2">
        <s:f>IF(AND(A29&gt;'S3 results'!$B$4,A29&lt;='S3 results'!$B$5),A29-'S3 results'!$B$4,0)</s:f>
        <s:v>24</s:v>
      </s:c>
      <s:c r="C29" s="5">
        <s:f>IF(B29&gt;0,'S3 inputs'!$B$16*(1+'S3 inputs'!$B$18)^(B29-1),0)</s:f>
        <s:v>946.1395585148389</s:v>
      </s:c>
      <s:c r="D29" s="5">
        <s:f>IF(B29&gt;0,'S3 inputs'!$B$2*'S3 inputs'!$B$14*'S3 inputs'!$B$15*C29,0)</s:f>
        <s:v>965062.3496851356</s:v>
      </s:c>
      <s:c r="E29" s="5">
        <s:f>IF(B29&gt;0,('S3 inputs'!$B$20+'S3 inputs'!$B$21+'S3 inputs'!$B$2*'S3 inputs'!$B$14*('S3 inputs'!$B$22+'S3 inputs'!$B$23)+('S3 inputs'!$B$2*'S3 inputs'!$B$3*'S3 inputs'!$B$5+'S3 inputs'!$B$6)*'S3 inputs'!$B$24)*(1+'S3 inputs'!$B$19)^(B29-1),0)</s:f>
        <s:v>472915.66291525215</s:v>
      </s:c>
      <s:c r="F29" s="5">
        <s:f>IF(AND(B29&gt;0,B29&lt;'S3 inputs'!$B$12,MOD(B29,'S3 inputs'!$B$25)=0),'S3 inputs'!$B$26*(1+'S3 inputs'!$B$19)^(B29-1),0)</s:f>
        <s:v>0</s:v>
      </s:c>
      <s:c r="G29" s="5">
        <s:f>IF(A29='S3 results'!$B$5,'S3 inputs'!$B$27*(1-'S3 inputs'!$B$28),0)</s:f>
        <s:v>0</s:v>
      </s:c>
      <s:c r="H29" s="5">
        <s:f>D29-E29-F29+G29</s:f>
        <s:v>492146.6867698835</s:v>
      </s:c>
      <s:c r="I29" s="5">
        <s:f>1/(1+'S3 inputs'!$B$13)^A29</s:f>
        <s:v>0.12518681834097517</s:v>
      </s:c>
      <s:c r="J29" s="5">
        <s:f>H29*I29</s:f>
        <s:v>61610.27787377421</s:v>
      </s:c>
      <s:c r="K29" s="5">
        <s:f>K28+H29-G29</s:f>
        <s:v>-871254.4918755944</s:v>
      </s:c>
      <s:c r="L29" s="5">
        <s:f>IF(B29&gt;0,'S3 inputs'!$B$2*'S3 inputs'!$B$14*'S3 inputs'!$B$15*(1+'S3 inputs'!$B$18)^(B29-1)*I29,0)</s:f>
        <s:v>201.3551417629129</s:v>
      </s:c>
      <s:c r="M29" s="11" t="str">
        <s:f>IF(AND(K29&gt;=0,K28&lt;0),A29-1-K28/(H29-G29),"")</s:f>
        <s:v/>
      </s:c>
      <s:c r="N29" s="11">
        <s:f>N28+J29-G29*I29</s:f>
        <s:v>-7223615.1534506595</s:v>
      </s:c>
      <s:c r="O29" s="11" t="str">
        <s:f>IF(AND(N29&gt;=0,N28&lt;0),A29-1-N28/((H29-G29)*I29),"")</s:f>
        <s:v/>
      </s:c>
    </s:row>
    <s:row r="30" ht="20" customHeight="1">
      <s:c r="A30" s="2" t="n">
        <s:v>28</s:v>
      </s:c>
      <s:c r="B30" s="2">
        <s:f>IF(AND(A30&gt;'S3 results'!$B$4,A30&lt;='S3 results'!$B$5),A30-'S3 results'!$B$4,0)</s:f>
        <s:v>25</s:v>
      </s:c>
      <s:c r="C30" s="5">
        <s:f>IF(B30&gt;0,'S3 inputs'!$B$16*(1+'S3 inputs'!$B$18)^(B30-1),0)</s:f>
        <s:v>965.0623496851357</s:v>
      </s:c>
      <s:c r="D30" s="5">
        <s:f>IF(B30&gt;0,'S3 inputs'!$B$2*'S3 inputs'!$B$14*'S3 inputs'!$B$15*C30,0)</s:f>
        <s:v>984363.5966788384</s:v>
      </s:c>
      <s:c r="E30" s="5">
        <s:f>IF(B30&gt;0,('S3 inputs'!$B$20+'S3 inputs'!$B$21+'S3 inputs'!$B$2*'S3 inputs'!$B$14*('S3 inputs'!$B$22+'S3 inputs'!$B$23)+('S3 inputs'!$B$2*'S3 inputs'!$B$3*'S3 inputs'!$B$5+'S3 inputs'!$B$6)*'S3 inputs'!$B$24)*(1+'S3 inputs'!$B$19)^(B30-1),0)</s:f>
        <s:v>484738.55448813335</s:v>
      </s:c>
      <s:c r="F30" s="5">
        <s:f>IF(AND(B30&gt;0,B30&lt;'S3 inputs'!$B$12,MOD(B30,'S3 inputs'!$B$25)=0),'S3 inputs'!$B$26*(1+'S3 inputs'!$B$19)^(B30-1),0)</s:f>
        <s:v>0</s:v>
      </s:c>
      <s:c r="G30" s="5">
        <s:f>IF(A30='S3 results'!$B$5,'S3 inputs'!$B$27*(1-'S3 inputs'!$B$28),0)</s:f>
        <s:v>0</s:v>
      </s:c>
      <s:c r="H30" s="5">
        <s:f>D30-E30-F30+G30</s:f>
        <s:v>499625.042190705</s:v>
      </s:c>
      <s:c r="I30" s="5">
        <s:f>1/(1+'S3 inputs'!$B$13)^A30</s:f>
        <s:v>0.1159137206860881</s:v>
      </s:c>
      <s:c r="J30" s="5">
        <s:f>H30*I30</s:f>
        <s:v>57913.397588268366</s:v>
      </s:c>
      <s:c r="K30" s="5">
        <s:f>K29+H30-G30</s:f>
        <s:v>-371629.44968488935</s:v>
      </s:c>
      <s:c r="L30" s="5">
        <s:f>IF(B30&gt;0,'S3 inputs'!$B$2*'S3 inputs'!$B$14*'S3 inputs'!$B$15*(1+'S3 inputs'!$B$18)^(B30-1)*I30,0)</s:f>
        <s:v>190.16874499830658</s:v>
      </s:c>
      <s:c r="M30" s="11" t="str">
        <s:f>IF(AND(K30&gt;=0,K29&lt;0),A30-1-K29/(H30-G30),"")</s:f>
        <s:v/>
      </s:c>
      <s:c r="N30" s="11">
        <s:f>N29+J30-G30*I30</s:f>
        <s:v>-7165701.755862392</s:v>
      </s:c>
      <s:c r="O30" s="11" t="str">
        <s:f>IF(AND(N30&gt;=0,N29&lt;0),A30-1-N29/((H30-G30)*I30),"")</s:f>
        <s:v/>
      </s:c>
    </s:row>
    <s:row r="31" ht="20" customHeight="1">
      <s:c r="A31" s="2" t="n">
        <s:v>29</s:v>
      </s:c>
      <s:c r="B31" s="2">
        <s:f>IF(AND(A31&gt;'S3 results'!$B$4,A31&lt;='S3 results'!$B$5),A31-'S3 results'!$B$4,0)</s:f>
        <s:v>26</s:v>
      </s:c>
      <s:c r="C31" s="5">
        <s:f>IF(B31&gt;0,'S3 inputs'!$B$16*(1+'S3 inputs'!$B$18)^(B31-1),0)</s:f>
        <s:v>984.3635966788383</s:v>
      </s:c>
      <s:c r="D31" s="5">
        <s:f>IF(B31&gt;0,'S3 inputs'!$B$2*'S3 inputs'!$B$14*'S3 inputs'!$B$15*C31,0)</s:f>
        <s:v>1004050.8686124152</s:v>
      </s:c>
      <s:c r="E31" s="5">
        <s:f>IF(B31&gt;0,('S3 inputs'!$B$20+'S3 inputs'!$B$21+'S3 inputs'!$B$2*'S3 inputs'!$B$14*('S3 inputs'!$B$22+'S3 inputs'!$B$23)+('S3 inputs'!$B$2*'S3 inputs'!$B$3*'S3 inputs'!$B$5+'S3 inputs'!$B$6)*'S3 inputs'!$B$24)*(1+'S3 inputs'!$B$19)^(B31-1),0)</s:f>
        <s:v>496857.0183503367</s:v>
      </s:c>
      <s:c r="F31" s="5">
        <s:f>IF(AND(B31&gt;0,B31&lt;'S3 inputs'!$B$12,MOD(B31,'S3 inputs'!$B$25)=0),'S3 inputs'!$B$26*(1+'S3 inputs'!$B$19)^(B31-1),0)</s:f>
        <s:v>0</s:v>
      </s:c>
      <s:c r="G31" s="5">
        <s:f>IF(A31='S3 results'!$B$5,'S3 inputs'!$B$27*(1-'S3 inputs'!$B$28),0)</s:f>
        <s:v>0</s:v>
      </s:c>
      <s:c r="H31" s="5">
        <s:f>D31-E31-F31+G31</s:f>
        <s:v>507193.85026207846</s:v>
      </s:c>
      <s:c r="I31" s="5">
        <s:f>1/(1+'S3 inputs'!$B$13)^A31</s:f>
        <s:v>0.10732751915378527</s:v>
      </s:c>
      <s:c r="J31" s="5">
        <s:f>H31*I31</s:f>
        <s:v>54435.85767868532</s:v>
      </s:c>
      <s:c r="K31" s="5">
        <s:f>K30+H31-G31</s:f>
        <s:v>135564.4005771891</s:v>
      </s:c>
      <s:c r="L31" s="5">
        <s:f>IF(B31&gt;0,'S3 inputs'!$B$2*'S3 inputs'!$B$14*'S3 inputs'!$B$15*(1+'S3 inputs'!$B$18)^(B31-1)*I31,0)</s:f>
        <s:v>179.60381472062286</s:v>
      </s:c>
      <s:c r="M31" s="11">
        <s:f>IF(AND(K31&gt;=0,K30&lt;0),A31-1-K30/(H31-G31),"")</s:f>
        <s:v>28.73271678963154</s:v>
      </s:c>
      <s:c r="N31" s="11">
        <s:f>N30+J31-G31*I31</s:f>
        <s:v>-7111265.898183706</s:v>
      </s:c>
      <s:c r="O31" s="11" t="str">
        <s:f>IF(AND(N31&gt;=0,N30&lt;0),A31-1-N30/((H31-G31)*I31),"")</s:f>
        <s:v/>
      </s:c>
    </s:row>
    <s:row r="32" ht="20" customHeight="1">
      <s:c r="A32" s="2" t="n">
        <s:v>30</s:v>
      </s:c>
      <s:c r="B32" s="2">
        <s:f>IF(AND(A32&gt;'S3 results'!$B$4,A32&lt;='S3 results'!$B$5),A32-'S3 results'!$B$4,0)</s:f>
        <s:v>27</s:v>
      </s:c>
      <s:c r="C32" s="5">
        <s:f>IF(B32&gt;0,'S3 inputs'!$B$16*(1+'S3 inputs'!$B$18)^(B32-1),0)</s:f>
        <s:v>1004.0508686124151</s:v>
      </s:c>
      <s:c r="D32" s="5">
        <s:f>IF(B32&gt;0,'S3 inputs'!$B$2*'S3 inputs'!$B$14*'S3 inputs'!$B$15*C32,0)</s:f>
        <s:v>1024131.8859846634</s:v>
      </s:c>
      <s:c r="E32" s="5">
        <s:f>IF(B32&gt;0,('S3 inputs'!$B$20+'S3 inputs'!$B$21+'S3 inputs'!$B$2*'S3 inputs'!$B$14*('S3 inputs'!$B$22+'S3 inputs'!$B$23)+('S3 inputs'!$B$2*'S3 inputs'!$B$3*'S3 inputs'!$B$5+'S3 inputs'!$B$6)*'S3 inputs'!$B$24)*(1+'S3 inputs'!$B$19)^(B32-1),0)</s:f>
        <s:v>509278.443809095</s:v>
      </s:c>
      <s:c r="F32" s="5">
        <s:f>IF(AND(B32&gt;0,B32&lt;'S3 inputs'!$B$12,MOD(B32,'S3 inputs'!$B$25)=0),'S3 inputs'!$B$26*(1+'S3 inputs'!$B$19)^(B32-1),0)</s:f>
        <s:v>0</s:v>
      </s:c>
      <s:c r="G32" s="5">
        <s:f>IF(A32='S3 results'!$B$5,'S3 inputs'!$B$27*(1-'S3 inputs'!$B$28),0)</s:f>
        <s:v>0</s:v>
      </s:c>
      <s:c r="H32" s="5">
        <s:f>D32-E32-F32+G32</s:f>
        <s:v>514853.4421755684</s:v>
      </s:c>
      <s:c r="I32" s="5">
        <s:f>1/(1+'S3 inputs'!$B$13)^A32</s:f>
        <s:v>0.09937733254980118</s:v>
      </s:c>
      <s:c r="J32" s="5">
        <s:f>H32*I32</s:f>
        <s:v>51164.76173749129</s:v>
      </s:c>
      <s:c r="K32" s="5">
        <s:f>K31+H32-G32</s:f>
        <s:v>650417.8427527575</s:v>
      </s:c>
      <s:c r="L32" s="5">
        <s:f>IF(B32&gt;0,'S3 inputs'!$B$2*'S3 inputs'!$B$14*'S3 inputs'!$B$15*(1+'S3 inputs'!$B$18)^(B32-1)*I32,0)</s:f>
        <s:v>169.6258250139216</s:v>
      </s:c>
      <s:c r="M32" s="11" t="str">
        <s:f>IF(AND(K32&gt;=0,K31&lt;0),A32-1-K31/(H32-G32),"")</s:f>
        <s:v/>
      </s:c>
      <s:c r="N32" s="11">
        <s:f>N31+J32-G32*I32</s:f>
        <s:v>-7060101.136446215</s:v>
      </s:c>
      <s:c r="O32" s="11" t="str">
        <s:f>IF(AND(N32&gt;=0,N31&lt;0),A32-1-N31/((H32-G32)*I32),"")</s:f>
        <s:v/>
      </s:c>
    </s:row>
    <s:row r="33" ht="20" customHeight="1">
      <s:c r="A33" s="2" t="n">
        <s:v>31</s:v>
      </s:c>
      <s:c r="B33" s="2">
        <s:f>IF(AND(A33&gt;'S3 results'!$B$4,A33&lt;='S3 results'!$B$5),A33-'S3 results'!$B$4,0)</s:f>
        <s:v>28</s:v>
      </s:c>
      <s:c r="C33" s="5">
        <s:f>IF(B33&gt;0,'S3 inputs'!$B$16*(1+'S3 inputs'!$B$18)^(B33-1),0)</s:f>
        <s:v>1024.1318859846635</s:v>
      </s:c>
      <s:c r="D33" s="5">
        <s:f>IF(B33&gt;0,'S3 inputs'!$B$2*'S3 inputs'!$B$14*'S3 inputs'!$B$15*C33,0)</s:f>
        <s:v>1044614.5237043569</s:v>
      </s:c>
      <s:c r="E33" s="5">
        <s:f>IF(B33&gt;0,('S3 inputs'!$B$20+'S3 inputs'!$B$21+'S3 inputs'!$B$2*'S3 inputs'!$B$14*('S3 inputs'!$B$22+'S3 inputs'!$B$23)+('S3 inputs'!$B$2*'S3 inputs'!$B$3*'S3 inputs'!$B$5+'S3 inputs'!$B$6)*'S3 inputs'!$B$24)*(1+'S3 inputs'!$B$19)^(B33-1),0)</s:f>
        <s:v>522010.4049043224</s:v>
      </s:c>
      <s:c r="F33" s="5">
        <s:f>IF(AND(B33&gt;0,B33&lt;'S3 inputs'!$B$12,MOD(B33,'S3 inputs'!$B$25)=0),'S3 inputs'!$B$26*(1+'S3 inputs'!$B$19)^(B33-1),0)</s:f>
        <s:v>0</s:v>
      </s:c>
      <s:c r="G33" s="5">
        <s:f>IF(A33='S3 results'!$B$5,'S3 inputs'!$B$27*(1-'S3 inputs'!$B$28),0)</s:f>
        <s:v>0</s:v>
      </s:c>
      <s:c r="H33" s="5">
        <s:f>D33-E33-F33+G33</s:f>
        <s:v>522604.11880003446</s:v>
      </s:c>
      <s:c r="I33" s="5">
        <s:f>1/(1+'S3 inputs'!$B$13)^A33</s:f>
        <s:v>0.0920160486572233</s:v>
      </s:c>
      <s:c r="J33" s="5">
        <s:f>H33*I33</s:f>
        <s:v>48087.96602396928</s:v>
      </s:c>
      <s:c r="K33" s="5">
        <s:f>K32+H33-G33</s:f>
        <s:v>1173021.961552792</s:v>
      </s:c>
      <s:c r="L33" s="5">
        <s:f>IF(B33&gt;0,'S3 inputs'!$B$2*'S3 inputs'!$B$14*'S3 inputs'!$B$15*(1+'S3 inputs'!$B$18)^(B33-1)*I33,0)</s:f>
        <s:v>160.20216806870374</s:v>
      </s:c>
      <s:c r="M33" s="11" t="str">
        <s:f>IF(AND(K33&gt;=0,K32&lt;0),A33-1-K32/(H33-G33),"")</s:f>
        <s:v/>
      </s:c>
      <s:c r="N33" s="11">
        <s:f>N32+J33-G33*I33</s:f>
        <s:v>-7012013.170422246</s:v>
      </s:c>
      <s:c r="O33" s="11" t="str">
        <s:f>IF(AND(N33&gt;=0,N32&lt;0),A33-1-N32/((H33-G33)*I33),"")</s:f>
        <s:v/>
      </s:c>
    </s:row>
    <s:row r="34" ht="20" customHeight="1">
      <s:c r="A34" s="2" t="n">
        <s:v>32</s:v>
      </s:c>
      <s:c r="B34" s="2">
        <s:f>IF(AND(A34&gt;'S3 results'!$B$4,A34&lt;='S3 results'!$B$5),A34-'S3 results'!$B$4,0)</s:f>
        <s:v>29</s:v>
      </s:c>
      <s:c r="C34" s="5">
        <s:f>IF(B34&gt;0,'S3 inputs'!$B$16*(1+'S3 inputs'!$B$18)^(B34-1),0)</s:f>
        <s:v>1044.6145237043568</s:v>
      </s:c>
      <s:c r="D34" s="5">
        <s:f>IF(B34&gt;0,'S3 inputs'!$B$2*'S3 inputs'!$B$14*'S3 inputs'!$B$15*C34,0)</s:f>
        <s:v>1065506.814178444</s:v>
      </s:c>
      <s:c r="E34" s="5">
        <s:f>IF(B34&gt;0,('S3 inputs'!$B$20+'S3 inputs'!$B$21+'S3 inputs'!$B$2*'S3 inputs'!$B$14*('S3 inputs'!$B$22+'S3 inputs'!$B$23)+('S3 inputs'!$B$2*'S3 inputs'!$B$3*'S3 inputs'!$B$5+'S3 inputs'!$B$6)*'S3 inputs'!$B$24)*(1+'S3 inputs'!$B$19)^(B34-1),0)</s:f>
        <s:v>535060.6650269304</s:v>
      </s:c>
      <s:c r="F34" s="5">
        <s:f>IF(AND(B34&gt;0,B34&lt;'S3 inputs'!$B$12,MOD(B34,'S3 inputs'!$B$25)=0),'S3 inputs'!$B$26*(1+'S3 inputs'!$B$19)^(B34-1),0)</s:f>
        <s:v>0</s:v>
      </s:c>
      <s:c r="G34" s="5">
        <s:f>IF(A34='S3 results'!$B$5,'S3 inputs'!$B$27*(1-'S3 inputs'!$B$28),0)</s:f>
        <s:v>0</s:v>
      </s:c>
      <s:c r="H34" s="5">
        <s:f>D34-E34-F34+G34</s:f>
        <s:v>530446.1491515136</s:v>
      </s:c>
      <s:c r="I34" s="5">
        <s:f>1/(1+'S3 inputs'!$B$13)^A34</s:f>
        <s:v>0.08520004505298454</s:v>
      </s:c>
      <s:c r="J34" s="5">
        <s:f>H34*I34</s:f>
        <s:v>45194.035805891115</s:v>
      </s:c>
      <s:c r="K34" s="5">
        <s:f>K33+H34-G34</s:f>
        <s:v>1703468.1107043056</s:v>
      </s:c>
      <s:c r="L34" s="5">
        <s:f>IF(B34&gt;0,'S3 inputs'!$B$2*'S3 inputs'!$B$14*'S3 inputs'!$B$15*(1+'S3 inputs'!$B$18)^(B34-1)*I34,0)</s:f>
        <s:v>151.3020476204424</s:v>
      </s:c>
      <s:c r="M34" s="11" t="str">
        <s:f>IF(AND(K34&gt;=0,K33&lt;0),A34-1-K33/(H34-G34),"")</s:f>
        <s:v/>
      </s:c>
      <s:c r="N34" s="11">
        <s:f>N33+J34-G34*I34</s:f>
        <s:v>-6966819.1346163545</s:v>
      </s:c>
      <s:c r="O34" s="11" t="str">
        <s:f>IF(AND(N34&gt;=0,N33&lt;0),A34-1-N33/((H34-G34)*I34),"")</s:f>
        <s:v/>
      </s:c>
    </s:row>
    <s:row r="35" ht="20" customHeight="1">
      <s:c r="A35" s="2" t="n">
        <s:v>33</s:v>
      </s:c>
      <s:c r="B35" s="2">
        <s:f>IF(AND(A35&gt;'S3 results'!$B$4,A35&lt;='S3 results'!$B$5),A35-'S3 results'!$B$4,0)</s:f>
        <s:v>30</s:v>
      </s:c>
      <s:c r="C35" s="5">
        <s:f>IF(B35&gt;0,'S3 inputs'!$B$16*(1+'S3 inputs'!$B$18)^(B35-1),0)</s:f>
        <s:v>1065.5068141784438</s:v>
      </s:c>
      <s:c r="D35" s="5">
        <s:f>IF(B35&gt;0,'S3 inputs'!$B$2*'S3 inputs'!$B$14*'S3 inputs'!$B$15*C35,0)</s:f>
        <s:v>1086816.9504620128</s:v>
      </s:c>
      <s:c r="E35" s="5">
        <s:f>IF(B35&gt;0,('S3 inputs'!$B$20+'S3 inputs'!$B$21+'S3 inputs'!$B$2*'S3 inputs'!$B$14*('S3 inputs'!$B$22+'S3 inputs'!$B$23)+('S3 inputs'!$B$2*'S3 inputs'!$B$3*'S3 inputs'!$B$5+'S3 inputs'!$B$6)*'S3 inputs'!$B$24)*(1+'S3 inputs'!$B$19)^(B35-1),0)</s:f>
        <s:v>548437.1816526037</s:v>
      </s:c>
      <s:c r="F35" s="5">
        <s:f>IF(AND(B35&gt;0,B35&lt;'S3 inputs'!$B$12,MOD(B35,'S3 inputs'!$B$25)=0),'S3 inputs'!$B$26*(1+'S3 inputs'!$B$19)^(B35-1),0)</s:f>
        <s:v>0</s:v>
      </s:c>
      <s:c r="G35" s="5">
        <s:f>IF(A35='S3 results'!$B$5,'S3 inputs'!$B$27*(1-'S3 inputs'!$B$28),0)</s:f>
        <s:v>0.0</s:v>
      </s:c>
      <s:c r="H35" s="5">
        <s:f>D35-E35-F35+G35</s:f>
        <s:v>538379.7688094091</s:v>
      </s:c>
      <s:c r="I35" s="5">
        <s:f>1/(1+'S3 inputs'!$B$13)^A35</s:f>
        <s:v>0.07888893060461531</s:v>
      </s:c>
      <s:c r="J35" s="5">
        <s:f>H35*I35</s:f>
        <s:v>42472.20422053431</s:v>
      </s:c>
      <s:c r="K35" s="5">
        <s:f>K34+H35-G35</s:f>
        <s:v>2241847.8795137145</s:v>
      </s:c>
      <s:c r="L35" s="5">
        <s:f>IF(B35&gt;0,'S3 inputs'!$B$2*'S3 inputs'!$B$14*'S3 inputs'!$B$15*(1+'S3 inputs'!$B$18)^(B35-1)*I35,0)</s:f>
        <s:v>142.8963783081956</s:v>
      </s:c>
      <s:c r="M35" s="11" t="str">
        <s:f>IF(AND(K35&gt;=0,K34&lt;0),A35-1-K34/(H35-G35),"")</s:f>
        <s:v/>
      </s:c>
      <s:c r="N35" s="11">
        <s:f>N34+J35-G35*I35</s:f>
        <s:v>-6924346.93039582</s:v>
      </s:c>
      <s:c r="O35" s="11" t="str">
        <s:f>IF(AND(N35&gt;=0,N34&lt;0),A35-1-N34/((H35-G35)*I35),"")</s:f>
        <s:v/>
      </s:c>
    </s:row>
    <s:row r="36" ht="20" customHeight="1">
      <s:c r="A36" s="2" t="n">
        <s:v>34</s:v>
      </s:c>
      <s:c r="B36" s="2">
        <s:f>IF(AND(A36&gt;'S3 results'!$B$4,A36&lt;='S3 results'!$B$5),A36-'S3 results'!$B$4,0)</s:f>
        <s:v>0</s:v>
      </s:c>
      <s:c r="C36" s="5">
        <s:f>IF(B36&gt;0,'S3 inputs'!$B$16*(1+'S3 inputs'!$B$18)^(B36-1),0)</s:f>
        <s:v>0</s:v>
      </s:c>
      <s:c r="D36" s="5">
        <s:f>IF(B36&gt;0,'S3 inputs'!$B$2*'S3 inputs'!$B$14*'S3 inputs'!$B$15*C36,0)</s:f>
        <s:v>0</s:v>
      </s:c>
      <s:c r="E36" s="5">
        <s:f>IF(B36&gt;0,('S3 inputs'!$B$20+'S3 inputs'!$B$21+'S3 inputs'!$B$2*'S3 inputs'!$B$14*('S3 inputs'!$B$22+'S3 inputs'!$B$23)+('S3 inputs'!$B$2*'S3 inputs'!$B$3*'S3 inputs'!$B$5+'S3 inputs'!$B$6)*'S3 inputs'!$B$24)*(1+'S3 inputs'!$B$19)^(B36-1),0)</s:f>
        <s:v>0</s:v>
      </s:c>
      <s:c r="F36" s="5">
        <s:f>IF(AND(B36&gt;0,B36&lt;'S3 inputs'!$B$12,MOD(B36,'S3 inputs'!$B$25)=0),'S3 inputs'!$B$26*(1+'S3 inputs'!$B$19)^(B36-1),0)</s:f>
        <s:v>0</s:v>
      </s:c>
      <s:c r="G36" s="5">
        <s:f>IF(A36='S3 results'!$B$5,'S3 inputs'!$B$27*(1-'S3 inputs'!$B$28),0)</s:f>
        <s:v>0</s:v>
      </s:c>
      <s:c r="H36" s="5">
        <s:f>D36-E36-F36+G36</s:f>
        <s:v>0</s:v>
      </s:c>
      <s:c r="I36" s="5">
        <s:f>1/(1+'S3 inputs'!$B$13)^A36</s:f>
        <s:v>0.07304530611538454</s:v>
      </s:c>
      <s:c r="J36" s="5">
        <s:f>H36*I36</s:f>
        <s:v>0.0</s:v>
      </s:c>
      <s:c r="K36" s="5">
        <s:f>K35+H36-G36</s:f>
        <s:v>2241847.8795137145</s:v>
      </s:c>
      <s:c r="L36" s="5">
        <s:f>IF(B36&gt;0,'S3 inputs'!$B$2*'S3 inputs'!$B$14*'S3 inputs'!$B$15*(1+'S3 inputs'!$B$18)^(B36-1)*I36,0)</s:f>
        <s:v>0</s:v>
      </s:c>
      <s:c r="M36" s="11" t="str">
        <s:f>IF(AND(K36&gt;=0,K35&lt;0),A36-1-K35/(H36-G36),"")</s:f>
        <s:v/>
      </s:c>
      <s:c r="N36" s="11">
        <s:f>N35+J36-G36*I36</s:f>
        <s:v>-6924346.93039582</s:v>
      </s:c>
      <s:c r="O36" s="11" t="str">
        <s:f>IF(AND(N36&gt;=0,N35&lt;0),A36-1-N35/((H36-G36)*I36),"")</s:f>
        <s:v/>
      </s:c>
    </s:row>
    <s:row r="37" ht="20" customHeight="1">
      <s:c r="A37" s="2" t="n">
        <s:v>35</s:v>
      </s:c>
      <s:c r="B37" s="2">
        <s:f>IF(AND(A37&gt;'S3 results'!$B$4,A37&lt;='S3 results'!$B$5),A37-'S3 results'!$B$4,0)</s:f>
        <s:v>0</s:v>
      </s:c>
      <s:c r="C37" s="5">
        <s:f>IF(B37&gt;0,'S3 inputs'!$B$16*(1+'S3 inputs'!$B$18)^(B37-1),0)</s:f>
        <s:v>0</s:v>
      </s:c>
      <s:c r="D37" s="5">
        <s:f>IF(B37&gt;0,'S3 inputs'!$B$2*'S3 inputs'!$B$14*'S3 inputs'!$B$15*C37,0)</s:f>
        <s:v>0</s:v>
      </s:c>
      <s:c r="E37" s="5">
        <s:f>IF(B37&gt;0,('S3 inputs'!$B$20+'S3 inputs'!$B$21+'S3 inputs'!$B$2*'S3 inputs'!$B$14*('S3 inputs'!$B$22+'S3 inputs'!$B$23)+('S3 inputs'!$B$2*'S3 inputs'!$B$3*'S3 inputs'!$B$5+'S3 inputs'!$B$6)*'S3 inputs'!$B$24)*(1+'S3 inputs'!$B$19)^(B37-1),0)</s:f>
        <s:v>0</s:v>
      </s:c>
      <s:c r="F37" s="5">
        <s:f>IF(AND(B37&gt;0,B37&lt;'S3 inputs'!$B$12,MOD(B37,'S3 inputs'!$B$25)=0),'S3 inputs'!$B$26*(1+'S3 inputs'!$B$19)^(B37-1),0)</s:f>
        <s:v>0</s:v>
      </s:c>
      <s:c r="G37" s="5">
        <s:f>IF(A37='S3 results'!$B$5,'S3 inputs'!$B$27*(1-'S3 inputs'!$B$28),0)</s:f>
        <s:v>0</s:v>
      </s:c>
      <s:c r="H37" s="5">
        <s:f>D37-E37-F37+G37</s:f>
        <s:v>0</s:v>
      </s:c>
      <s:c r="I37" s="5">
        <s:f>1/(1+'S3 inputs'!$B$13)^A37</s:f>
        <s:v>0.06763454269943012</s:v>
      </s:c>
      <s:c r="J37" s="5">
        <s:f>H37*I37</s:f>
        <s:v>0.0</s:v>
      </s:c>
      <s:c r="K37" s="5">
        <s:f>K36+H37-G37</s:f>
        <s:v>2241847.8795137145</s:v>
      </s:c>
      <s:c r="L37" s="5">
        <s:f>IF(B37&gt;0,'S3 inputs'!$B$2*'S3 inputs'!$B$14*'S3 inputs'!$B$15*(1+'S3 inputs'!$B$18)^(B37-1)*I37,0)</s:f>
        <s:v>0</s:v>
      </s:c>
      <s:c r="M37" s="11" t="str">
        <s:f>IF(AND(K37&gt;=0,K36&lt;0),A37-1-K36/(H37-G37),"")</s:f>
        <s:v/>
      </s:c>
      <s:c r="N37" s="11">
        <s:f>N36+J37-G37*I37</s:f>
        <s:v>-6924346.93039582</s:v>
      </s:c>
      <s:c r="O37" s="11" t="str">
        <s:f>IF(AND(N37&gt;=0,N36&lt;0),A37-1-N36/((H37-G37)*I37),"")</s:f>
        <s:v/>
      </s:c>
    </s:row>
    <s:row r="38" ht="20" customHeight="1">
      <s:c r="A38" s="2" t="n">
        <s:v>36</s:v>
      </s:c>
      <s:c r="B38" s="2">
        <s:f>IF(AND(A38&gt;'S3 results'!$B$4,A38&lt;='S3 results'!$B$5),A38-'S3 results'!$B$4,0)</s:f>
        <s:v>0</s:v>
      </s:c>
      <s:c r="C38" s="5">
        <s:f>IF(B38&gt;0,'S3 inputs'!$B$16*(1+'S3 inputs'!$B$18)^(B38-1),0)</s:f>
        <s:v>0</s:v>
      </s:c>
      <s:c r="D38" s="5">
        <s:f>IF(B38&gt;0,'S3 inputs'!$B$2*'S3 inputs'!$B$14*'S3 inputs'!$B$15*C38,0)</s:f>
        <s:v>0</s:v>
      </s:c>
      <s:c r="E38" s="5">
        <s:f>IF(B38&gt;0,('S3 inputs'!$B$20+'S3 inputs'!$B$21+'S3 inputs'!$B$2*'S3 inputs'!$B$14*('S3 inputs'!$B$22+'S3 inputs'!$B$23)+('S3 inputs'!$B$2*'S3 inputs'!$B$3*'S3 inputs'!$B$5+'S3 inputs'!$B$6)*'S3 inputs'!$B$24)*(1+'S3 inputs'!$B$19)^(B38-1),0)</s:f>
        <s:v>0</s:v>
      </s:c>
      <s:c r="F38" s="5">
        <s:f>IF(AND(B38&gt;0,B38&lt;'S3 inputs'!$B$12,MOD(B38,'S3 inputs'!$B$25)=0),'S3 inputs'!$B$26*(1+'S3 inputs'!$B$19)^(B38-1),0)</s:f>
        <s:v>0</s:v>
      </s:c>
      <s:c r="G38" s="5">
        <s:f>IF(A38='S3 results'!$B$5,'S3 inputs'!$B$27*(1-'S3 inputs'!$B$28),0)</s:f>
        <s:v>0</s:v>
      </s:c>
      <s:c r="H38" s="5">
        <s:f>D38-E38-F38+G38</s:f>
        <s:v>0</s:v>
      </s:c>
      <s:c r="I38" s="5">
        <s:f>1/(1+'S3 inputs'!$B$13)^A38</s:f>
        <s:v>0.0626245765735464</s:v>
      </s:c>
      <s:c r="J38" s="5">
        <s:f>H38*I38</s:f>
        <s:v>0.0</s:v>
      </s:c>
      <s:c r="K38" s="5">
        <s:f>K37+H38-G38</s:f>
        <s:v>2241847.8795137145</s:v>
      </s:c>
      <s:c r="L38" s="5">
        <s:f>IF(B38&gt;0,'S3 inputs'!$B$2*'S3 inputs'!$B$14*'S3 inputs'!$B$15*(1+'S3 inputs'!$B$18)^(B38-1)*I38,0)</s:f>
        <s:v>0</s:v>
      </s:c>
      <s:c r="M38" s="11" t="str">
        <s:f>IF(AND(K38&gt;=0,K37&lt;0),A38-1-K37/(H38-G38),"")</s:f>
        <s:v/>
      </s:c>
      <s:c r="N38" s="11">
        <s:f>N37+J38-G38*I38</s:f>
        <s:v>-6924346.93039582</s:v>
      </s:c>
      <s:c r="O38" s="11" t="str">
        <s:f>IF(AND(N38&gt;=0,N37&lt;0),A38-1-N37/((H38-G38)*I38),"")</s:f>
        <s:v/>
      </s:c>
    </s:row>
    <s:row r="39" ht="20" customHeight="1">
      <s:c r="A39" s="2" t="n">
        <s:v>37</s:v>
      </s:c>
      <s:c r="B39" s="2">
        <s:f>IF(AND(A39&gt;'S3 results'!$B$4,A39&lt;='S3 results'!$B$5),A39-'S3 results'!$B$4,0)</s:f>
        <s:v>0</s:v>
      </s:c>
      <s:c r="C39" s="5">
        <s:f>IF(B39&gt;0,'S3 inputs'!$B$16*(1+'S3 inputs'!$B$18)^(B39-1),0)</s:f>
        <s:v>0</s:v>
      </s:c>
      <s:c r="D39" s="5">
        <s:f>IF(B39&gt;0,'S3 inputs'!$B$2*'S3 inputs'!$B$14*'S3 inputs'!$B$15*C39,0)</s:f>
        <s:v>0</s:v>
      </s:c>
      <s:c r="E39" s="5">
        <s:f>IF(B39&gt;0,('S3 inputs'!$B$20+'S3 inputs'!$B$21+'S3 inputs'!$B$2*'S3 inputs'!$B$14*('S3 inputs'!$B$22+'S3 inputs'!$B$23)+('S3 inputs'!$B$2*'S3 inputs'!$B$3*'S3 inputs'!$B$5+'S3 inputs'!$B$6)*'S3 inputs'!$B$24)*(1+'S3 inputs'!$B$19)^(B39-1),0)</s:f>
        <s:v>0</s:v>
      </s:c>
      <s:c r="F39" s="5">
        <s:f>IF(AND(B39&gt;0,B39&lt;'S3 inputs'!$B$12,MOD(B39,'S3 inputs'!$B$25)=0),'S3 inputs'!$B$26*(1+'S3 inputs'!$B$19)^(B39-1),0)</s:f>
        <s:v>0</s:v>
      </s:c>
      <s:c r="G39" s="5">
        <s:f>IF(A39='S3 results'!$B$5,'S3 inputs'!$B$27*(1-'S3 inputs'!$B$28),0)</s:f>
        <s:v>0</s:v>
      </s:c>
      <s:c r="H39" s="5">
        <s:f>D39-E39-F39+G39</s:f>
        <s:v>0</s:v>
      </s:c>
      <s:c r="I39" s="5">
        <s:f>1/(1+'S3 inputs'!$B$13)^A39</s:f>
        <s:v>0.05798571904958</s:v>
      </s:c>
      <s:c r="J39" s="5">
        <s:f>H39*I39</s:f>
        <s:v>0.0</s:v>
      </s:c>
      <s:c r="K39" s="5">
        <s:f>K38+H39-G39</s:f>
        <s:v>2241847.8795137145</s:v>
      </s:c>
      <s:c r="L39" s="5">
        <s:f>IF(B39&gt;0,'S3 inputs'!$B$2*'S3 inputs'!$B$14*'S3 inputs'!$B$15*(1+'S3 inputs'!$B$18)^(B39-1)*I39,0)</s:f>
        <s:v>0</s:v>
      </s:c>
      <s:c r="M39" s="11" t="str">
        <s:f>IF(AND(K39&gt;=0,K38&lt;0),A39-1-K38/(H39-G39),"")</s:f>
        <s:v/>
      </s:c>
      <s:c r="N39" s="11">
        <s:f>N38+J39-G39*I39</s:f>
        <s:v>-6924346.93039582</s:v>
      </s:c>
      <s:c r="O39" s="11" t="str">
        <s:f>IF(AND(N39&gt;=0,N38&lt;0),A39-1-N38/((H39-G39)*I39),"")</s:f>
        <s:v/>
      </s:c>
    </s:row>
    <s:row r="40" ht="20" customHeight="1">
      <s:c r="A40" s="2" t="n">
        <s:v>38</s:v>
      </s:c>
      <s:c r="B40" s="2">
        <s:f>IF(AND(A40&gt;'S3 results'!$B$4,A40&lt;='S3 results'!$B$5),A40-'S3 results'!$B$4,0)</s:f>
        <s:v>0</s:v>
      </s:c>
      <s:c r="C40" s="5">
        <s:f>IF(B40&gt;0,'S3 inputs'!$B$16*(1+'S3 inputs'!$B$18)^(B40-1),0)</s:f>
        <s:v>0</s:v>
      </s:c>
      <s:c r="D40" s="5">
        <s:f>IF(B40&gt;0,'S3 inputs'!$B$2*'S3 inputs'!$B$14*'S3 inputs'!$B$15*C40,0)</s:f>
        <s:v>0</s:v>
      </s:c>
      <s:c r="E40" s="5">
        <s:f>IF(B40&gt;0,('S3 inputs'!$B$20+'S3 inputs'!$B$21+'S3 inputs'!$B$2*'S3 inputs'!$B$14*('S3 inputs'!$B$22+'S3 inputs'!$B$23)+('S3 inputs'!$B$2*'S3 inputs'!$B$3*'S3 inputs'!$B$5+'S3 inputs'!$B$6)*'S3 inputs'!$B$24)*(1+'S3 inputs'!$B$19)^(B40-1),0)</s:f>
        <s:v>0</s:v>
      </s:c>
      <s:c r="F40" s="5">
        <s:f>IF(AND(B40&gt;0,B40&lt;'S3 inputs'!$B$12,MOD(B40,'S3 inputs'!$B$25)=0),'S3 inputs'!$B$26*(1+'S3 inputs'!$B$19)^(B40-1),0)</s:f>
        <s:v>0</s:v>
      </s:c>
      <s:c r="G40" s="5">
        <s:f>IF(A40='S3 results'!$B$5,'S3 inputs'!$B$27*(1-'S3 inputs'!$B$28),0)</s:f>
        <s:v>0</s:v>
      </s:c>
      <s:c r="H40" s="5">
        <s:f>D40-E40-F40+G40</s:f>
        <s:v>0</s:v>
      </s:c>
      <s:c r="I40" s="5">
        <s:f>1/(1+'S3 inputs'!$B$13)^A40</s:f>
        <s:v>0.053690480601462955</s:v>
      </s:c>
      <s:c r="J40" s="5">
        <s:f>H40*I40</s:f>
        <s:v>0.0</s:v>
      </s:c>
      <s:c r="K40" s="5">
        <s:f>K39+H40-G40</s:f>
        <s:v>2241847.8795137145</s:v>
      </s:c>
      <s:c r="L40" s="5">
        <s:f>IF(B40&gt;0,'S3 inputs'!$B$2*'S3 inputs'!$B$14*'S3 inputs'!$B$15*(1+'S3 inputs'!$B$18)^(B40-1)*I40,0)</s:f>
        <s:v>0</s:v>
      </s:c>
      <s:c r="M40" s="11" t="str">
        <s:f>IF(AND(K40&gt;=0,K39&lt;0),A40-1-K39/(H40-G40),"")</s:f>
        <s:v/>
      </s:c>
      <s:c r="N40" s="11">
        <s:f>N39+J40-G40*I40</s:f>
        <s:v>-6924346.93039582</s:v>
      </s:c>
      <s:c r="O40" s="11" t="str">
        <s:f>IF(AND(N40&gt;=0,N39&lt;0),A40-1-N39/((H40-G40)*I40),"")</s:f>
        <s:v/>
      </s:c>
    </s:row>
    <s:row r="41" ht="20" customHeight="1">
      <s:c r="A41" s="2" t="n">
        <s:v>39</s:v>
      </s:c>
      <s:c r="B41" s="2">
        <s:f>IF(AND(A41&gt;'S3 results'!$B$4,A41&lt;='S3 results'!$B$5),A41-'S3 results'!$B$4,0)</s:f>
        <s:v>0</s:v>
      </s:c>
      <s:c r="C41" s="5">
        <s:f>IF(B41&gt;0,'S3 inputs'!$B$16*(1+'S3 inputs'!$B$18)^(B41-1),0)</s:f>
        <s:v>0</s:v>
      </s:c>
      <s:c r="D41" s="5">
        <s:f>IF(B41&gt;0,'S3 inputs'!$B$2*'S3 inputs'!$B$14*'S3 inputs'!$B$15*C41,0)</s:f>
        <s:v>0</s:v>
      </s:c>
      <s:c r="E41" s="5">
        <s:f>IF(B41&gt;0,('S3 inputs'!$B$20+'S3 inputs'!$B$21+'S3 inputs'!$B$2*'S3 inputs'!$B$14*('S3 inputs'!$B$22+'S3 inputs'!$B$23)+('S3 inputs'!$B$2*'S3 inputs'!$B$3*'S3 inputs'!$B$5+'S3 inputs'!$B$6)*'S3 inputs'!$B$24)*(1+'S3 inputs'!$B$19)^(B41-1),0)</s:f>
        <s:v>0</s:v>
      </s:c>
      <s:c r="F41" s="5">
        <s:f>IF(AND(B41&gt;0,B41&lt;'S3 inputs'!$B$12,MOD(B41,'S3 inputs'!$B$25)=0),'S3 inputs'!$B$26*(1+'S3 inputs'!$B$19)^(B41-1),0)</s:f>
        <s:v>0</s:v>
      </s:c>
      <s:c r="G41" s="5">
        <s:f>IF(A41='S3 results'!$B$5,'S3 inputs'!$B$27*(1-'S3 inputs'!$B$28),0)</s:f>
        <s:v>0</s:v>
      </s:c>
      <s:c r="H41" s="5">
        <s:f>D41-E41-F41+G41</s:f>
        <s:v>0</s:v>
      </s:c>
      <s:c r="I41" s="5">
        <s:f>1/(1+'S3 inputs'!$B$13)^A41</s:f>
        <s:v>0.04971340796431756</s:v>
      </s:c>
      <s:c r="J41" s="5">
        <s:f>H41*I41</s:f>
        <s:v>0.0</s:v>
      </s:c>
      <s:c r="K41" s="5">
        <s:f>K40+H41-G41</s:f>
        <s:v>2241847.8795137145</s:v>
      </s:c>
      <s:c r="L41" s="5">
        <s:f>IF(B41&gt;0,'S3 inputs'!$B$2*'S3 inputs'!$B$14*'S3 inputs'!$B$15*(1+'S3 inputs'!$B$18)^(B41-1)*I41,0)</s:f>
        <s:v>0</s:v>
      </s:c>
      <s:c r="M41" s="11" t="str">
        <s:f>IF(AND(K41&gt;=0,K40&lt;0),A41-1-K40/(H41-G41),"")</s:f>
        <s:v/>
      </s:c>
      <s:c r="N41" s="11">
        <s:f>N40+J41-G41*I41</s:f>
        <s:v>-6924346.93039582</s:v>
      </s:c>
      <s:c r="O41" s="11" t="str">
        <s:f>IF(AND(N41&gt;=0,N40&lt;0),A41-1-N40/((H41-G41)*I41),"")</s:f>
        <s:v/>
      </s:c>
    </s:row>
    <s:row r="42" ht="20" customHeight="1">
      <s:c r="A42" s="2" t="n">
        <s:v>40</s:v>
      </s:c>
      <s:c r="B42" s="2">
        <s:f>IF(AND(A42&gt;'S3 results'!$B$4,A42&lt;='S3 results'!$B$5),A42-'S3 results'!$B$4,0)</s:f>
        <s:v>0</s:v>
      </s:c>
      <s:c r="C42" s="5">
        <s:f>IF(B42&gt;0,'S3 inputs'!$B$16*(1+'S3 inputs'!$B$18)^(B42-1),0)</s:f>
        <s:v>0</s:v>
      </s:c>
      <s:c r="D42" s="5">
        <s:f>IF(B42&gt;0,'S3 inputs'!$B$2*'S3 inputs'!$B$14*'S3 inputs'!$B$15*C42,0)</s:f>
        <s:v>0</s:v>
      </s:c>
      <s:c r="E42" s="5">
        <s:f>IF(B42&gt;0,('S3 inputs'!$B$20+'S3 inputs'!$B$21+'S3 inputs'!$B$2*'S3 inputs'!$B$14*('S3 inputs'!$B$22+'S3 inputs'!$B$23)+('S3 inputs'!$B$2*'S3 inputs'!$B$3*'S3 inputs'!$B$5+'S3 inputs'!$B$6)*'S3 inputs'!$B$24)*(1+'S3 inputs'!$B$19)^(B42-1),0)</s:f>
        <s:v>0</s:v>
      </s:c>
      <s:c r="F42" s="5">
        <s:f>IF(AND(B42&gt;0,B42&lt;'S3 inputs'!$B$12,MOD(B42,'S3 inputs'!$B$25)=0),'S3 inputs'!$B$26*(1+'S3 inputs'!$B$19)^(B42-1),0)</s:f>
        <s:v>0</s:v>
      </s:c>
      <s:c r="G42" s="5">
        <s:f>IF(A42='S3 results'!$B$5,'S3 inputs'!$B$27*(1-'S3 inputs'!$B$28),0)</s:f>
        <s:v>0</s:v>
      </s:c>
      <s:c r="H42" s="5">
        <s:f>D42-E42-F42+G42</s:f>
        <s:v>0</s:v>
      </s:c>
      <s:c r="I42" s="5">
        <s:f>1/(1+'S3 inputs'!$B$13)^A42</s:f>
        <s:v>0.04603093330029402</s:v>
      </s:c>
      <s:c r="J42" s="5">
        <s:f>H42*I42</s:f>
        <s:v>0.0</s:v>
      </s:c>
      <s:c r="K42" s="5">
        <s:f>K41+H42-G42</s:f>
        <s:v>2241847.8795137145</s:v>
      </s:c>
      <s:c r="L42" s="5">
        <s:f>IF(B42&gt;0,'S3 inputs'!$B$2*'S3 inputs'!$B$14*'S3 inputs'!$B$15*(1+'S3 inputs'!$B$18)^(B42-1)*I42,0)</s:f>
        <s:v>0</s:v>
      </s:c>
      <s:c r="M42" s="11" t="str">
        <s:f>IF(AND(K42&gt;=0,K41&lt;0),A42-1-K41/(H42-G42),"")</s:f>
        <s:v/>
      </s:c>
      <s:c r="N42" s="11">
        <s:f>N41+J42-G42*I42</s:f>
        <s:v>-6924346.93039582</s:v>
      </s:c>
      <s:c r="O42" s="11" t="str">
        <s:f>IF(AND(N42&gt;=0,N41&lt;0),A42-1-N41/((H42-G42)*I42),"")</s:f>
        <s:v/>
      </s:c>
    </s:row>
    <s:row r="43" ht="20" customHeight="1">
      <s:c r="A43" s="2" t="n">
        <s:v>41</s:v>
      </s:c>
      <s:c r="B43" s="2">
        <s:f>IF(AND(A43&gt;'S3 results'!$B$4,A43&lt;='S3 results'!$B$5),A43-'S3 results'!$B$4,0)</s:f>
        <s:v>0</s:v>
      </s:c>
      <s:c r="C43" s="5">
        <s:f>IF(B43&gt;0,'S3 inputs'!$B$16*(1+'S3 inputs'!$B$18)^(B43-1),0)</s:f>
        <s:v>0</s:v>
      </s:c>
      <s:c r="D43" s="5">
        <s:f>IF(B43&gt;0,'S3 inputs'!$B$2*'S3 inputs'!$B$14*'S3 inputs'!$B$15*C43,0)</s:f>
        <s:v>0</s:v>
      </s:c>
      <s:c r="E43" s="5">
        <s:f>IF(B43&gt;0,('S3 inputs'!$B$20+'S3 inputs'!$B$21+'S3 inputs'!$B$2*'S3 inputs'!$B$14*('S3 inputs'!$B$22+'S3 inputs'!$B$23)+('S3 inputs'!$B$2*'S3 inputs'!$B$3*'S3 inputs'!$B$5+'S3 inputs'!$B$6)*'S3 inputs'!$B$24)*(1+'S3 inputs'!$B$19)^(B43-1),0)</s:f>
        <s:v>0</s:v>
      </s:c>
      <s:c r="F43" s="5">
        <s:f>IF(AND(B43&gt;0,B43&lt;'S3 inputs'!$B$12,MOD(B43,'S3 inputs'!$B$25)=0),'S3 inputs'!$B$26*(1+'S3 inputs'!$B$19)^(B43-1),0)</s:f>
        <s:v>0</s:v>
      </s:c>
      <s:c r="G43" s="5">
        <s:f>IF(A43='S3 results'!$B$5,'S3 inputs'!$B$27*(1-'S3 inputs'!$B$28),0)</s:f>
        <s:v>0</s:v>
      </s:c>
      <s:c r="H43" s="5">
        <s:f>D43-E43-F43+G43</s:f>
        <s:v>0</s:v>
      </s:c>
      <s:c r="I43" s="5">
        <s:f>1/(1+'S3 inputs'!$B$13)^A43</s:f>
        <s:v>0.04262123453730928</s:v>
      </s:c>
      <s:c r="J43" s="5">
        <s:f>H43*I43</s:f>
        <s:v>0.0</s:v>
      </s:c>
      <s:c r="K43" s="5">
        <s:f>K42+H43-G43</s:f>
        <s:v>2241847.8795137145</s:v>
      </s:c>
      <s:c r="L43" s="5">
        <s:f>IF(B43&gt;0,'S3 inputs'!$B$2*'S3 inputs'!$B$14*'S3 inputs'!$B$15*(1+'S3 inputs'!$B$18)^(B43-1)*I43,0)</s:f>
        <s:v>0</s:v>
      </s:c>
      <s:c r="M43" s="11" t="str">
        <s:f>IF(AND(K43&gt;=0,K42&lt;0),A43-1-K42/(H43-G43),"")</s:f>
        <s:v/>
      </s:c>
      <s:c r="N43" s="11">
        <s:f>N42+J43-G43*I43</s:f>
        <s:v>-6924346.93039582</s:v>
      </s:c>
      <s:c r="O43" s="11" t="str">
        <s:f>IF(AND(N43&gt;=0,N42&lt;0),A43-1-N42/((H43-G43)*I43),"")</s:f>
        <s:v/>
      </s:c>
    </s:row>
    <s:row r="44" ht="20" customHeight="1">
      <s:c r="A44" s="2" t="n">
        <s:v>42</s:v>
      </s:c>
      <s:c r="B44" s="2">
        <s:f>IF(AND(A44&gt;'S3 results'!$B$4,A44&lt;='S3 results'!$B$5),A44-'S3 results'!$B$4,0)</s:f>
        <s:v>0</s:v>
      </s:c>
      <s:c r="C44" s="5">
        <s:f>IF(B44&gt;0,'S3 inputs'!$B$16*(1+'S3 inputs'!$B$18)^(B44-1),0)</s:f>
        <s:v>0</s:v>
      </s:c>
      <s:c r="D44" s="5">
        <s:f>IF(B44&gt;0,'S3 inputs'!$B$2*'S3 inputs'!$B$14*'S3 inputs'!$B$15*C44,0)</s:f>
        <s:v>0</s:v>
      </s:c>
      <s:c r="E44" s="5">
        <s:f>IF(B44&gt;0,('S3 inputs'!$B$20+'S3 inputs'!$B$21+'S3 inputs'!$B$2*'S3 inputs'!$B$14*('S3 inputs'!$B$22+'S3 inputs'!$B$23)+('S3 inputs'!$B$2*'S3 inputs'!$B$3*'S3 inputs'!$B$5+'S3 inputs'!$B$6)*'S3 inputs'!$B$24)*(1+'S3 inputs'!$B$19)^(B44-1),0)</s:f>
        <s:v>0</s:v>
      </s:c>
      <s:c r="F44" s="5">
        <s:f>IF(AND(B44&gt;0,B44&lt;'S3 inputs'!$B$12,MOD(B44,'S3 inputs'!$B$25)=0),'S3 inputs'!$B$26*(1+'S3 inputs'!$B$19)^(B44-1),0)</s:f>
        <s:v>0</s:v>
      </s:c>
      <s:c r="G44" s="5">
        <s:f>IF(A44='S3 results'!$B$5,'S3 inputs'!$B$27*(1-'S3 inputs'!$B$28),0)</s:f>
        <s:v>0</s:v>
      </s:c>
      <s:c r="H44" s="5">
        <s:f>D44-E44-F44+G44</s:f>
        <s:v>0</s:v>
      </s:c>
      <s:c r="I44" s="5">
        <s:f>1/(1+'S3 inputs'!$B$13)^A44</s:f>
        <s:v>0.03946410605306415</s:v>
      </s:c>
      <s:c r="J44" s="5">
        <s:f>H44*I44</s:f>
        <s:v>0.0</s:v>
      </s:c>
      <s:c r="K44" s="5">
        <s:f>K43+H44-G44</s:f>
        <s:v>2241847.8795137145</s:v>
      </s:c>
      <s:c r="L44" s="5">
        <s:f>IF(B44&gt;0,'S3 inputs'!$B$2*'S3 inputs'!$B$14*'S3 inputs'!$B$15*(1+'S3 inputs'!$B$18)^(B44-1)*I44,0)</s:f>
        <s:v>0</s:v>
      </s:c>
      <s:c r="M44" s="11" t="str">
        <s:f>IF(AND(K44&gt;=0,K43&lt;0),A44-1-K43/(H44-G44),"")</s:f>
        <s:v/>
      </s:c>
      <s:c r="N44" s="11">
        <s:f>N43+J44-G44*I44</s:f>
        <s:v>-6924346.93039582</s:v>
      </s:c>
      <s:c r="O44" s="11" t="str">
        <s:f>IF(AND(N44&gt;=0,N43&lt;0),A44-1-N43/((H44-G44)*I44),"")</s:f>
        <s:v/>
      </s:c>
    </s:row>
    <s:row r="45" ht="20" customHeight="1">
      <s:c r="A45" s="2" t="n">
        <s:v>43</s:v>
      </s:c>
      <s:c r="B45" s="2">
        <s:f>IF(AND(A45&gt;'S3 results'!$B$4,A45&lt;='S3 results'!$B$5),A45-'S3 results'!$B$4,0)</s:f>
        <s:v>0</s:v>
      </s:c>
      <s:c r="C45" s="5">
        <s:f>IF(B45&gt;0,'S3 inputs'!$B$16*(1+'S3 inputs'!$B$18)^(B45-1),0)</s:f>
        <s:v>0</s:v>
      </s:c>
      <s:c r="D45" s="5">
        <s:f>IF(B45&gt;0,'S3 inputs'!$B$2*'S3 inputs'!$B$14*'S3 inputs'!$B$15*C45,0)</s:f>
        <s:v>0</s:v>
      </s:c>
      <s:c r="E45" s="5">
        <s:f>IF(B45&gt;0,('S3 inputs'!$B$20+'S3 inputs'!$B$21+'S3 inputs'!$B$2*'S3 inputs'!$B$14*('S3 inputs'!$B$22+'S3 inputs'!$B$23)+('S3 inputs'!$B$2*'S3 inputs'!$B$3*'S3 inputs'!$B$5+'S3 inputs'!$B$6)*'S3 inputs'!$B$24)*(1+'S3 inputs'!$B$19)^(B45-1),0)</s:f>
        <s:v>0</s:v>
      </s:c>
      <s:c r="F45" s="5">
        <s:f>IF(AND(B45&gt;0,B45&lt;'S3 inputs'!$B$12,MOD(B45,'S3 inputs'!$B$25)=0),'S3 inputs'!$B$26*(1+'S3 inputs'!$B$19)^(B45-1),0)</s:f>
        <s:v>0</s:v>
      </s:c>
      <s:c r="G45" s="5">
        <s:f>IF(A45='S3 results'!$B$5,'S3 inputs'!$B$27*(1-'S3 inputs'!$B$28),0)</s:f>
        <s:v>0</s:v>
      </s:c>
      <s:c r="H45" s="5">
        <s:f>D45-E45-F45+G45</s:f>
        <s:v>0</s:v>
      </s:c>
      <s:c r="I45" s="5">
        <s:f>1/(1+'S3 inputs'!$B$13)^A45</s:f>
        <s:v>0.03654083893802236</s:v>
      </s:c>
      <s:c r="J45" s="5">
        <s:f>H45*I45</s:f>
        <s:v>0.0</s:v>
      </s:c>
      <s:c r="K45" s="5">
        <s:f>K44+H45-G45</s:f>
        <s:v>2241847.8795137145</s:v>
      </s:c>
      <s:c r="L45" s="5">
        <s:f>IF(B45&gt;0,'S3 inputs'!$B$2*'S3 inputs'!$B$14*'S3 inputs'!$B$15*(1+'S3 inputs'!$B$18)^(B45-1)*I45,0)</s:f>
        <s:v>0</s:v>
      </s:c>
      <s:c r="M45" s="11" t="str">
        <s:f>IF(AND(K45&gt;=0,K44&lt;0),A45-1-K44/(H45-G45),"")</s:f>
        <s:v/>
      </s:c>
      <s:c r="N45" s="11">
        <s:f>N44+J45-G45*I45</s:f>
        <s:v>-6924346.93039582</s:v>
      </s:c>
      <s:c r="O45" s="11" t="str">
        <s:f>IF(AND(N45&gt;=0,N44&lt;0),A45-1-N44/((H45-G45)*I45),"")</s:f>
        <s:v/>
      </s:c>
    </s:row>
    <s:row r="46" ht="20" customHeight="1">
      <s:c r="A46" s="2" t="n">
        <s:v>44</s:v>
      </s:c>
      <s:c r="B46" s="2">
        <s:f>IF(AND(A46&gt;'S3 results'!$B$4,A46&lt;='S3 results'!$B$5),A46-'S3 results'!$B$4,0)</s:f>
        <s:v>0</s:v>
      </s:c>
      <s:c r="C46" s="5">
        <s:f>IF(B46&gt;0,'S3 inputs'!$B$16*(1+'S3 inputs'!$B$18)^(B46-1),0)</s:f>
        <s:v>0</s:v>
      </s:c>
      <s:c r="D46" s="5">
        <s:f>IF(B46&gt;0,'S3 inputs'!$B$2*'S3 inputs'!$B$14*'S3 inputs'!$B$15*C46,0)</s:f>
        <s:v>0</s:v>
      </s:c>
      <s:c r="E46" s="5">
        <s:f>IF(B46&gt;0,('S3 inputs'!$B$20+'S3 inputs'!$B$21+'S3 inputs'!$B$2*'S3 inputs'!$B$14*('S3 inputs'!$B$22+'S3 inputs'!$B$23)+('S3 inputs'!$B$2*'S3 inputs'!$B$3*'S3 inputs'!$B$5+'S3 inputs'!$B$6)*'S3 inputs'!$B$24)*(1+'S3 inputs'!$B$19)^(B46-1),0)</s:f>
        <s:v>0</s:v>
      </s:c>
      <s:c r="F46" s="5">
        <s:f>IF(AND(B46&gt;0,B46&lt;'S3 inputs'!$B$12,MOD(B46,'S3 inputs'!$B$25)=0),'S3 inputs'!$B$26*(1+'S3 inputs'!$B$19)^(B46-1),0)</s:f>
        <s:v>0</s:v>
      </s:c>
      <s:c r="G46" s="5">
        <s:f>IF(A46='S3 results'!$B$5,'S3 inputs'!$B$27*(1-'S3 inputs'!$B$28),0)</s:f>
        <s:v>0</s:v>
      </s:c>
      <s:c r="H46" s="5">
        <s:f>D46-E46-F46+G46</s:f>
        <s:v>0</s:v>
      </s:c>
      <s:c r="I46" s="5">
        <s:f>1/(1+'S3 inputs'!$B$13)^A46</s:f>
        <s:v>0.033834110127798474</s:v>
      </s:c>
      <s:c r="J46" s="5">
        <s:f>H46*I46</s:f>
        <s:v>0.0</s:v>
      </s:c>
      <s:c r="K46" s="5">
        <s:f>K45+H46-G46</s:f>
        <s:v>2241847.8795137145</s:v>
      </s:c>
      <s:c r="L46" s="5">
        <s:f>IF(B46&gt;0,'S3 inputs'!$B$2*'S3 inputs'!$B$14*'S3 inputs'!$B$15*(1+'S3 inputs'!$B$18)^(B46-1)*I46,0)</s:f>
        <s:v>0</s:v>
      </s:c>
      <s:c r="M46" s="11" t="str">
        <s:f>IF(AND(K46&gt;=0,K45&lt;0),A46-1-K45/(H46-G46),"")</s:f>
        <s:v/>
      </s:c>
      <s:c r="N46" s="11">
        <s:f>N45+J46-G46*I46</s:f>
        <s:v>-6924346.93039582</s:v>
      </s:c>
      <s:c r="O46" s="11" t="str">
        <s:f>IF(AND(N46&gt;=0,N45&lt;0),A46-1-N45/((H46-G46)*I46),"")</s:f>
        <s:v/>
      </s:c>
    </s:row>
    <s:row r="47" ht="20" customHeight="1">
      <s:c r="A47" s="2" t="n">
        <s:v>45</s:v>
      </s:c>
      <s:c r="B47" s="2">
        <s:f>IF(AND(A47&gt;'S3 results'!$B$4,A47&lt;='S3 results'!$B$5),A47-'S3 results'!$B$4,0)</s:f>
        <s:v>0</s:v>
      </s:c>
      <s:c r="C47" s="5">
        <s:f>IF(B47&gt;0,'S3 inputs'!$B$16*(1+'S3 inputs'!$B$18)^(B47-1),0)</s:f>
        <s:v>0</s:v>
      </s:c>
      <s:c r="D47" s="5">
        <s:f>IF(B47&gt;0,'S3 inputs'!$B$2*'S3 inputs'!$B$14*'S3 inputs'!$B$15*C47,0)</s:f>
        <s:v>0</s:v>
      </s:c>
      <s:c r="E47" s="5">
        <s:f>IF(B47&gt;0,('S3 inputs'!$B$20+'S3 inputs'!$B$21+'S3 inputs'!$B$2*'S3 inputs'!$B$14*('S3 inputs'!$B$22+'S3 inputs'!$B$23)+('S3 inputs'!$B$2*'S3 inputs'!$B$3*'S3 inputs'!$B$5+'S3 inputs'!$B$6)*'S3 inputs'!$B$24)*(1+'S3 inputs'!$B$19)^(B47-1),0)</s:f>
        <s:v>0</s:v>
      </s:c>
      <s:c r="F47" s="5">
        <s:f>IF(AND(B47&gt;0,B47&lt;'S3 inputs'!$B$12,MOD(B47,'S3 inputs'!$B$25)=0),'S3 inputs'!$B$26*(1+'S3 inputs'!$B$19)^(B47-1),0)</s:f>
        <s:v>0</s:v>
      </s:c>
      <s:c r="G47" s="5">
        <s:f>IF(A47='S3 results'!$B$5,'S3 inputs'!$B$27*(1-'S3 inputs'!$B$28),0)</s:f>
        <s:v>0</s:v>
      </s:c>
      <s:c r="H47" s="5">
        <s:f>D47-E47-F47+G47</s:f>
        <s:v>0</s:v>
      </s:c>
      <s:c r="I47" s="5">
        <s:f>1/(1+'S3 inputs'!$B$13)^A47</s:f>
        <s:v>0.03132787974796155</s:v>
      </s:c>
      <s:c r="J47" s="5">
        <s:f>H47*I47</s:f>
        <s:v>0.0</s:v>
      </s:c>
      <s:c r="K47" s="5">
        <s:f>K46+H47-G47</s:f>
        <s:v>2241847.8795137145</s:v>
      </s:c>
      <s:c r="L47" s="5">
        <s:f>IF(B47&gt;0,'S3 inputs'!$B$2*'S3 inputs'!$B$14*'S3 inputs'!$B$15*(1+'S3 inputs'!$B$18)^(B47-1)*I47,0)</s:f>
        <s:v>0</s:v>
      </s:c>
      <s:c r="M47" s="11" t="str">
        <s:f>IF(AND(K47&gt;=0,K46&lt;0),A47-1-K46/(H47-G47),"")</s:f>
        <s:v/>
      </s:c>
      <s:c r="N47" s="11">
        <s:f>N46+J47-G47*I47</s:f>
        <s:v>-6924346.93039582</s:v>
      </s:c>
      <s:c r="O47" s="11" t="str">
        <s:f>IF(AND(N47&gt;=0,N46&lt;0),A47-1-N46/((H47-G47)*I47),"")</s:f>
        <s:v/>
      </s:c>
    </s:row>
    <s:row r="48" ht="20" customHeight="1">
      <s:c r="A48" s="2" t="n">
        <s:v>46</s:v>
      </s:c>
      <s:c r="B48" s="2">
        <s:f>IF(AND(A48&gt;'S3 results'!$B$4,A48&lt;='S3 results'!$B$5),A48-'S3 results'!$B$4,0)</s:f>
        <s:v>0</s:v>
      </s:c>
      <s:c r="C48" s="5">
        <s:f>IF(B48&gt;0,'S3 inputs'!$B$16*(1+'S3 inputs'!$B$18)^(B48-1),0)</s:f>
        <s:v>0</s:v>
      </s:c>
      <s:c r="D48" s="5">
        <s:f>IF(B48&gt;0,'S3 inputs'!$B$2*'S3 inputs'!$B$14*'S3 inputs'!$B$15*C48,0)</s:f>
        <s:v>0</s:v>
      </s:c>
      <s:c r="E48" s="5">
        <s:f>IF(B48&gt;0,('S3 inputs'!$B$20+'S3 inputs'!$B$21+'S3 inputs'!$B$2*'S3 inputs'!$B$14*('S3 inputs'!$B$22+'S3 inputs'!$B$23)+('S3 inputs'!$B$2*'S3 inputs'!$B$3*'S3 inputs'!$B$5+'S3 inputs'!$B$6)*'S3 inputs'!$B$24)*(1+'S3 inputs'!$B$19)^(B48-1),0)</s:f>
        <s:v>0</s:v>
      </s:c>
      <s:c r="F48" s="5">
        <s:f>IF(AND(B48&gt;0,B48&lt;'S3 inputs'!$B$12,MOD(B48,'S3 inputs'!$B$25)=0),'S3 inputs'!$B$26*(1+'S3 inputs'!$B$19)^(B48-1),0)</s:f>
        <s:v>0</s:v>
      </s:c>
      <s:c r="G48" s="5">
        <s:f>IF(A48='S3 results'!$B$5,'S3 inputs'!$B$27*(1-'S3 inputs'!$B$28),0)</s:f>
        <s:v>0</s:v>
      </s:c>
      <s:c r="H48" s="5">
        <s:f>D48-E48-F48+G48</s:f>
        <s:v>0</s:v>
      </s:c>
      <s:c r="I48" s="5">
        <s:f>1/(1+'S3 inputs'!$B$13)^A48</s:f>
        <s:v>0.02900729606292736</s:v>
      </s:c>
      <s:c r="J48" s="5">
        <s:f>H48*I48</s:f>
        <s:v>0.0</s:v>
      </s:c>
      <s:c r="K48" s="5">
        <s:f>K47+H48-G48</s:f>
        <s:v>2241847.8795137145</s:v>
      </s:c>
      <s:c r="L48" s="5">
        <s:f>IF(B48&gt;0,'S3 inputs'!$B$2*'S3 inputs'!$B$14*'S3 inputs'!$B$15*(1+'S3 inputs'!$B$18)^(B48-1)*I48,0)</s:f>
        <s:v>0</s:v>
      </s:c>
      <s:c r="M48" s="11" t="str">
        <s:f>IF(AND(K48&gt;=0,K47&lt;0),A48-1-K47/(H48-G48),"")</s:f>
        <s:v/>
      </s:c>
      <s:c r="N48" s="11">
        <s:f>N47+J48-G48*I48</s:f>
        <s:v>-6924346.93039582</s:v>
      </s:c>
      <s:c r="O48" s="11" t="str">
        <s:f>IF(AND(N48&gt;=0,N47&lt;0),A48-1-N47/((H48-G48)*I48),"")</s:f>
        <s:v/>
      </s:c>
    </s:row>
    <s:row r="49" ht="20" customHeight="1">
      <s:c r="A49" s="2" t="n">
        <s:v>47</s:v>
      </s:c>
      <s:c r="B49" s="2">
        <s:f>IF(AND(A49&gt;'S3 results'!$B$4,A49&lt;='S3 results'!$B$5),A49-'S3 results'!$B$4,0)</s:f>
        <s:v>0</s:v>
      </s:c>
      <s:c r="C49" s="5">
        <s:f>IF(B49&gt;0,'S3 inputs'!$B$16*(1+'S3 inputs'!$B$18)^(B49-1),0)</s:f>
        <s:v>0</s:v>
      </s:c>
      <s:c r="D49" s="5">
        <s:f>IF(B49&gt;0,'S3 inputs'!$B$2*'S3 inputs'!$B$14*'S3 inputs'!$B$15*C49,0)</s:f>
        <s:v>0</s:v>
      </s:c>
      <s:c r="E49" s="5">
        <s:f>IF(B49&gt;0,('S3 inputs'!$B$20+'S3 inputs'!$B$21+'S3 inputs'!$B$2*'S3 inputs'!$B$14*('S3 inputs'!$B$22+'S3 inputs'!$B$23)+('S3 inputs'!$B$2*'S3 inputs'!$B$3*'S3 inputs'!$B$5+'S3 inputs'!$B$6)*'S3 inputs'!$B$24)*(1+'S3 inputs'!$B$19)^(B49-1),0)</s:f>
        <s:v>0</s:v>
      </s:c>
      <s:c r="F49" s="5">
        <s:f>IF(AND(B49&gt;0,B49&lt;'S3 inputs'!$B$12,MOD(B49,'S3 inputs'!$B$25)=0),'S3 inputs'!$B$26*(1+'S3 inputs'!$B$19)^(B49-1),0)</s:f>
        <s:v>0</s:v>
      </s:c>
      <s:c r="G49" s="5">
        <s:f>IF(A49='S3 results'!$B$5,'S3 inputs'!$B$27*(1-'S3 inputs'!$B$28),0)</s:f>
        <s:v>0</s:v>
      </s:c>
      <s:c r="H49" s="5">
        <s:f>D49-E49-F49+G49</s:f>
        <s:v>0</s:v>
      </s:c>
      <s:c r="I49" s="5">
        <s:f>1/(1+'S3 inputs'!$B$13)^A49</s:f>
        <s:v>0.02685860746567348</s:v>
      </s:c>
      <s:c r="J49" s="5">
        <s:f>H49*I49</s:f>
        <s:v>0.0</s:v>
      </s:c>
      <s:c r="K49" s="5">
        <s:f>K48+H49-G49</s:f>
        <s:v>2241847.8795137145</s:v>
      </s:c>
      <s:c r="L49" s="5">
        <s:f>IF(B49&gt;0,'S3 inputs'!$B$2*'S3 inputs'!$B$14*'S3 inputs'!$B$15*(1+'S3 inputs'!$B$18)^(B49-1)*I49,0)</s:f>
        <s:v>0</s:v>
      </s:c>
      <s:c r="M49" s="11" t="str">
        <s:f>IF(AND(K49&gt;=0,K48&lt;0),A49-1-K48/(H49-G49),"")</s:f>
        <s:v/>
      </s:c>
      <s:c r="N49" s="11">
        <s:f>N48+J49-G49*I49</s:f>
        <s:v>-6924346.93039582</s:v>
      </s:c>
      <s:c r="O49" s="11" t="str">
        <s:f>IF(AND(N49&gt;=0,N48&lt;0),A49-1-N48/((H49-G49)*I49),"")</s:f>
        <s:v/>
      </s:c>
    </s:row>
    <s:row r="50" ht="20" customHeight="1">
      <s:c r="A50" s="2" t="n">
        <s:v>48</s:v>
      </s:c>
      <s:c r="B50" s="2">
        <s:f>IF(AND(A50&gt;'S3 results'!$B$4,A50&lt;='S3 results'!$B$5),A50-'S3 results'!$B$4,0)</s:f>
        <s:v>0</s:v>
      </s:c>
      <s:c r="C50" s="5">
        <s:f>IF(B50&gt;0,'S3 inputs'!$B$16*(1+'S3 inputs'!$B$18)^(B50-1),0)</s:f>
        <s:v>0</s:v>
      </s:c>
      <s:c r="D50" s="5">
        <s:f>IF(B50&gt;0,'S3 inputs'!$B$2*'S3 inputs'!$B$14*'S3 inputs'!$B$15*C50,0)</s:f>
        <s:v>0</s:v>
      </s:c>
      <s:c r="E50" s="5">
        <s:f>IF(B50&gt;0,('S3 inputs'!$B$20+'S3 inputs'!$B$21+'S3 inputs'!$B$2*'S3 inputs'!$B$14*('S3 inputs'!$B$22+'S3 inputs'!$B$23)+('S3 inputs'!$B$2*'S3 inputs'!$B$3*'S3 inputs'!$B$5+'S3 inputs'!$B$6)*'S3 inputs'!$B$24)*(1+'S3 inputs'!$B$19)^(B50-1),0)</s:f>
        <s:v>0</s:v>
      </s:c>
      <s:c r="F50" s="5">
        <s:f>IF(AND(B50&gt;0,B50&lt;'S3 inputs'!$B$12,MOD(B50,'S3 inputs'!$B$25)=0),'S3 inputs'!$B$26*(1+'S3 inputs'!$B$19)^(B50-1),0)</s:f>
        <s:v>0</s:v>
      </s:c>
      <s:c r="G50" s="5">
        <s:f>IF(A50='S3 results'!$B$5,'S3 inputs'!$B$27*(1-'S3 inputs'!$B$28),0)</s:f>
        <s:v>0</s:v>
      </s:c>
      <s:c r="H50" s="5">
        <s:f>D50-E50-F50+G50</s:f>
        <s:v>0</s:v>
      </s:c>
      <s:c r="I50" s="5">
        <s:f>1/(1+'S3 inputs'!$B$13)^A50</s:f>
        <s:v>0.0248690809867347</s:v>
      </s:c>
      <s:c r="J50" s="5">
        <s:f>H50*I50</s:f>
        <s:v>0.0</s:v>
      </s:c>
      <s:c r="K50" s="5">
        <s:f>K49+H50-G50</s:f>
        <s:v>2241847.8795137145</s:v>
      </s:c>
      <s:c r="L50" s="5">
        <s:f>IF(B50&gt;0,'S3 inputs'!$B$2*'S3 inputs'!$B$14*'S3 inputs'!$B$15*(1+'S3 inputs'!$B$18)^(B50-1)*I50,0)</s:f>
        <s:v>0</s:v>
      </s:c>
      <s:c r="M50" s="11" t="str">
        <s:f>IF(AND(K50&gt;=0,K49&lt;0),A50-1-K49/(H50-G50),"")</s:f>
        <s:v/>
      </s:c>
      <s:c r="N50" s="11">
        <s:f>N49+J50-G50*I50</s:f>
        <s:v>-6924346.93039582</s:v>
      </s:c>
      <s:c r="O50" s="11" t="str">
        <s:f>IF(AND(N50&gt;=0,N49&lt;0),A50-1-N49/((H50-G50)*I50),"")</s:f>
        <s:v/>
      </s:c>
    </s:row>
    <s:row r="51" ht="20" customHeight="1">
      <s:c r="A51" s="2" t="n">
        <s:v>49</s:v>
      </s:c>
      <s:c r="B51" s="2">
        <s:f>IF(AND(A51&gt;'S3 results'!$B$4,A51&lt;='S3 results'!$B$5),A51-'S3 results'!$B$4,0)</s:f>
        <s:v>0</s:v>
      </s:c>
      <s:c r="C51" s="5">
        <s:f>IF(B51&gt;0,'S3 inputs'!$B$16*(1+'S3 inputs'!$B$18)^(B51-1),0)</s:f>
        <s:v>0</s:v>
      </s:c>
      <s:c r="D51" s="5">
        <s:f>IF(B51&gt;0,'S3 inputs'!$B$2*'S3 inputs'!$B$14*'S3 inputs'!$B$15*C51,0)</s:f>
        <s:v>0</s:v>
      </s:c>
      <s:c r="E51" s="5">
        <s:f>IF(B51&gt;0,('S3 inputs'!$B$20+'S3 inputs'!$B$21+'S3 inputs'!$B$2*'S3 inputs'!$B$14*('S3 inputs'!$B$22+'S3 inputs'!$B$23)+('S3 inputs'!$B$2*'S3 inputs'!$B$3*'S3 inputs'!$B$5+'S3 inputs'!$B$6)*'S3 inputs'!$B$24)*(1+'S3 inputs'!$B$19)^(B51-1),0)</s:f>
        <s:v>0</s:v>
      </s:c>
      <s:c r="F51" s="5">
        <s:f>IF(AND(B51&gt;0,B51&lt;'S3 inputs'!$B$12,MOD(B51,'S3 inputs'!$B$25)=0),'S3 inputs'!$B$26*(1+'S3 inputs'!$B$19)^(B51-1),0)</s:f>
        <s:v>0</s:v>
      </s:c>
      <s:c r="G51" s="5">
        <s:f>IF(A51='S3 results'!$B$5,'S3 inputs'!$B$27*(1-'S3 inputs'!$B$28),0)</s:f>
        <s:v>0</s:v>
      </s:c>
      <s:c r="H51" s="5">
        <s:f>D51-E51-F51+G51</s:f>
        <s:v>0</s:v>
      </s:c>
      <s:c r="I51" s="5">
        <s:f>1/(1+'S3 inputs'!$B$13)^A51</s:f>
        <s:v>0.023026926839569167</s:v>
      </s:c>
      <s:c r="J51" s="5">
        <s:f>H51*I51</s:f>
        <s:v>0.0</s:v>
      </s:c>
      <s:c r="K51" s="5">
        <s:f>K50+H51-G51</s:f>
        <s:v>2241847.8795137145</s:v>
      </s:c>
      <s:c r="L51" s="5">
        <s:f>IF(B51&gt;0,'S3 inputs'!$B$2*'S3 inputs'!$B$14*'S3 inputs'!$B$15*(1+'S3 inputs'!$B$18)^(B51-1)*I51,0)</s:f>
        <s:v>0</s:v>
      </s:c>
      <s:c r="M51" s="11" t="str">
        <s:f>IF(AND(K51&gt;=0,K50&lt;0),A51-1-K50/(H51-G51),"")</s:f>
        <s:v/>
      </s:c>
      <s:c r="N51" s="11">
        <s:f>N50+J51-G51*I51</s:f>
        <s:v>-6924346.93039582</s:v>
      </s:c>
      <s:c r="O51" s="11" t="str">
        <s:f>IF(AND(N51&gt;=0,N50&lt;0),A51-1-N50/((H51-G51)*I51),"")</s:f>
        <s:v/>
      </s:c>
    </s:row>
    <s:row r="52" ht="20" customHeight="1">
      <s:c r="A52" s="2" t="n">
        <s:v>50</s:v>
      </s:c>
      <s:c r="B52" s="2">
        <s:f>IF(AND(A52&gt;'S3 results'!$B$4,A52&lt;='S3 results'!$B$5),A52-'S3 results'!$B$4,0)</s:f>
        <s:v>0</s:v>
      </s:c>
      <s:c r="C52" s="5">
        <s:f>IF(B52&gt;0,'S3 inputs'!$B$16*(1+'S3 inputs'!$B$18)^(B52-1),0)</s:f>
        <s:v>0</s:v>
      </s:c>
      <s:c r="D52" s="5">
        <s:f>IF(B52&gt;0,'S3 inputs'!$B$2*'S3 inputs'!$B$14*'S3 inputs'!$B$15*C52,0)</s:f>
        <s:v>0</s:v>
      </s:c>
      <s:c r="E52" s="5">
        <s:f>IF(B52&gt;0,('S3 inputs'!$B$20+'S3 inputs'!$B$21+'S3 inputs'!$B$2*'S3 inputs'!$B$14*('S3 inputs'!$B$22+'S3 inputs'!$B$23)+('S3 inputs'!$B$2*'S3 inputs'!$B$3*'S3 inputs'!$B$5+'S3 inputs'!$B$6)*'S3 inputs'!$B$24)*(1+'S3 inputs'!$B$19)^(B52-1),0)</s:f>
        <s:v>0</s:v>
      </s:c>
      <s:c r="F52" s="5">
        <s:f>IF(AND(B52&gt;0,B52&lt;'S3 inputs'!$B$12,MOD(B52,'S3 inputs'!$B$25)=0),'S3 inputs'!$B$26*(1+'S3 inputs'!$B$19)^(B52-1),0)</s:f>
        <s:v>0</s:v>
      </s:c>
      <s:c r="G52" s="5">
        <s:f>IF(A52='S3 results'!$B$5,'S3 inputs'!$B$27*(1-'S3 inputs'!$B$28),0)</s:f>
        <s:v>0</s:v>
      </s:c>
      <s:c r="H52" s="5">
        <s:f>D52-E52-F52+G52</s:f>
        <s:v>0</s:v>
      </s:c>
      <s:c r="I52" s="5">
        <s:f>1/(1+'S3 inputs'!$B$13)^A52</s:f>
        <s:v>0.021321228555156634</s:v>
      </s:c>
      <s:c r="J52" s="5">
        <s:f>H52*I52</s:f>
        <s:v>0.0</s:v>
      </s:c>
      <s:c r="K52" s="5">
        <s:f>K51+H52-G52</s:f>
        <s:v>2241847.8795137145</s:v>
      </s:c>
      <s:c r="L52" s="5">
        <s:f>IF(B52&gt;0,'S3 inputs'!$B$2*'S3 inputs'!$B$14*'S3 inputs'!$B$15*(1+'S3 inputs'!$B$18)^(B52-1)*I52,0)</s:f>
        <s:v>0</s:v>
      </s:c>
      <s:c r="M52" s="11" t="str">
        <s:f>IF(AND(K52&gt;=0,K51&lt;0),A52-1-K51/(H52-G52),"")</s:f>
        <s:v/>
      </s:c>
      <s:c r="N52" s="11">
        <s:f>N51+J52-G52*I52</s:f>
        <s:v>-6924346.93039582</s:v>
      </s:c>
      <s:c r="O52" s="11" t="str">
        <s:f>IF(AND(N52&gt;=0,N51&lt;0),A52-1-N51/((H52-G52)*I52),"")</s:f>
        <s:v/>
      </s:c>
    </s:row>
    <s:row r="53" ht="20" customHeight="1">
      <s:c r="A53" s="2" t="n">
        <s:v>51</s:v>
      </s:c>
      <s:c r="B53" s="2">
        <s:f>IF(AND(A53&gt;'S3 results'!$B$4,A53&lt;='S3 results'!$B$5),A53-'S3 results'!$B$4,0)</s:f>
        <s:v>0</s:v>
      </s:c>
      <s:c r="C53" s="5">
        <s:f>IF(B53&gt;0,'S3 inputs'!$B$16*(1+'S3 inputs'!$B$18)^(B53-1),0)</s:f>
        <s:v>0</s:v>
      </s:c>
      <s:c r="D53" s="5">
        <s:f>IF(B53&gt;0,'S3 inputs'!$B$2*'S3 inputs'!$B$14*'S3 inputs'!$B$15*C53,0)</s:f>
        <s:v>0</s:v>
      </s:c>
      <s:c r="E53" s="5">
        <s:f>IF(B53&gt;0,('S3 inputs'!$B$20+'S3 inputs'!$B$21+'S3 inputs'!$B$2*'S3 inputs'!$B$14*('S3 inputs'!$B$22+'S3 inputs'!$B$23)+('S3 inputs'!$B$2*'S3 inputs'!$B$3*'S3 inputs'!$B$5+'S3 inputs'!$B$6)*'S3 inputs'!$B$24)*(1+'S3 inputs'!$B$19)^(B53-1),0)</s:f>
        <s:v>0</s:v>
      </s:c>
      <s:c r="F53" s="5">
        <s:f>IF(AND(B53&gt;0,B53&lt;'S3 inputs'!$B$12,MOD(B53,'S3 inputs'!$B$25)=0),'S3 inputs'!$B$26*(1+'S3 inputs'!$B$19)^(B53-1),0)</s:f>
        <s:v>0</s:v>
      </s:c>
      <s:c r="G53" s="5">
        <s:f>IF(A53='S3 results'!$B$5,'S3 inputs'!$B$27*(1-'S3 inputs'!$B$28),0)</s:f>
        <s:v>0</s:v>
      </s:c>
      <s:c r="H53" s="5">
        <s:f>D53-E53-F53+G53</s:f>
        <s:v>0</s:v>
      </s:c>
      <s:c r="I53" s="5">
        <s:f>1/(1+'S3 inputs'!$B$13)^A53</s:f>
        <s:v>0.019741878291811697</s:v>
      </s:c>
      <s:c r="J53" s="5">
        <s:f>H53*I53</s:f>
        <s:v>0.0</s:v>
      </s:c>
      <s:c r="K53" s="5">
        <s:f>K52+H53-G53</s:f>
        <s:v>2241847.8795137145</s:v>
      </s:c>
      <s:c r="L53" s="5">
        <s:f>IF(B53&gt;0,'S3 inputs'!$B$2*'S3 inputs'!$B$14*'S3 inputs'!$B$15*(1+'S3 inputs'!$B$18)^(B53-1)*I53,0)</s:f>
        <s:v>0</s:v>
      </s:c>
      <s:c r="M53" s="11" t="str">
        <s:f>IF(AND(K53&gt;=0,K52&lt;0),A53-1-K52/(H53-G53),"")</s:f>
        <s:v/>
      </s:c>
      <s:c r="N53" s="11">
        <s:f>N52+J53-G53*I53</s:f>
        <s:v>-6924346.93039582</s:v>
      </s:c>
      <s:c r="O53" s="11" t="str">
        <s:f>IF(AND(N53&gt;=0,N52&lt;0),A53-1-N52/((H53-G53)*I53),"")</s:f>
        <s:v/>
      </s:c>
    </s:row>
    <s:row r="54" ht="20" customHeight="1">
      <s:c r="A54" s="2" t="n">
        <s:v>52</s:v>
      </s:c>
      <s:c r="B54" s="2">
        <s:f>IF(AND(A54&gt;'S3 results'!$B$4,A54&lt;='S3 results'!$B$5),A54-'S3 results'!$B$4,0)</s:f>
        <s:v>0</s:v>
      </s:c>
      <s:c r="C54" s="5">
        <s:f>IF(B54&gt;0,'S3 inputs'!$B$16*(1+'S3 inputs'!$B$18)^(B54-1),0)</s:f>
        <s:v>0</s:v>
      </s:c>
      <s:c r="D54" s="5">
        <s:f>IF(B54&gt;0,'S3 inputs'!$B$2*'S3 inputs'!$B$14*'S3 inputs'!$B$15*C54,0)</s:f>
        <s:v>0</s:v>
      </s:c>
      <s:c r="E54" s="5">
        <s:f>IF(B54&gt;0,('S3 inputs'!$B$20+'S3 inputs'!$B$21+'S3 inputs'!$B$2*'S3 inputs'!$B$14*('S3 inputs'!$B$22+'S3 inputs'!$B$23)+('S3 inputs'!$B$2*'S3 inputs'!$B$3*'S3 inputs'!$B$5+'S3 inputs'!$B$6)*'S3 inputs'!$B$24)*(1+'S3 inputs'!$B$19)^(B54-1),0)</s:f>
        <s:v>0</s:v>
      </s:c>
      <s:c r="F54" s="5">
        <s:f>IF(AND(B54&gt;0,B54&lt;'S3 inputs'!$B$12,MOD(B54,'S3 inputs'!$B$25)=0),'S3 inputs'!$B$26*(1+'S3 inputs'!$B$19)^(B54-1),0)</s:f>
        <s:v>0</s:v>
      </s:c>
      <s:c r="G54" s="5">
        <s:f>IF(A54='S3 results'!$B$5,'S3 inputs'!$B$27*(1-'S3 inputs'!$B$28),0)</s:f>
        <s:v>0</s:v>
      </s:c>
      <s:c r="H54" s="5">
        <s:f>D54-E54-F54+G54</s:f>
        <s:v>0</s:v>
      </s:c>
      <s:c r="I54" s="5">
        <s:f>1/(1+'S3 inputs'!$B$13)^A54</s:f>
        <s:v>0.01827951693686268</s:v>
      </s:c>
      <s:c r="J54" s="5">
        <s:f>H54*I54</s:f>
        <s:v>0.0</s:v>
      </s:c>
      <s:c r="K54" s="5">
        <s:f>K53+H54-G54</s:f>
        <s:v>2241847.8795137145</s:v>
      </s:c>
      <s:c r="L54" s="5">
        <s:f>IF(B54&gt;0,'S3 inputs'!$B$2*'S3 inputs'!$B$14*'S3 inputs'!$B$15*(1+'S3 inputs'!$B$18)^(B54-1)*I54,0)</s:f>
        <s:v>0</s:v>
      </s:c>
      <s:c r="M54" s="11" t="str">
        <s:f>IF(AND(K54&gt;=0,K53&lt;0),A54-1-K53/(H54-G54),"")</s:f>
        <s:v/>
      </s:c>
      <s:c r="N54" s="11">
        <s:f>N53+J54-G54*I54</s:f>
        <s:v>-6924346.93039582</s:v>
      </s:c>
      <s:c r="O54" s="11" t="str">
        <s:f>IF(AND(N54&gt;=0,N53&lt;0),A54-1-N53/((H54-G54)*I54),"")</s:f>
        <s:v/>
      </s:c>
    </s:row>
    <s:row r="55" ht="20" customHeight="1">
      <s:c r="A55" s="2" t="n">
        <s:v>53</s:v>
      </s:c>
      <s:c r="B55" s="2">
        <s:f>IF(AND(A55&gt;'S3 results'!$B$4,A55&lt;='S3 results'!$B$5),A55-'S3 results'!$B$4,0)</s:f>
        <s:v>0</s:v>
      </s:c>
      <s:c r="C55" s="5">
        <s:f>IF(B55&gt;0,'S3 inputs'!$B$16*(1+'S3 inputs'!$B$18)^(B55-1),0)</s:f>
        <s:v>0</s:v>
      </s:c>
      <s:c r="D55" s="5">
        <s:f>IF(B55&gt;0,'S3 inputs'!$B$2*'S3 inputs'!$B$14*'S3 inputs'!$B$15*C55,0)</s:f>
        <s:v>0</s:v>
      </s:c>
      <s:c r="E55" s="5">
        <s:f>IF(B55&gt;0,('S3 inputs'!$B$20+'S3 inputs'!$B$21+'S3 inputs'!$B$2*'S3 inputs'!$B$14*('S3 inputs'!$B$22+'S3 inputs'!$B$23)+('S3 inputs'!$B$2*'S3 inputs'!$B$3*'S3 inputs'!$B$5+'S3 inputs'!$B$6)*'S3 inputs'!$B$24)*(1+'S3 inputs'!$B$19)^(B55-1),0)</s:f>
        <s:v>0</s:v>
      </s:c>
      <s:c r="F55" s="5">
        <s:f>IF(AND(B55&gt;0,B55&lt;'S3 inputs'!$B$12,MOD(B55,'S3 inputs'!$B$25)=0),'S3 inputs'!$B$26*(1+'S3 inputs'!$B$19)^(B55-1),0)</s:f>
        <s:v>0</s:v>
      </s:c>
      <s:c r="G55" s="5">
        <s:f>IF(A55='S3 results'!$B$5,'S3 inputs'!$B$27*(1-'S3 inputs'!$B$28),0)</s:f>
        <s:v>0</s:v>
      </s:c>
      <s:c r="H55" s="5">
        <s:f>D55-E55-F55+G55</s:f>
        <s:v>0</s:v>
      </s:c>
      <s:c r="I55" s="5">
        <s:f>1/(1+'S3 inputs'!$B$13)^A55</s:f>
        <s:v>0.01692547864524322</s:v>
      </s:c>
      <s:c r="J55" s="5">
        <s:f>H55*I55</s:f>
        <s:v>0.0</s:v>
      </s:c>
      <s:c r="K55" s="5">
        <s:f>K54+H55-G55</s:f>
        <s:v>2241847.8795137145</s:v>
      </s:c>
      <s:c r="L55" s="5">
        <s:f>IF(B55&gt;0,'S3 inputs'!$B$2*'S3 inputs'!$B$14*'S3 inputs'!$B$15*(1+'S3 inputs'!$B$18)^(B55-1)*I55,0)</s:f>
        <s:v>0</s:v>
      </s:c>
      <s:c r="M55" s="11" t="str">
        <s:f>IF(AND(K55&gt;=0,K54&lt;0),A55-1-K54/(H55-G55),"")</s:f>
        <s:v/>
      </s:c>
      <s:c r="N55" s="11">
        <s:f>N54+J55-G55*I55</s:f>
        <s:v>-6924346.93039582</s:v>
      </s:c>
      <s:c r="O55" s="11" t="str">
        <s:f>IF(AND(N55&gt;=0,N54&lt;0),A55-1-N54/((H55-G55)*I55),"")</s:f>
        <s:v/>
      </s:c>
    </s:row>
    <s:row r="56" ht="20" customHeight="1">
      <s:c r="A56" s="2" t="n">
        <s:v>54</s:v>
      </s:c>
      <s:c r="B56" s="2">
        <s:f>IF(AND(A56&gt;'S3 results'!$B$4,A56&lt;='S3 results'!$B$5),A56-'S3 results'!$B$4,0)</s:f>
        <s:v>0</s:v>
      </s:c>
      <s:c r="C56" s="5">
        <s:f>IF(B56&gt;0,'S3 inputs'!$B$16*(1+'S3 inputs'!$B$18)^(B56-1),0)</s:f>
        <s:v>0</s:v>
      </s:c>
      <s:c r="D56" s="5">
        <s:f>IF(B56&gt;0,'S3 inputs'!$B$2*'S3 inputs'!$B$14*'S3 inputs'!$B$15*C56,0)</s:f>
        <s:v>0</s:v>
      </s:c>
      <s:c r="E56" s="5">
        <s:f>IF(B56&gt;0,('S3 inputs'!$B$20+'S3 inputs'!$B$21+'S3 inputs'!$B$2*'S3 inputs'!$B$14*('S3 inputs'!$B$22+'S3 inputs'!$B$23)+('S3 inputs'!$B$2*'S3 inputs'!$B$3*'S3 inputs'!$B$5+'S3 inputs'!$B$6)*'S3 inputs'!$B$24)*(1+'S3 inputs'!$B$19)^(B56-1),0)</s:f>
        <s:v>0</s:v>
      </s:c>
      <s:c r="F56" s="5">
        <s:f>IF(AND(B56&gt;0,B56&lt;'S3 inputs'!$B$12,MOD(B56,'S3 inputs'!$B$25)=0),'S3 inputs'!$B$26*(1+'S3 inputs'!$B$19)^(B56-1),0)</s:f>
        <s:v>0</s:v>
      </s:c>
      <s:c r="G56" s="5">
        <s:f>IF(A56='S3 results'!$B$5,'S3 inputs'!$B$27*(1-'S3 inputs'!$B$28),0)</s:f>
        <s:v>0</s:v>
      </s:c>
      <s:c r="H56" s="5">
        <s:f>D56-E56-F56+G56</s:f>
        <s:v>0</s:v>
      </s:c>
      <s:c r="I56" s="5">
        <s:f>1/(1+'S3 inputs'!$B$13)^A56</s:f>
        <s:v>0.015671739486336315</s:v>
      </s:c>
      <s:c r="J56" s="5">
        <s:f>H56*I56</s:f>
        <s:v>0.0</s:v>
      </s:c>
      <s:c r="K56" s="5">
        <s:f>K55+H56-G56</s:f>
        <s:v>2241847.8795137145</s:v>
      </s:c>
      <s:c r="L56" s="5">
        <s:f>IF(B56&gt;0,'S3 inputs'!$B$2*'S3 inputs'!$B$14*'S3 inputs'!$B$15*(1+'S3 inputs'!$B$18)^(B56-1)*I56,0)</s:f>
        <s:v>0</s:v>
      </s:c>
      <s:c r="M56" s="11" t="str">
        <s:f>IF(AND(K56&gt;=0,K55&lt;0),A56-1-K55/(H56-G56),"")</s:f>
        <s:v/>
      </s:c>
      <s:c r="N56" s="11">
        <s:f>N55+J56-G56*I56</s:f>
        <s:v>-6924346.93039582</s:v>
      </s:c>
      <s:c r="O56" s="11" t="str">
        <s:f>IF(AND(N56&gt;=0,N55&lt;0),A56-1-N55/((H56-G56)*I56),"")</s:f>
        <s:v/>
      </s:c>
    </s:row>
    <s:row r="57" ht="20" customHeight="1">
      <s:c r="A57" s="2" t="n">
        <s:v>55</s:v>
      </s:c>
      <s:c r="B57" s="2">
        <s:f>IF(AND(A57&gt;'S3 results'!$B$4,A57&lt;='S3 results'!$B$5),A57-'S3 results'!$B$4,0)</s:f>
        <s:v>0</s:v>
      </s:c>
      <s:c r="C57" s="5">
        <s:f>IF(B57&gt;0,'S3 inputs'!$B$16*(1+'S3 inputs'!$B$18)^(B57-1),0)</s:f>
        <s:v>0</s:v>
      </s:c>
      <s:c r="D57" s="5">
        <s:f>IF(B57&gt;0,'S3 inputs'!$B$2*'S3 inputs'!$B$14*'S3 inputs'!$B$15*C57,0)</s:f>
        <s:v>0</s:v>
      </s:c>
      <s:c r="E57" s="5">
        <s:f>IF(B57&gt;0,('S3 inputs'!$B$20+'S3 inputs'!$B$21+'S3 inputs'!$B$2*'S3 inputs'!$B$14*('S3 inputs'!$B$22+'S3 inputs'!$B$23)+('S3 inputs'!$B$2*'S3 inputs'!$B$3*'S3 inputs'!$B$5+'S3 inputs'!$B$6)*'S3 inputs'!$B$24)*(1+'S3 inputs'!$B$19)^(B57-1),0)</s:f>
        <s:v>0</s:v>
      </s:c>
      <s:c r="F57" s="5">
        <s:f>IF(AND(B57&gt;0,B57&lt;'S3 inputs'!$B$12,MOD(B57,'S3 inputs'!$B$25)=0),'S3 inputs'!$B$26*(1+'S3 inputs'!$B$19)^(B57-1),0)</s:f>
        <s:v>0</s:v>
      </s:c>
      <s:c r="G57" s="5">
        <s:f>IF(A57='S3 results'!$B$5,'S3 inputs'!$B$27*(1-'S3 inputs'!$B$28),0)</s:f>
        <s:v>0</s:v>
      </s:c>
      <s:c r="H57" s="5">
        <s:f>D57-E57-F57+G57</s:f>
        <s:v>0</s:v>
      </s:c>
      <s:c r="I57" s="5">
        <s:f>1/(1+'S3 inputs'!$B$13)^A57</s:f>
        <s:v>0.014510869894755847</s:v>
      </s:c>
      <s:c r="J57" s="5">
        <s:f>H57*I57</s:f>
        <s:v>0.0</s:v>
      </s:c>
      <s:c r="K57" s="5">
        <s:f>K56+H57-G57</s:f>
        <s:v>2241847.8795137145</s:v>
      </s:c>
      <s:c r="L57" s="5">
        <s:f>IF(B57&gt;0,'S3 inputs'!$B$2*'S3 inputs'!$B$14*'S3 inputs'!$B$15*(1+'S3 inputs'!$B$18)^(B57-1)*I57,0)</s:f>
        <s:v>0</s:v>
      </s:c>
      <s:c r="M57" s="11" t="str">
        <s:f>IF(AND(K57&gt;=0,K56&lt;0),A57-1-K56/(H57-G57),"")</s:f>
        <s:v/>
      </s:c>
      <s:c r="N57" s="11">
        <s:f>N56+J57-G57*I57</s:f>
        <s:v>-6924346.93039582</s:v>
      </s:c>
      <s:c r="O57" s="11" t="str">
        <s:f>IF(AND(N57&gt;=0,N56&lt;0),A57-1-N56/((H57-G57)*I57),"")</s:f>
        <s:v/>
      </s:c>
    </s:row>
    <s:row r="58" ht="20" customHeight="1">
      <s:c r="A58" s="2" t="n">
        <s:v>56</s:v>
      </s:c>
      <s:c r="B58" s="2">
        <s:f>IF(AND(A58&gt;'S3 results'!$B$4,A58&lt;='S3 results'!$B$5),A58-'S3 results'!$B$4,0)</s:f>
        <s:v>0</s:v>
      </s:c>
      <s:c r="C58" s="5">
        <s:f>IF(B58&gt;0,'S3 inputs'!$B$16*(1+'S3 inputs'!$B$18)^(B58-1),0)</s:f>
        <s:v>0</s:v>
      </s:c>
      <s:c r="D58" s="5">
        <s:f>IF(B58&gt;0,'S3 inputs'!$B$2*'S3 inputs'!$B$14*'S3 inputs'!$B$15*C58,0)</s:f>
        <s:v>0</s:v>
      </s:c>
      <s:c r="E58" s="5">
        <s:f>IF(B58&gt;0,('S3 inputs'!$B$20+'S3 inputs'!$B$21+'S3 inputs'!$B$2*'S3 inputs'!$B$14*('S3 inputs'!$B$22+'S3 inputs'!$B$23)+('S3 inputs'!$B$2*'S3 inputs'!$B$3*'S3 inputs'!$B$5+'S3 inputs'!$B$6)*'S3 inputs'!$B$24)*(1+'S3 inputs'!$B$19)^(B58-1),0)</s:f>
        <s:v>0</s:v>
      </s:c>
      <s:c r="F58" s="5">
        <s:f>IF(AND(B58&gt;0,B58&lt;'S3 inputs'!$B$12,MOD(B58,'S3 inputs'!$B$25)=0),'S3 inputs'!$B$26*(1+'S3 inputs'!$B$19)^(B58-1),0)</s:f>
        <s:v>0</s:v>
      </s:c>
      <s:c r="G58" s="5">
        <s:f>IF(A58='S3 results'!$B$5,'S3 inputs'!$B$27*(1-'S3 inputs'!$B$28),0)</s:f>
        <s:v>0</s:v>
      </s:c>
      <s:c r="H58" s="5">
        <s:f>D58-E58-F58+G58</s:f>
        <s:v>0</s:v>
      </s:c>
      <s:c r="I58" s="5">
        <s:f>1/(1+'S3 inputs'!$B$13)^A58</s:f>
        <s:v>0.01343599064329245</s:v>
      </s:c>
      <s:c r="J58" s="5">
        <s:f>H58*I58</s:f>
        <s:v>0.0</s:v>
      </s:c>
      <s:c r="K58" s="5">
        <s:f>K57+H58-G58</s:f>
        <s:v>2241847.8795137145</s:v>
      </s:c>
      <s:c r="L58" s="5">
        <s:f>IF(B58&gt;0,'S3 inputs'!$B$2*'S3 inputs'!$B$14*'S3 inputs'!$B$15*(1+'S3 inputs'!$B$18)^(B58-1)*I58,0)</s:f>
        <s:v>0</s:v>
      </s:c>
      <s:c r="M58" s="11" t="str">
        <s:f>IF(AND(K58&gt;=0,K57&lt;0),A58-1-K57/(H58-G58),"")</s:f>
        <s:v/>
      </s:c>
      <s:c r="N58" s="11">
        <s:f>N57+J58-G58*I58</s:f>
        <s:v>-6924346.93039582</s:v>
      </s:c>
      <s:c r="O58" s="11" t="str">
        <s:f>IF(AND(N58&gt;=0,N57&lt;0),A58-1-N57/((H58-G58)*I58),"")</s:f>
        <s:v/>
      </s:c>
    </s:row>
    <s:row r="59" ht="20" customHeight="1">
      <s:c r="A59" s="2" t="n">
        <s:v>57</s:v>
      </s:c>
      <s:c r="B59" s="2">
        <s:f>IF(AND(A59&gt;'S3 results'!$B$4,A59&lt;='S3 results'!$B$5),A59-'S3 results'!$B$4,0)</s:f>
        <s:v>0</s:v>
      </s:c>
      <s:c r="C59" s="5">
        <s:f>IF(B59&gt;0,'S3 inputs'!$B$16*(1+'S3 inputs'!$B$18)^(B59-1),0)</s:f>
        <s:v>0</s:v>
      </s:c>
      <s:c r="D59" s="5">
        <s:f>IF(B59&gt;0,'S3 inputs'!$B$2*'S3 inputs'!$B$14*'S3 inputs'!$B$15*C59,0)</s:f>
        <s:v>0</s:v>
      </s:c>
      <s:c r="E59" s="5">
        <s:f>IF(B59&gt;0,('S3 inputs'!$B$20+'S3 inputs'!$B$21+'S3 inputs'!$B$2*'S3 inputs'!$B$14*('S3 inputs'!$B$22+'S3 inputs'!$B$23)+('S3 inputs'!$B$2*'S3 inputs'!$B$3*'S3 inputs'!$B$5+'S3 inputs'!$B$6)*'S3 inputs'!$B$24)*(1+'S3 inputs'!$B$19)^(B59-1),0)</s:f>
        <s:v>0</s:v>
      </s:c>
      <s:c r="F59" s="5">
        <s:f>IF(AND(B59&gt;0,B59&lt;'S3 inputs'!$B$12,MOD(B59,'S3 inputs'!$B$25)=0),'S3 inputs'!$B$26*(1+'S3 inputs'!$B$19)^(B59-1),0)</s:f>
        <s:v>0</s:v>
      </s:c>
      <s:c r="G59" s="5">
        <s:f>IF(A59='S3 results'!$B$5,'S3 inputs'!$B$27*(1-'S3 inputs'!$B$28),0)</s:f>
        <s:v>0</s:v>
      </s:c>
      <s:c r="H59" s="5">
        <s:f>D59-E59-F59+G59</s:f>
        <s:v>0</s:v>
      </s:c>
      <s:c r="I59" s="5">
        <s:f>1/(1+'S3 inputs'!$B$13)^A59</s:f>
        <s:v>0.012440732077122638</s:v>
      </s:c>
      <s:c r="J59" s="5">
        <s:f>H59*I59</s:f>
        <s:v>0.0</s:v>
      </s:c>
      <s:c r="K59" s="5">
        <s:f>K58+H59-G59</s:f>
        <s:v>2241847.8795137145</s:v>
      </s:c>
      <s:c r="L59" s="5">
        <s:f>IF(B59&gt;0,'S3 inputs'!$B$2*'S3 inputs'!$B$14*'S3 inputs'!$B$15*(1+'S3 inputs'!$B$18)^(B59-1)*I59,0)</s:f>
        <s:v>0</s:v>
      </s:c>
      <s:c r="M59" s="11" t="str">
        <s:f>IF(AND(K59&gt;=0,K58&lt;0),A59-1-K58/(H59-G59),"")</s:f>
        <s:v/>
      </s:c>
      <s:c r="N59" s="11">
        <s:f>N58+J59-G59*I59</s:f>
        <s:v>-6924346.93039582</s:v>
      </s:c>
      <s:c r="O59" s="11" t="str">
        <s:f>IF(AND(N59&gt;=0,N58&lt;0),A59-1-N58/((H59-G59)*I59),"")</s:f>
        <s:v/>
      </s:c>
    </s:row>
    <s:row r="60" ht="20" customHeight="1">
      <s:c r="A60" s="2" t="n">
        <s:v>58</s:v>
      </s:c>
      <s:c r="B60" s="2">
        <s:f>IF(AND(A60&gt;'S3 results'!$B$4,A60&lt;='S3 results'!$B$5),A60-'S3 results'!$B$4,0)</s:f>
        <s:v>0</s:v>
      </s:c>
      <s:c r="C60" s="5">
        <s:f>IF(B60&gt;0,'S3 inputs'!$B$16*(1+'S3 inputs'!$B$18)^(B60-1),0)</s:f>
        <s:v>0</s:v>
      </s:c>
      <s:c r="D60" s="5">
        <s:f>IF(B60&gt;0,'S3 inputs'!$B$2*'S3 inputs'!$B$14*'S3 inputs'!$B$15*C60,0)</s:f>
        <s:v>0</s:v>
      </s:c>
      <s:c r="E60" s="5">
        <s:f>IF(B60&gt;0,('S3 inputs'!$B$20+'S3 inputs'!$B$21+'S3 inputs'!$B$2*'S3 inputs'!$B$14*('S3 inputs'!$B$22+'S3 inputs'!$B$23)+('S3 inputs'!$B$2*'S3 inputs'!$B$3*'S3 inputs'!$B$5+'S3 inputs'!$B$6)*'S3 inputs'!$B$24)*(1+'S3 inputs'!$B$19)^(B60-1),0)</s:f>
        <s:v>0</s:v>
      </s:c>
      <s:c r="F60" s="5">
        <s:f>IF(AND(B60&gt;0,B60&lt;'S3 inputs'!$B$12,MOD(B60,'S3 inputs'!$B$25)=0),'S3 inputs'!$B$26*(1+'S3 inputs'!$B$19)^(B60-1),0)</s:f>
        <s:v>0</s:v>
      </s:c>
      <s:c r="G60" s="5">
        <s:f>IF(A60='S3 results'!$B$5,'S3 inputs'!$B$27*(1-'S3 inputs'!$B$28),0)</s:f>
        <s:v>0</s:v>
      </s:c>
      <s:c r="H60" s="5">
        <s:f>D60-E60-F60+G60</s:f>
        <s:v>0</s:v>
      </s:c>
      <s:c r="I60" s="5">
        <s:f>1/(1+'S3 inputs'!$B$13)^A60</s:f>
        <s:v>0.011519196367706146</s:v>
      </s:c>
      <s:c r="J60" s="5">
        <s:f>H60*I60</s:f>
        <s:v>0.0</s:v>
      </s:c>
      <s:c r="K60" s="5">
        <s:f>K59+H60-G60</s:f>
        <s:v>2241847.8795137145</s:v>
      </s:c>
      <s:c r="L60" s="5">
        <s:f>IF(B60&gt;0,'S3 inputs'!$B$2*'S3 inputs'!$B$14*'S3 inputs'!$B$15*(1+'S3 inputs'!$B$18)^(B60-1)*I60,0)</s:f>
        <s:v>0</s:v>
      </s:c>
      <s:c r="M60" s="11" t="str">
        <s:f>IF(AND(K60&gt;=0,K59&lt;0),A60-1-K59/(H60-G60),"")</s:f>
        <s:v/>
      </s:c>
      <s:c r="N60" s="11">
        <s:f>N59+J60-G60*I60</s:f>
        <s:v>-6924346.93039582</s:v>
      </s:c>
      <s:c r="O60" s="11" t="str">
        <s:f>IF(AND(N60&gt;=0,N59&lt;0),A60-1-N59/((H60-G60)*I60),"")</s:f>
        <s:v/>
      </s:c>
    </s:row>
    <s:row r="61" ht="20" customHeight="1">
      <s:c r="A61" s="2" t="n">
        <s:v>59</s:v>
      </s:c>
      <s:c r="B61" s="2">
        <s:f>IF(AND(A61&gt;'S3 results'!$B$4,A61&lt;='S3 results'!$B$5),A61-'S3 results'!$B$4,0)</s:f>
        <s:v>0</s:v>
      </s:c>
      <s:c r="C61" s="5">
        <s:f>IF(B61&gt;0,'S3 inputs'!$B$16*(1+'S3 inputs'!$B$18)^(B61-1),0)</s:f>
        <s:v>0</s:v>
      </s:c>
      <s:c r="D61" s="5">
        <s:f>IF(B61&gt;0,'S3 inputs'!$B$2*'S3 inputs'!$B$14*'S3 inputs'!$B$15*C61,0)</s:f>
        <s:v>0</s:v>
      </s:c>
      <s:c r="E61" s="5">
        <s:f>IF(B61&gt;0,('S3 inputs'!$B$20+'S3 inputs'!$B$21+'S3 inputs'!$B$2*'S3 inputs'!$B$14*('S3 inputs'!$B$22+'S3 inputs'!$B$23)+('S3 inputs'!$B$2*'S3 inputs'!$B$3*'S3 inputs'!$B$5+'S3 inputs'!$B$6)*'S3 inputs'!$B$24)*(1+'S3 inputs'!$B$19)^(B61-1),0)</s:f>
        <s:v>0</s:v>
      </s:c>
      <s:c r="F61" s="5">
        <s:f>IF(AND(B61&gt;0,B61&lt;'S3 inputs'!$B$12,MOD(B61,'S3 inputs'!$B$25)=0),'S3 inputs'!$B$26*(1+'S3 inputs'!$B$19)^(B61-1),0)</s:f>
        <s:v>0</s:v>
      </s:c>
      <s:c r="G61" s="5">
        <s:f>IF(A61='S3 results'!$B$5,'S3 inputs'!$B$27*(1-'S3 inputs'!$B$28),0)</s:f>
        <s:v>0</s:v>
      </s:c>
      <s:c r="H61" s="5">
        <s:f>D61-E61-F61+G61</s:f>
        <s:v>0</s:v>
      </s:c>
      <s:c r="I61" s="5">
        <s:f>1/(1+'S3 inputs'!$B$13)^A61</s:f>
        <s:v>0.010665922562690874</s:v>
      </s:c>
      <s:c r="J61" s="5">
        <s:f>H61*I61</s:f>
        <s:v>0.0</s:v>
      </s:c>
      <s:c r="K61" s="5">
        <s:f>K60+H61-G61</s:f>
        <s:v>2241847.8795137145</s:v>
      </s:c>
      <s:c r="L61" s="5">
        <s:f>IF(B61&gt;0,'S3 inputs'!$B$2*'S3 inputs'!$B$14*'S3 inputs'!$B$15*(1+'S3 inputs'!$B$18)^(B61-1)*I61,0)</s:f>
        <s:v>0</s:v>
      </s:c>
      <s:c r="M61" s="11" t="str">
        <s:f>IF(AND(K61&gt;=0,K60&lt;0),A61-1-K60/(H61-G61),"")</s:f>
        <s:v/>
      </s:c>
      <s:c r="N61" s="11">
        <s:f>N60+J61-G61*I61</s:f>
        <s:v>-6924346.93039582</s:v>
      </s:c>
      <s:c r="O61" s="11" t="str">
        <s:f>IF(AND(N61&gt;=0,N60&lt;0),A61-1-N60/((H61-G61)*I61),"")</s:f>
        <s:v/>
      </s:c>
    </s:row>
    <s:row r="62" ht="20" customHeight="1">
      <s:c r="A62" s="2" t="n">
        <s:v>60</s:v>
      </s:c>
      <s:c r="B62" s="2">
        <s:f>IF(AND(A62&gt;'S3 results'!$B$4,A62&lt;='S3 results'!$B$5),A62-'S3 results'!$B$4,0)</s:f>
        <s:v>0</s:v>
      </s:c>
      <s:c r="C62" s="5">
        <s:f>IF(B62&gt;0,'S3 inputs'!$B$16*(1+'S3 inputs'!$B$18)^(B62-1),0)</s:f>
        <s:v>0</s:v>
      </s:c>
      <s:c r="D62" s="5">
        <s:f>IF(B62&gt;0,'S3 inputs'!$B$2*'S3 inputs'!$B$14*'S3 inputs'!$B$15*C62,0)</s:f>
        <s:v>0</s:v>
      </s:c>
      <s:c r="E62" s="5">
        <s:f>IF(B62&gt;0,('S3 inputs'!$B$20+'S3 inputs'!$B$21+'S3 inputs'!$B$2*'S3 inputs'!$B$14*('S3 inputs'!$B$22+'S3 inputs'!$B$23)+('S3 inputs'!$B$2*'S3 inputs'!$B$3*'S3 inputs'!$B$5+'S3 inputs'!$B$6)*'S3 inputs'!$B$24)*(1+'S3 inputs'!$B$19)^(B62-1),0)</s:f>
        <s:v>0</s:v>
      </s:c>
      <s:c r="F62" s="5">
        <s:f>IF(AND(B62&gt;0,B62&lt;'S3 inputs'!$B$12,MOD(B62,'S3 inputs'!$B$25)=0),'S3 inputs'!$B$26*(1+'S3 inputs'!$B$19)^(B62-1),0)</s:f>
        <s:v>0</s:v>
      </s:c>
      <s:c r="G62" s="5">
        <s:f>IF(A62='S3 results'!$B$5,'S3 inputs'!$B$27*(1-'S3 inputs'!$B$28),0)</s:f>
        <s:v>0</s:v>
      </s:c>
      <s:c r="H62" s="5">
        <s:f>D62-E62-F62+G62</s:f>
        <s:v>0</s:v>
      </s:c>
      <s:c r="I62" s="5">
        <s:f>1/(1+'S3 inputs'!$B$13)^A62</s:f>
        <s:v>0.009875854224713772</s:v>
      </s:c>
      <s:c r="J62" s="5">
        <s:f>H62*I62</s:f>
        <s:v>0.0</s:v>
      </s:c>
      <s:c r="K62" s="5">
        <s:f>K61+H62-G62</s:f>
        <s:v>2241847.8795137145</s:v>
      </s:c>
      <s:c r="L62" s="5">
        <s:f>IF(B62&gt;0,'S3 inputs'!$B$2*'S3 inputs'!$B$14*'S3 inputs'!$B$15*(1+'S3 inputs'!$B$18)^(B62-1)*I62,0)</s:f>
        <s:v>0</s:v>
      </s:c>
      <s:c r="M62" s="11" t="str">
        <s:f>IF(AND(K62&gt;=0,K61&lt;0),A62-1-K61/(H62-G62),"")</s:f>
        <s:v/>
      </s:c>
      <s:c r="N62" s="11">
        <s:f>N61+J62-G62*I62</s:f>
        <s:v>-6924346.93039582</s:v>
      </s:c>
      <s:c r="O62" s="11" t="str">
        <s:f>IF(AND(N62&gt;=0,N61&lt;0),A62-1-N61/((H62-G62)*I62),"")</s:f>
        <s:v/>
      </s:c>
    </s:row>
  </s:sheetData>
  <s:pageMargins left="0.75" right="0.75" top="1" bottom="1" header="0.5" footer="0.5"/>
</s: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2026-10-14T20:02:58Z</dcterms:created>
  <dcterms:modified xsi:type="dcterms:W3CDTF">2026-10-14T20:02:58Z</dcterms:modified>
</cp:coreProperties>
</file>