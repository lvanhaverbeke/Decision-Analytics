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Leeswijzer" sheetId="1" state="visible" r:id="rId1"/>
    <sheet name="Invoer" sheetId="2" state="visible" r:id="rId2"/>
    <sheet name="Samenvatting" sheetId="3" state="visible" r:id="rId3"/>
    <sheet name="Kasstromen" sheetId="4" state="visible" r:id="rId4"/>
    <sheet name="Scenariovergelijking" sheetId="5" state="visible" r:id="rId5"/>
  </sheets>
  <definedNames>
    <definedName name="_xlnm.Print_Titles" localSheetId="0">'Leeswijzer'!$1:$3</definedName>
    <definedName name="_xlnm.Print_Titles" localSheetId="1">'Invoer'!$1:$3</definedName>
    <definedName name="_xlnm.Print_Titles" localSheetId="2">'Samenvatting'!$1:$3</definedName>
    <definedName name="_xlnm.Print_Titles" localSheetId="3">'Kasstromen'!$1:$3</definedName>
    <definedName name="_xlnm.Print_Titles" localSheetId="4">'Scenariovergelijking'!$1:$3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;[Red](#,##0.00);–"/>
  </numFmts>
  <fonts count="6">
    <font>
      <name val="Calibri"/>
      <family val="2"/>
      <color theme="1"/>
      <sz val="11"/>
      <scheme val="minor"/>
    </font>
    <font>
      <color rgb="000000FF"/>
    </font>
    <font>
      <name val="Calibri"/>
      <color rgb="0017354A"/>
      <sz val="11"/>
    </font>
    <font>
      <name val="Calibri"/>
      <b val="1"/>
      <color rgb="00FFFFFF"/>
      <sz val="16"/>
    </font>
    <font>
      <name val="Calibri"/>
      <b val="1"/>
      <color rgb="0018354A"/>
    </font>
    <font>
      <name val="Calibri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F5F8FA"/>
      </patternFill>
    </fill>
    <fill>
      <patternFill patternType="solid">
        <fgColor rgb="0018354A"/>
      </patternFill>
    </fill>
    <fill>
      <patternFill patternType="solid">
        <fgColor rgb="00DCEE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3" borderId="0" pivotButton="0" quotePrefix="0" xfId="0"/>
    <xf numFmtId="0" fontId="2" fillId="0" borderId="0" pivotButton="0" quotePrefix="0" xfId="0"/>
    <xf numFmtId="0" fontId="4" fillId="4" borderId="0" pivotButton="0" quotePrefix="0" xfId="0"/>
    <xf numFmtId="0" fontId="2" fillId="2" borderId="0" pivotButton="0" quotePrefix="0" xfId="0"/>
    <xf numFmtId="4" fontId="5" fillId="2" borderId="0" pivotButton="0" quotePrefix="0" xfId="0"/>
    <xf numFmtId="165" fontId="2" fillId="2" borderId="0" pivotButton="0" quotePrefix="0" xfId="0"/>
    <xf numFmtId="4" fontId="5" fillId="0" borderId="0" pivotButton="0" quotePrefix="0" xfId="0"/>
    <xf numFmtId="165" fontId="2" fillId="0" borderId="0" pivotButton="0" quotePrefix="0" xfId="0"/>
    <xf numFmtId="164" fontId="5" fillId="0" borderId="0" pivotButton="0" quotePrefix="0" xfId="0"/>
    <xf numFmtId="164" fontId="5" fillId="2" borderId="0" pivotButton="0" quotePrefix="0" xfId="0"/>
    <xf numFmtId="1" fontId="4" fillId="4" borderId="0" pivotButton="0" quotePrefix="0" xfId="0"/>
    <xf numFmtId="1" fontId="2" fillId="2" borderId="0" pivotButton="0" quotePrefix="0" xfId="0"/>
    <xf numFmtId="1" fontId="2" fillId="0" borderId="0" pivotButton="0" quotePrefix="0" xfId="0"/>
    <xf numFmtId="164" fontId="2" fillId="2" borderId="0" pivotButton="0" quotePrefix="0" xfId="0"/>
    <xf numFmtId="165" fontId="4" fillId="4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ADBD8"/>
        </patternFill>
      </fill>
    </dxf>
    <dxf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Cumulatieve kasstroom per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'Scenariovergelijking'!$B$3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'Scenariovergelijking'!$A$41:$A$61</f>
            </numRef>
          </cat>
          <val>
            <numRef>
              <f>'Scenariovergelijking'!$B$41:$B$61</f>
            </numRef>
          </val>
        </ser>
        <ser>
          <idx val="1"/>
          <order val="1"/>
          <tx>
            <strRef>
              <f>'Scenariovergelijking'!$C$3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'Scenariovergelijking'!$A$41:$A$61</f>
            </numRef>
          </cat>
          <val>
            <numRef>
              <f>'Scenariovergelijking'!$C$41:$C$61</f>
            </numRef>
          </val>
        </ser>
        <ser>
          <idx val="2"/>
          <order val="2"/>
          <tx>
            <strRef>
              <f>'Scenariovergelijking'!$D$3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'Scenariovergelijking'!$A$41:$A$61</f>
            </numRef>
          </cat>
          <val>
            <numRef>
              <f>'Scenariovergelijking'!$D$41:$D$61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Jaar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Operationele kasstroom jaar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'Scenariovergelijking'!$B$3:$D$3</f>
            </numRef>
          </cat>
          <val>
            <numRef>
              <f>'Scenariovergelijking'!$B$9:$D$9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90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24</row>
      <rowOff>0</rowOff>
    </from>
    <ext cx="90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s:worksheet xmlns:s="http://schemas.openxmlformats.org/spreadsheetml/2006/main">
  <s:sheetPr>
    <s:outlinePr summaryBelow="1" summaryRight="0"/>
    <s:pageSetUpPr fitToPage="1"/>
  </s:sheetPr>
  <s:dimension ref="A1:A23"/>
  <s:sheetViews>
    <s:sheetView showGridLines="0" workbookViewId="0">
      <s:pane xSplit="1" ySplit="3" topLeftCell="B4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25" customWidth="1" min="1" max="1"/>
  </s:cols>
  <s:sheetData>
    <s:row r="1" ht="30" customHeight="1">
      <s:c r="A1" s="1" t="inlineStr">
        <s:is>
          <s:t>Studentenhuisvesting | haalbaarheid en rendement</s:t>
        </s:is>
      </s:c>
    </s:row>
    <s:row r="2" ht="30" customHeight="1">
      <s:c r="A2" s="2" t="inlineStr">
        <s:is>
          <s:t>Doel: transparant rekenmodel op basis van de aangeleverde notities.</s:t>
        </s:is>
      </s:c>
    </s:row>
    <s:row r="3" ht="30" customHeight="1">
      <s:c r="A3" s="3" t="inlineStr">
        <s:is>
          <s:t>Alle bedragen en percentages behalve de genoemde 8 + 2 maanden zijn fictieve voorbeelden.</s:t>
        </s:is>
      </s:c>
    </s:row>
    <s:row r="4" ht="30" customHeight="1">
      <s:c r="A4" s="4" t="inlineStr">
        <s:is>
          <s:t>Valuta: EUR. Bedragen moeten consequent exclusief of inclusief niet-recupereerbare btw worden ingevoerd.</s:t>
        </s:is>
      </s:c>
    </s:row>
    <s:row r="5" ht="30" customHeight="1">
      <s:c r="A5" s="2" t="inlineStr">
        <s:is>
          <s:t>Blauwe cellen op Invoer zijn aanpasbaar. Zwarte cellen bevatten formules.</s:t>
        </s:is>
      </s:c>
    </s:row>
    <s:row r="6" ht="30" customHeight="1">
      <s:c r="A6" s="4" t="inlineStr">
        <s:is>
          <s:t>Keuze 1 = 12 maanden studentenhuur; keuze 2 = 8 maanden studentenhuur + 2 maanden Airbnb; keuze 3 = vrije mix.</s:t>
        </s:is>
      </s:c>
    </s:row>
    <s:row r="7" ht="30" customHeight="1">
      <s:c r="A7" s="2" t="inlineStr">
        <s:is>
          <s:t>De resterende maanden leveren geen kamerinkomsten op; bezettingsgraden verwerken leegstand binnen actieve maanden.</s:t>
        </s:is>
      </s:c>
    </s:row>
    <s:row r="8" ht="30" customHeight="1">
      <s:c r="A8" s="4" t="inlineStr">
        <s:is>
          <s:t>Exchange en wissels: verwerk leegstand in studentenbezetting; tel dezelfde leegstand niet nogmaals als kosten.</s:t>
        </s:is>
      </s:c>
    </s:row>
    <s:row r="9" ht="30" customHeight="1">
      <s:c r="A9" s="2" t="inlineStr">
        <s:is>
          <s:t>Grond, aankoop bestaand gebouw en nieuwbouw zijn afzonderlijke posten. Vul overlappende bedragen niet dubbel in.</s:t>
        </s:is>
      </s:c>
    </s:row>
    <s:row r="10" ht="30" customHeight="1">
      <s:c r="A10" s="4" t="inlineStr">
        <s:is>
          <s:t>Opstart en aanvangsonderhoud zijn eenmalig. Jaarlijkse exploitatie, onderhoud en vastgoedbelasting zijn terugkerend.</s:t>
        </s:is>
      </s:c>
    </s:row>
    <s:row r="11" ht="30" customHeight="1">
      <s:c r="A11" s="2" t="inlineStr">
        <s:is>
          <s:t>Diensten: was, schoonmaak, afhaalpunt (interpretatie onduidelijke tekst) en bagageopslag.</s:t>
        </s:is>
      </s:c>
    </s:row>
    <s:row r="12" ht="30" customHeight="1">
      <s:c r="A12" s="4" t="inlineStr">
        <s:is>
          <s:t>Diensten worden per verhuurde kamermaand geraamd, ook bij Airbnb; pas besteding aan de werkelijke vraag aan.</s:t>
        </s:is>
      </s:c>
    </s:row>
    <s:row r="13" ht="30" customHeight="1">
      <s:c r="A13" s="2" t="inlineStr">
        <s:is>
          <s:t>Schoonmaakomzet betreft een verkochte dienst. Airbnb-wissels hebben daarnaast eigen schoonmaakkosten.</s:t>
        </s:is>
      </s:c>
    </s:row>
    <s:row r="14" ht="30" customHeight="1">
      <s:c r="A14" s="4" t="inlineStr">
        <s:is>
          <s:t>Airbnb-platformkosten gelden alleen voor overnachtingsomzet; beheer geldt voor alle inkomsten.</s:t>
        </s:is>
      </s:c>
    </s:row>
    <s:row r="15" ht="30" customHeight="1">
      <s:c r="A15" s="2" t="inlineStr">
        <s:is>
          <s:t>Kasstromen: ongeleend, vóór inkomsten-/vennootschapsbelasting; geen lening, rente, afschrijving of btw-afrekening.</s:t>
        </s:is>
      </s:c>
    </s:row>
    <s:row r="16" ht="30" customHeight="1">
      <s:c r="A16" s="4" t="inlineStr">
        <s:is>
          <s:t>Vastgoedbelasting en eenmalige aankoop-/bouwbelasting zijn expliciete invoer, zonder wettelijke tariefaanname.</s:t>
        </s:is>
      </s:c>
    </s:row>
    <s:row r="17" ht="30" customHeight="1">
      <s:c r="A17" s="2" t="inlineStr">
        <s:is>
          <s:t>Horizon: 20 jaar. Investering op t=0; exploitatie en verkoop aan het einde van elk jaar.</s:t>
        </s:is>
      </s:c>
    </s:row>
    <s:row r="18" ht="30" customHeight="1">
      <s:c r="A18" s="4" t="inlineStr">
        <s:is>
          <s:t>Restwaarde = grond + aankoop gebouw + constructie, met jaarlijkse waardegroei; verkoopkosten worden afgetrokken.</s:t>
        </s:is>
      </s:c>
    </s:row>
    <s:row r="19" ht="30" customHeight="1">
      <s:c r="A19" s="2" t="inlineStr">
        <s:is>
          <s:t>NCW/NPV gebruikt de discontovoet. IRR is het projectrendement inclusief verkoop; terugverdientijd telt volle jaren.</s:t>
        </s:is>
      </s:c>
    </s:row>
    <s:row r="20" ht="30" customHeight="1">
      <s:c r="A20" s="4" t="inlineStr">
        <s:is>
          <s:t>Scenario’s gebruiken dezelfde investering en vaste kosten; verschillen komen door verhuurmaanden en bezetting.</s:t>
        </s:is>
      </s:c>
    </s:row>
    <s:row r="21" ht="30" customHeight="1">
      <s:c r="A21" s="2" t="inlineStr">
        <s:is>
          <s:t>Geen markt- of juridisch onderzoek verricht. Vergunningen, contractregels en fiscale behandeling zijn niet beoordeeld.</s:t>
        </s:is>
      </s:c>
    </s:row>
    <s:row r="22" ht="30" customHeight="1">
      <s:c r="A22" s="4" t="inlineStr">
        <s:is>
          <s:t>Bron: gebruikerstekst met onduidelijke namen, huurverhoging en omschrijving van het afhaalpunt.</s:t>
        </s:is>
      </s:c>
    </s:row>
    <s:row r="23" ht="30" customHeight="1">
      <s:c r="A23" s="2" t="inlineStr">
        <s:is>
          <s:t>Code: build_model.py bewaart de basis; improve_model.py genereert deze uitgebreide versie.</s:t>
        </s:is>
      </s:c>
    </s:row>
  </s:sheetData>
  <s:printOptions horizontalCentered="1"/>
  <s:pageMargins left="0.75" right="0.75" top="1" bottom="1" header="0.5" footer="0.5"/>
  <s:pageSetup orientation="landscape" paperSize="8" fitToHeight="0" fitToWidth="1"/>
</s:worksheet>
</file>

<file path=xl/worksheets/sheet2.xml><?xml version="1.0" encoding="utf-8"?>
<s:worksheet xmlns:s="http://schemas.openxmlformats.org/spreadsheetml/2006/main">
  <s:sheetPr>
    <s:outlinePr summaryBelow="1" summaryRight="0"/>
    <s:pageSetUpPr fitToPage="1"/>
  </s:sheetPr>
  <s:dimension ref="A1:D40"/>
  <s:sheetViews>
    <s:sheetView showGridLines="0" workbookViewId="0">
      <s:pane xSplit="1" ySplit="3" topLeftCell="B4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9" customWidth="1" min="1" max="1"/>
    <s:col width="19" customWidth="1" min="2" max="2"/>
    <s:col width="25" customWidth="1" min="3" max="3"/>
    <s:col width="70" customWidth="1" min="4" max="4"/>
  </s:cols>
  <s:sheetData>
    <s:row r="1" ht="32" customHeight="1">
      <s:c r="A1" s="5" t="inlineStr">
        <s:is>
          <s:t>Aanpasbare aannames | fictief voorbeeld</s:t>
        </s:is>
      </s:c>
      <s:c r="B1" s="5" t="n"/>
      <s:c r="C1" s="5" t="n"/>
      <s:c r="D1" s="5" t="n"/>
    </s:row>
    <s:row r="2">
      <s:c r="A2" s="6" t="n"/>
      <s:c r="B2" s="6" t="n"/>
      <s:c r="C2" s="6" t="n"/>
      <s:c r="D2" s="6" t="n"/>
    </s:row>
    <s:row r="3">
      <s:c r="A3" s="7" t="inlineStr">
        <s:is>
          <s:t>Parameter</s:t>
        </s:is>
      </s:c>
      <s:c r="B3" s="7" t="inlineStr">
        <s:is>
          <s:t>Waarde</s:t>
        </s:is>
      </s:c>
      <s:c r="C3" s="7" t="inlineStr">
        <s:is>
          <s:t>Eenheid</s:t>
        </s:is>
      </s:c>
      <s:c r="D3" s="7" t="inlineStr">
        <s:is>
          <s:t>Toelichting</s:t>
        </s:is>
      </s:c>
    </s:row>
    <s:row r="4">
      <s:c r="A4" s="8" t="inlineStr">
        <s:is>
          <s:t>Verhuurscenario</s:t>
        </s:is>
      </s:c>
      <s:c r="B4" s="9" t="n">
        <s:v>2</s:v>
      </s:c>
      <s:c r="C4" s="10" t="inlineStr">
        <s:is>
          <s:t>1 / 2 / 3</s:t>
        </s:is>
      </s:c>
      <s:c r="D4" s="10" t="inlineStr">
        <s:is>
          <s:t>1: student 12m; 2: student 8m + Airbnb 2m; 3: vrije mix</s:t>
        </s:is>
      </s:c>
    </s:row>
    <s:row r="5">
      <s:c r="A5" s="6" t="inlineStr">
        <s:is>
          <s:t>Aantal kamers</s:t>
        </s:is>
      </s:c>
      <s:c r="B5" s="11" t="n">
        <s:v>10</s:v>
      </s:c>
      <s:c r="C5" s="12" t="inlineStr">
        <s:is>
          <s:t>kamers</s:t>
        </s:is>
      </s:c>
      <s:c r="D5" s="12" t="inlineStr">
        <s:is>
          <s:t>Identieke kamers als vereenvoudiging</s:t>
        </s:is>
      </s:c>
    </s:row>
    <s:row r="6">
      <s:c r="A6" s="8" t="inlineStr">
        <s:is>
          <s:t>Studentenhuur</s:t>
        </s:is>
      </s:c>
      <s:c r="B6" s="9" t="n">
        <s:v>600</s:v>
      </s:c>
      <s:c r="C6" s="10" t="inlineStr">
        <s:is>
          <s:t>EUR/kamer/maand</s:t>
        </s:is>
      </s:c>
      <s:c r="D6" s="10" t="inlineStr">
        <s:is>
          <s:t>Fictief startbedrag</s:t>
        </s:is>
      </s:c>
    </s:row>
    <s:row r="7">
      <s:c r="A7" s="6" t="inlineStr">
        <s:is>
          <s:t>Jaarlijkse huurverhoging</s:t>
        </s:is>
      </s:c>
      <s:c r="B7" s="13" t="n">
        <s:v>0.02</s:v>
      </s:c>
      <s:c r="C7" s="12" t="inlineStr">
        <s:is>
          <s:t>%</s:t>
        </s:is>
      </s:c>
      <s:c r="D7" s="12" t="inlineStr">
        <s:is>
          <s:t>Niet gespecificeerd in notities</s:t>
        </s:is>
      </s:c>
    </s:row>
    <s:row r="8">
      <s:c r="A8" s="8" t="inlineStr">
        <s:is>
          <s:t>Studentmaanden vrije mix</s:t>
        </s:is>
      </s:c>
      <s:c r="B8" s="9" t="n">
        <s:v>8</s:v>
      </s:c>
      <s:c r="C8" s="10" t="inlineStr">
        <s:is>
          <s:t>maanden</s:t>
        </s:is>
      </s:c>
      <s:c r="D8" s="10" t="inlineStr">
        <s:is>
          <s:t>Alleen gebruikt bij keuze 3</s:t>
        </s:is>
      </s:c>
    </s:row>
    <s:row r="9">
      <s:c r="A9" s="6" t="inlineStr">
        <s:is>
          <s:t>Airbnb-maanden vrije mix</s:t>
        </s:is>
      </s:c>
      <s:c r="B9" s="11" t="n">
        <s:v>2</s:v>
      </s:c>
      <s:c r="C9" s="12" t="inlineStr">
        <s:is>
          <s:t>maanden</s:t>
        </s:is>
      </s:c>
      <s:c r="D9" s="12" t="inlineStr">
        <s:is>
          <s:t>Alleen gebruikt bij keuze 3</s:t>
        </s:is>
      </s:c>
    </s:row>
    <s:row r="10">
      <s:c r="A10" s="8" t="inlineStr">
        <s:is>
          <s:t>Bezetting studentenhuur</s:t>
        </s:is>
      </s:c>
      <s:c r="B10" s="14" t="n">
        <s:v>0.95</s:v>
      </s:c>
      <s:c r="C10" s="10" t="inlineStr">
        <s:is>
          <s:t>%</s:t>
        </s:is>
      </s:c>
      <s:c r="D10" s="10" t="inlineStr">
        <s:is>
          <s:t>Inclusief exchange en gaten tussen huurders</s:t>
        </s:is>
      </s:c>
    </s:row>
    <s:row r="11">
      <s:c r="A11" s="6" t="inlineStr">
        <s:is>
          <s:t>Airbnb-nachtprijs</s:t>
        </s:is>
      </s:c>
      <s:c r="B11" s="11" t="n">
        <s:v>75</s:v>
      </s:c>
      <s:c r="C11" s="12" t="inlineStr">
        <s:is>
          <s:t>EUR/kamer/nacht</s:t>
        </s:is>
      </s:c>
      <s:c r="D11" s="12" t="inlineStr">
        <s:is>
          <s:t>Fictief</s:t>
        </s:is>
      </s:c>
    </s:row>
    <s:row r="12">
      <s:c r="A12" s="8" t="inlineStr">
        <s:is>
          <s:t>Airbnb-bezetting</s:t>
        </s:is>
      </s:c>
      <s:c r="B12" s="14" t="n">
        <s:v>0.6</s:v>
      </s:c>
      <s:c r="C12" s="10" t="inlineStr">
        <s:is>
          <s:t>%</s:t>
        </s:is>
      </s:c>
      <s:c r="D12" s="10" t="inlineStr">
        <s:is>
          <s:t>Binnen voor Airbnb beschikbare maanden</s:t>
        </s:is>
      </s:c>
    </s:row>
    <s:row r="13">
      <s:c r="A13" s="6" t="inlineStr">
        <s:is>
          <s:t>Dagen per maand</s:t>
        </s:is>
      </s:c>
      <s:c r="B13" s="11" t="n">
        <s:v>30</s:v>
      </s:c>
      <s:c r="C13" s="12" t="inlineStr">
        <s:is>
          <s:t>dagen</s:t>
        </s:is>
      </s:c>
      <s:c r="D13" s="12" t="inlineStr">
        <s:is>
          <s:t>Vaste rekenconventie</s:t>
        </s:is>
      </s:c>
    </s:row>
    <s:row r="14">
      <s:c r="A14" s="8" t="inlineStr">
        <s:is>
          <s:t>Jaarlijkse groei Airbnb-prijs</s:t>
        </s:is>
      </s:c>
      <s:c r="B14" s="14" t="n">
        <s:v>0.02</s:v>
      </s:c>
      <s:c r="C14" s="10" t="inlineStr">
        <s:is>
          <s:t>%</s:t>
        </s:is>
      </s:c>
      <s:c r="D14" s="10" t="inlineStr">
        <s:is>
          <s:t>Fictief</s:t>
        </s:is>
      </s:c>
    </s:row>
    <s:row r="15">
      <s:c r="A15" s="6" t="inlineStr">
        <s:is>
          <s:t>Gemiddeld Airbnb-verblijf</s:t>
        </s:is>
      </s:c>
      <s:c r="B15" s="11" t="n">
        <s:v>4</s:v>
      </s:c>
      <s:c r="C15" s="12" t="inlineStr">
        <s:is>
          <s:t>nachten</s:t>
        </s:is>
      </s:c>
      <s:c r="D15" s="12" t="inlineStr">
        <s:is>
          <s:t>Bepaalt aantal schoonmaakwissels</s:t>
        </s:is>
      </s:c>
    </s:row>
    <s:row r="16">
      <s:c r="A16" s="8" t="inlineStr">
        <s:is>
          <s:t>Airbnb-platformkosten</s:t>
        </s:is>
      </s:c>
      <s:c r="B16" s="14" t="n">
        <s:v>0.03</s:v>
      </s:c>
      <s:c r="C16" s="10" t="inlineStr">
        <s:is>
          <s:t>% omzet Airbnb</s:t>
        </s:is>
      </s:c>
      <s:c r="D16" s="10" t="inlineStr">
        <s:is>
          <s:t>Fictief</s:t>
        </s:is>
      </s:c>
    </s:row>
    <s:row r="17">
      <s:c r="A17" s="6" t="inlineStr">
        <s:is>
          <s:t>Schoonmaakkost per Airbnb-wissel</s:t>
        </s:is>
      </s:c>
      <s:c r="B17" s="11" t="n">
        <s:v>20</s:v>
      </s:c>
      <s:c r="C17" s="12" t="inlineStr">
        <s:is>
          <s:t>EUR/wissel</s:t>
        </s:is>
      </s:c>
      <s:c r="D17" s="12" t="inlineStr">
        <s:is>
          <s:t>Apart van verkochte schoonmaakdienst</s:t>
        </s:is>
      </s:c>
    </s:row>
    <s:row r="18">
      <s:c r="A18" s="8" t="inlineStr">
        <s:is>
          <s:t>Grond / grondkosten</s:t>
        </s:is>
      </s:c>
      <s:c r="B18" s="9" t="n">
        <s:v>200000</s:v>
      </s:c>
      <s:c r="C18" s="10" t="inlineStr">
        <s:is>
          <s:t>EUR</s:t>
        </s:is>
      </s:c>
      <s:c r="D18" s="10" t="inlineStr">
        <s:is>
          <s:t>Eenmalig</s:t>
        </s:is>
      </s:c>
    </s:row>
    <s:row r="19">
      <s:c r="A19" s="6" t="inlineStr">
        <s:is>
          <s:t>Constructie / nieuwbouw</s:t>
        </s:is>
      </s:c>
      <s:c r="B19" s="11" t="n">
        <s:v>400000</s:v>
      </s:c>
      <s:c r="C19" s="12" t="inlineStr">
        <s:is>
          <s:t>EUR</s:t>
        </s:is>
      </s:c>
      <s:c r="D19" s="12" t="inlineStr">
        <s:is>
          <s:t>Eenmalig; exclusief bestaand gebouw</s:t>
        </s:is>
      </s:c>
    </s:row>
    <s:row r="20">
      <s:c r="A20" s="8" t="inlineStr">
        <s:is>
          <s:t>Aankoop bestaand gebouw</s:t>
        </s:is>
      </s:c>
      <s:c r="B20" s="9" t="n">
        <s:v>0</s:v>
      </s:c>
      <s:c r="C20" s="10" t="inlineStr">
        <s:is>
          <s:t>EUR</s:t>
        </s:is>
      </s:c>
      <s:c r="D20" s="10" t="inlineStr">
        <s:is>
          <s:t>Eenmalig; voorkom overlap met constructie</s:t>
        </s:is>
      </s:c>
    </s:row>
    <s:row r="21">
      <s:c r="A21" s="6" t="inlineStr">
        <s:is>
          <s:t>Opstart exploitatie</s:t>
        </s:is>
      </s:c>
      <s:c r="B21" s="11" t="n">
        <s:v>10000</s:v>
      </s:c>
      <s:c r="C21" s="12" t="inlineStr">
        <s:is>
          <s:t>EUR</s:t>
        </s:is>
      </s:c>
      <s:c r="D21" s="12" t="inlineStr">
        <s:is>
          <s:t>Eenmalige operating fees</s:t>
        </s:is>
      </s:c>
    </s:row>
    <s:row r="22">
      <s:c r="A22" s="8" t="inlineStr">
        <s:is>
          <s:t>Aankoop-/bouwbelasting</s:t>
        </s:is>
      </s:c>
      <s:c r="B22" s="9" t="n">
        <s:v>20000</s:v>
      </s:c>
      <s:c r="C22" s="10" t="inlineStr">
        <s:is>
          <s:t>EUR</s:t>
        </s:is>
      </s:c>
      <s:c r="D22" s="10" t="inlineStr">
        <s:is>
          <s:t>Eenmalig; zelf invullen</s:t>
        </s:is>
      </s:c>
    </s:row>
    <s:row r="23">
      <s:c r="A23" s="6" t="inlineStr">
        <s:is>
          <s:t>Onderhoud bij aanvang</s:t>
        </s:is>
      </s:c>
      <s:c r="B23" s="11" t="n">
        <s:v>5000</s:v>
      </s:c>
      <s:c r="C23" s="12" t="inlineStr">
        <s:is>
          <s:t>EUR</s:t>
        </s:is>
      </s:c>
      <s:c r="D23" s="12" t="inlineStr">
        <s:is>
          <s:t>Eenmalig</s:t>
        </s:is>
      </s:c>
    </s:row>
    <s:row r="24">
      <s:c r="A24" s="8" t="inlineStr">
        <s:is>
          <s:t>Vaste exploitatiekosten per jaar</s:t>
        </s:is>
      </s:c>
      <s:c r="B24" s="9" t="n">
        <s:v>12000</s:v>
      </s:c>
      <s:c r="C24" s="10" t="inlineStr">
        <s:is>
          <s:t>EUR/jaar</s:t>
        </s:is>
      </s:c>
      <s:c r="D24" s="10" t="inlineStr">
        <s:is>
          <s:t>Energie, verzekering etc.; exclusief apart genoemde kosten</s:t>
        </s:is>
      </s:c>
    </s:row>
    <s:row r="25">
      <s:c r="A25" s="6" t="inlineStr">
        <s:is>
          <s:t>Jaarlijks onderhoud</s:t>
        </s:is>
      </s:c>
      <s:c r="B25" s="11" t="n">
        <s:v>6000</s:v>
      </s:c>
      <s:c r="C25" s="12" t="inlineStr">
        <s:is>
          <s:t>EUR/jaar</s:t>
        </s:is>
      </s:c>
      <s:c r="D25" s="12" t="inlineStr">
        <s:is>
          <s:t>Terugkerend</s:t>
        </s:is>
      </s:c>
    </s:row>
    <s:row r="26">
      <s:c r="A26" s="8" t="inlineStr">
        <s:is>
          <s:t>Jaarlijkse vastgoedbelasting</s:t>
        </s:is>
      </s:c>
      <s:c r="B26" s="9" t="n">
        <s:v>2000</s:v>
      </s:c>
      <s:c r="C26" s="10" t="inlineStr">
        <s:is>
          <s:t>EUR/jaar</s:t>
        </s:is>
      </s:c>
      <s:c r="D26" s="10" t="inlineStr">
        <s:is>
          <s:t>Terugkerend; fictief bedrag</s:t>
        </s:is>
      </s:c>
    </s:row>
    <s:row r="27">
      <s:c r="A27" s="6" t="inlineStr">
        <s:is>
          <s:t>Vastgoedbeheer</s:t>
        </s:is>
      </s:c>
      <s:c r="B27" s="13" t="n">
        <s:v>0.08</s:v>
      </s:c>
      <s:c r="C27" s="12" t="inlineStr">
        <s:is>
          <s:t>% totale omzet</s:t>
        </s:is>
      </s:c>
      <s:c r="D27" s="12" t="inlineStr">
        <s:is>
          <s:t>Vergoeding beheerder</s:t>
        </s:is>
      </s:c>
    </s:row>
    <s:row r="28">
      <s:c r="A28" s="8" t="inlineStr">
        <s:is>
          <s:t>Jaarlijkse kostenstijging</s:t>
        </s:is>
      </s:c>
      <s:c r="B28" s="14" t="n">
        <s:v>0.02</s:v>
      </s:c>
      <s:c r="C28" s="10" t="inlineStr">
        <s:is>
          <s:t>%</s:t>
        </s:is>
      </s:c>
      <s:c r="D28" s="10" t="inlineStr">
        <s:is>
          <s:t>Geldt ook voor wisselkost</s:t>
        </s:is>
      </s:c>
    </s:row>
    <s:row r="29">
      <s:c r="A29" s="6" t="inlineStr">
        <s:is>
          <s:t>Was: omzet per bezette kamermaand</s:t>
        </s:is>
      </s:c>
      <s:c r="B29" s="11" t="n">
        <s:v>10</s:v>
      </s:c>
      <s:c r="C29" s="12" t="inlineStr">
        <s:is>
          <s:t>EUR</s:t>
        </s:is>
      </s:c>
      <s:c r="D29" s="12" t="inlineStr">
        <s:is>
          <s:t>Gemiddelde besteding</s:t>
        </s:is>
      </s:c>
    </s:row>
    <s:row r="30">
      <s:c r="A30" s="8" t="inlineStr">
        <s:is>
          <s:t>Was: directe kosten</s:t>
        </s:is>
      </s:c>
      <s:c r="B30" s="14" t="n">
        <s:v>0.4</s:v>
      </s:c>
      <s:c r="C30" s="10" t="inlineStr">
        <s:is>
          <s:t>% dienstomzet</s:t>
        </s:is>
      </s:c>
      <s:c r="D30" s="10" t="inlineStr">
        <s:is>
          <s:t>Fictief</s:t>
        </s:is>
      </s:c>
    </s:row>
    <s:row r="31">
      <s:c r="A31" s="6" t="inlineStr">
        <s:is>
          <s:t>Schoonmaak: omzet per bezette kamermaand</s:t>
        </s:is>
      </s:c>
      <s:c r="B31" s="11" t="n">
        <s:v>15</s:v>
      </s:c>
      <s:c r="C31" s="12" t="inlineStr">
        <s:is>
          <s:t>EUR</s:t>
        </s:is>
      </s:c>
      <s:c r="D31" s="12" t="inlineStr">
        <s:is>
          <s:t>Verkochte extra dienst</s:t>
        </s:is>
      </s:c>
    </s:row>
    <s:row r="32">
      <s:c r="A32" s="8" t="inlineStr">
        <s:is>
          <s:t>Schoonmaak: directe kosten</s:t>
        </s:is>
      </s:c>
      <s:c r="B32" s="14" t="n">
        <s:v>0.6</s:v>
      </s:c>
      <s:c r="C32" s="10" t="inlineStr">
        <s:is>
          <s:t>% dienstomzet</s:t>
        </s:is>
      </s:c>
      <s:c r="D32" s="10" t="inlineStr">
        <s:is>
          <s:t>Fictief</s:t>
        </s:is>
      </s:c>
    </s:row>
    <s:row r="33">
      <s:c r="A33" s="6" t="inlineStr">
        <s:is>
          <s:t>Afhaalpunt: omzet per bezette kamermaand</s:t>
        </s:is>
      </s:c>
      <s:c r="B33" s="11" t="n">
        <s:v>2</s:v>
      </s:c>
      <s:c r="C33" s="12" t="inlineStr">
        <s:is>
          <s:t>EUR</s:t>
        </s:is>
      </s:c>
      <s:c r="D33" s="12" t="inlineStr">
        <s:is>
          <s:t>Interpretatie van onduidelijke notitie</s:t>
        </s:is>
      </s:c>
    </s:row>
    <s:row r="34">
      <s:c r="A34" s="8" t="inlineStr">
        <s:is>
          <s:t>Afhaalpunt: directe kosten</s:t>
        </s:is>
      </s:c>
      <s:c r="B34" s="14" t="n">
        <s:v>0.2</s:v>
      </s:c>
      <s:c r="C34" s="10" t="inlineStr">
        <s:is>
          <s:t>% dienstomzet</s:t>
        </s:is>
      </s:c>
      <s:c r="D34" s="10" t="inlineStr">
        <s:is>
          <s:t>Fictief</s:t>
        </s:is>
      </s:c>
    </s:row>
    <s:row r="35">
      <s:c r="A35" s="6" t="inlineStr">
        <s:is>
          <s:t>Bagage: omzet per bezette kamermaand</s:t>
        </s:is>
      </s:c>
      <s:c r="B35" s="11" t="n">
        <s:v>3</s:v>
      </s:c>
      <s:c r="C35" s="12" t="inlineStr">
        <s:is>
          <s:t>EUR</s:t>
        </s:is>
      </s:c>
      <s:c r="D35" s="12" t="inlineStr">
        <s:is>
          <s:t>Extra dienst uit notities</s:t>
        </s:is>
      </s:c>
    </s:row>
    <s:row r="36">
      <s:c r="A36" s="8" t="inlineStr">
        <s:is>
          <s:t>Bagage: directe kosten</s:t>
        </s:is>
      </s:c>
      <s:c r="B36" s="14" t="n">
        <s:v>0.1</s:v>
      </s:c>
      <s:c r="C36" s="10" t="inlineStr">
        <s:is>
          <s:t>% dienstomzet</s:t>
        </s:is>
      </s:c>
      <s:c r="D36" s="10" t="inlineStr">
        <s:is>
          <s:t>Fictief</s:t>
        </s:is>
      </s:c>
    </s:row>
    <s:row r="37">
      <s:c r="A37" s="6" t="inlineStr">
        <s:is>
          <s:t>Jaarlijkse groei diensttarieven</s:t>
        </s:is>
      </s:c>
      <s:c r="B37" s="13" t="n">
        <s:v>0.02</s:v>
      </s:c>
      <s:c r="C37" s="12" t="inlineStr">
        <s:is>
          <s:t>%</s:t>
        </s:is>
      </s:c>
      <s:c r="D37" s="12" t="inlineStr">
        <s:is>
          <s:t>Fictief</s:t>
        </s:is>
      </s:c>
    </s:row>
    <s:row r="38">
      <s:c r="A38" s="8" t="inlineStr">
        <s:is>
          <s:t>Discontovoet</s:t>
        </s:is>
      </s:c>
      <s:c r="B38" s="14" t="n">
        <s:v>0.07000000000000001</s:v>
      </s:c>
      <s:c r="C38" s="10" t="inlineStr">
        <s:is>
          <s:t>%</s:t>
        </s:is>
      </s:c>
      <s:c r="D38" s="10" t="inlineStr">
        <s:is>
          <s:t>Vereist projectrendement; fictief</s:t>
        </s:is>
      </s:c>
    </s:row>
    <s:row r="39">
      <s:c r="A39" s="6" t="inlineStr">
        <s:is>
          <s:t>Jaarlijkse vastgoedwaardegroei</s:t>
        </s:is>
      </s:c>
      <s:c r="B39" s="13" t="n">
        <s:v>0.01</s:v>
      </s:c>
      <s:c r="C39" s="12" t="inlineStr">
        <s:is>
          <s:t>%</s:t>
        </s:is>
      </s:c>
      <s:c r="D39" s="12" t="inlineStr">
        <s:is>
          <s:t>Fictief; geen taxatie</s:t>
        </s:is>
      </s:c>
    </s:row>
    <s:row r="40">
      <s:c r="A40" s="8" t="inlineStr">
        <s:is>
          <s:t>Verkoopkosten</s:t>
        </s:is>
      </s:c>
      <s:c r="B40" s="14" t="n">
        <s:v>0.03</s:v>
      </s:c>
      <s:c r="C40" s="10" t="inlineStr">
        <s:is>
          <s:t>% verkoopwaarde</s:t>
        </s:is>
      </s:c>
      <s:c r="D40" s="10" t="inlineStr">
        <s:is>
          <s:t>Fictief</s:t>
        </s:is>
      </s:c>
    </s:row>
  </s:sheetData>
  <s:dataValidations count="37">
    <s:dataValidation sqref="B4" showDropDown="0" showInputMessage="0" showErrorMessage="1" allowBlank="0" errorTitle="Ongeldige invoer" error="Controleer het toegestane bereik." type="whole" errorStyle="stop" operator="between">
      <s:formula1>1</s:formula1>
      <s:formula2>3</s:formula2>
    </s:dataValidation>
    <s:dataValidation sqref="B5" showDropDown="0" showInputMessage="0" showErrorMessage="1" allowBlank="0" errorTitle="Ongeldige invoer" error="Controleer het toegestane bereik." type="whole" errorStyle="stop" operator="between">
      <s:formula1>1</s:formula1>
      <s:formula2>1000000000</s:formula2>
    </s:dataValidation>
    <s:dataValidation sqref="B6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7" showDropDown="0" showInputMessage="0" showErrorMessage="1" allowBlank="0" errorTitle="Ongeldige invoer" error="Controleer het toegestane bereik." type="decimal" errorStyle="stop" operator="between">
      <s:formula1>-0.99</s:formula1>
      <s:formula2>1000000000</s:formula2>
    </s:dataValidation>
    <s:dataValidation sqref="B8" showDropDown="0" showInputMessage="0" showErrorMessage="1" allowBlank="0" errorTitle="Ongeldige invoer" error="Controleer het toegestane bereik." type="whole" errorStyle="stop" operator="between">
      <s:formula1>0</s:formula1>
      <s:formula2>12</s:formula2>
    </s:dataValidation>
    <s:dataValidation sqref="B9" showDropDown="0" showInputMessage="0" showErrorMessage="1" allowBlank="0" errorTitle="Ongeldige invoer" error="Controleer het toegestane bereik." type="whole" errorStyle="stop" operator="between">
      <s:formula1>0</s:formula1>
      <s:formula2>12</s:formula2>
    </s:dataValidation>
    <s:dataValidation sqref="B10" showDropDown="0" showInputMessage="0" showErrorMessage="1" allowBlank="0" errorTitle="Ongeldige invoer" error="Controleer het toegestane bereik." type="decimal" errorStyle="stop" operator="between">
      <s:formula1>0</s:formula1>
      <s:formula2>1</s:formula2>
    </s:dataValidation>
    <s:dataValidation sqref="B11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12" showDropDown="0" showInputMessage="0" showErrorMessage="1" allowBlank="0" errorTitle="Ongeldige invoer" error="Controleer het toegestane bereik." type="decimal" errorStyle="stop" operator="between">
      <s:formula1>0</s:formula1>
      <s:formula2>1</s:formula2>
    </s:dataValidation>
    <s:dataValidation sqref="B13" showDropDown="0" showInputMessage="0" showErrorMessage="1" allowBlank="0" errorTitle="Ongeldige invoer" error="Controleer het toegestane bereik." type="whole" errorStyle="stop" operator="between">
      <s:formula1>1</s:formula1>
      <s:formula2>1000000000</s:formula2>
    </s:dataValidation>
    <s:dataValidation sqref="B14" showDropDown="0" showInputMessage="0" showErrorMessage="1" allowBlank="0" errorTitle="Ongeldige invoer" error="Controleer het toegestane bereik." type="decimal" errorStyle="stop" operator="between">
      <s:formula1>-0.99</s:formula1>
      <s:formula2>1000000000</s:formula2>
    </s:dataValidation>
    <s:dataValidation sqref="B15" showDropDown="0" showInputMessage="0" showErrorMessage="1" allowBlank="0" errorTitle="Ongeldige invoer" error="Controleer het toegestane bereik." type="decimal" errorStyle="stop" operator="between">
      <s:formula1>1</s:formula1>
      <s:formula2>1000000000</s:formula2>
    </s:dataValidation>
    <s:dataValidation sqref="B16" showDropDown="0" showInputMessage="0" showErrorMessage="1" allowBlank="0" errorTitle="Ongeldige invoer" error="Controleer het toegestane bereik." type="decimal" errorStyle="stop" operator="between">
      <s:formula1>0</s:formula1>
      <s:formula2>1</s:formula2>
    </s:dataValidation>
    <s:dataValidation sqref="B17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18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19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20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21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22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23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24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25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26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27" showDropDown="0" showInputMessage="0" showErrorMessage="1" allowBlank="0" errorTitle="Ongeldige invoer" error="Controleer het toegestane bereik." type="decimal" errorStyle="stop" operator="between">
      <s:formula1>0</s:formula1>
      <s:formula2>1</s:formula2>
    </s:dataValidation>
    <s:dataValidation sqref="B28" showDropDown="0" showInputMessage="0" showErrorMessage="1" allowBlank="0" errorTitle="Ongeldige invoer" error="Controleer het toegestane bereik." type="decimal" errorStyle="stop" operator="between">
      <s:formula1>-0.99</s:formula1>
      <s:formula2>1000000000</s:formula2>
    </s:dataValidation>
    <s:dataValidation sqref="B29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30" showDropDown="0" showInputMessage="0" showErrorMessage="1" allowBlank="0" errorTitle="Ongeldige invoer" error="Controleer het toegestane bereik." type="decimal" errorStyle="stop" operator="between">
      <s:formula1>0</s:formula1>
      <s:formula2>1</s:formula2>
    </s:dataValidation>
    <s:dataValidation sqref="B31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32" showDropDown="0" showInputMessage="0" showErrorMessage="1" allowBlank="0" errorTitle="Ongeldige invoer" error="Controleer het toegestane bereik." type="decimal" errorStyle="stop" operator="between">
      <s:formula1>0</s:formula1>
      <s:formula2>1</s:formula2>
    </s:dataValidation>
    <s:dataValidation sqref="B33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34" showDropDown="0" showInputMessage="0" showErrorMessage="1" allowBlank="0" errorTitle="Ongeldige invoer" error="Controleer het toegestane bereik." type="decimal" errorStyle="stop" operator="between">
      <s:formula1>0</s:formula1>
      <s:formula2>1</s:formula2>
    </s:dataValidation>
    <s:dataValidation sqref="B35" showDropDown="0" showInputMessage="0" showErrorMessage="1" allowBlank="0" errorTitle="Ongeldige invoer" error="Controleer het toegestane bereik." type="decimal" errorStyle="stop" operator="between">
      <s:formula1>0</s:formula1>
      <s:formula2>1000000000</s:formula2>
    </s:dataValidation>
    <s:dataValidation sqref="B36" showDropDown="0" showInputMessage="0" showErrorMessage="1" allowBlank="0" errorTitle="Ongeldige invoer" error="Controleer het toegestane bereik." type="decimal" errorStyle="stop" operator="between">
      <s:formula1>0</s:formula1>
      <s:formula2>1</s:formula2>
    </s:dataValidation>
    <s:dataValidation sqref="B37" showDropDown="0" showInputMessage="0" showErrorMessage="1" allowBlank="0" errorTitle="Ongeldige invoer" error="Controleer het toegestane bereik." type="decimal" errorStyle="stop" operator="between">
      <s:formula1>-0.99</s:formula1>
      <s:formula2>1000000000</s:formula2>
    </s:dataValidation>
    <s:dataValidation sqref="B38" showDropDown="0" showInputMessage="0" showErrorMessage="1" allowBlank="0" errorTitle="Ongeldige invoer" error="Controleer het toegestane bereik." type="decimal" errorStyle="stop" operator="between">
      <s:formula1>0</s:formula1>
      <s:formula2>1</s:formula2>
    </s:dataValidation>
    <s:dataValidation sqref="B39" showDropDown="0" showInputMessage="0" showErrorMessage="1" allowBlank="0" errorTitle="Ongeldige invoer" error="Controleer het toegestane bereik." type="decimal" errorStyle="stop" operator="between">
      <s:formula1>-0.99</s:formula1>
      <s:formula2>1000000000</s:formula2>
    </s:dataValidation>
    <s:dataValidation sqref="B40" showDropDown="0" showInputMessage="0" showErrorMessage="1" allowBlank="0" errorTitle="Ongeldige invoer" error="Controleer het toegestane bereik." type="decimal" errorStyle="stop" operator="between">
      <s:formula1>0</s:formula1>
      <s:formula2>1</s:formula2>
    </s:dataValidation>
  </s:dataValidations>
  <s:printOptions horizontalCentered="1"/>
  <s:pageMargins left="0.75" right="0.75" top="1" bottom="1" header="0.5" footer="0.5"/>
  <s:pageSetup orientation="landscape" paperSize="8" fitToHeight="0" fitToWidth="1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B23"/>
  <s:sheetViews>
    <s:sheetView showGridLines="0" workbookViewId="0">
      <s:pane xSplit="1" ySplit="3" topLeftCell="B4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5" customWidth="1" min="1" max="1"/>
    <s:col width="30" customWidth="1" min="2" max="2"/>
  </s:cols>
  <s:sheetData>
    <s:row r="1" ht="32" customHeight="1">
      <s:c r="A1" s="5" t="inlineStr">
        <s:is>
          <s:t>Studentenhuisvesting | investeringsbeslissing</s:t>
        </s:is>
      </s:c>
      <s:c r="B1" s="5" t="n"/>
    </s:row>
    <s:row r="2">
      <s:c r="A2" s="6" t="n"/>
      <s:c r="B2" s="6" t="n"/>
    </s:row>
    <s:row r="3">
      <s:c r="A3" s="7" t="inlineStr">
        <s:is>
          <s:t>Scenario</s:t>
        </s:is>
      </s:c>
      <s:c r="B3" s="15">
        <s:f>Invoer!$B$4</s:f>
        <s:v>2</s:v>
      </s:c>
    </s:row>
    <s:row r="4">
      <s:c r="A4" s="8" t="inlineStr">
        <s:is>
          <s:t>Studentmaanden</s:t>
        </s:is>
      </s:c>
      <s:c r="B4" s="16">
        <s:f>IF(B3=1,12,IF(B3=2,8,Invoer!$B$8))</s:f>
        <s:v>8</s:v>
      </s:c>
    </s:row>
    <s:row r="5">
      <s:c r="A5" s="6" t="inlineStr">
        <s:is>
          <s:t>Airbnb-maanden</s:t>
        </s:is>
      </s:c>
      <s:c r="B5" s="17">
        <s:f>IF(B3=1,0,IF(B3=2,2,Invoer!$B$9))</s:f>
        <s:v>2</s:v>
      </s:c>
    </s:row>
    <s:row r="6">
      <s:c r="A6" s="8" t="inlineStr">
        <s:is>
          <s:t>Niet ingeplande maanden</s:t>
        </s:is>
      </s:c>
      <s:c r="B6" s="16">
        <s:f>12-B4-B5</s:f>
        <s:v>2</s:v>
      </s:c>
    </s:row>
    <s:row r="7">
      <s:c r="A7" s="6" t="inlineStr">
        <s:is>
          <s:t>Controle kalender</s:t>
        </s:is>
      </s:c>
      <s:c r="B7" s="12" t="str">
        <s:f>IF(AND(B4&gt;=0,B5&gt;=0,B4+B5&lt;=12),"OK","FOUT: totaal &gt; 12 maanden")</s:f>
        <s:v>OK</s:v>
      </s:c>
    </s:row>
    <s:row r="8">
      <s:c r="A8" s="8" t="inlineStr">
        <s:is>
          <s:t>Initiële investering</s:t>
        </s:is>
      </s:c>
      <s:c r="B8" s="10">
        <s:f>Invoer!$B$18+Invoer!$B$19+Invoer!$B$20+Invoer!$B$21+Invoer!$B$22+Invoer!$B$23</s:f>
        <s:v>635000</s:v>
      </s:c>
    </s:row>
    <s:row r="9">
      <s:c r="A9" s="6" t="inlineStr">
        <s:is>
          <s:t>Omzet jaar 1</s:t>
        </s:is>
      </s:c>
      <s:c r="B9" s="12">
        <s:f>Kasstromen!C13</s:f>
        <s:v>75240.0</s:v>
      </s:c>
    </s:row>
    <s:row r="10">
      <s:c r="A10" s="8" t="inlineStr">
        <s:is>
          <s:t>Kosten jaar 1</s:t>
        </s:is>
      </s:c>
      <s:c r="B10" s="10">
        <s:f>Kasstromen!C24</s:f>
        <s:v>29834.8</s:v>
      </s:c>
    </s:row>
    <s:row r="11">
      <s:c r="A11" s="6" t="inlineStr">
        <s:is>
          <s:t>Operationele kasstroom jaar 1</s:t>
        </s:is>
      </s:c>
      <s:c r="B11" s="12">
        <s:f>Kasstromen!C25</s:f>
        <s:v>45405.2</s:v>
      </s:c>
    </s:row>
    <s:row r="12">
      <s:c r="A12" s="8" t="inlineStr">
        <s:is>
          <s:t>Aanvangsrendement</s:t>
        </s:is>
      </s:c>
      <s:c r="B12" s="18">
        <s:f>IFERROR(B11/B8,0)</s:f>
        <s:v>0.07150425196850393</s:v>
      </s:c>
    </s:row>
    <s:row r="13">
      <s:c r="A13" s="6" t="inlineStr">
        <s:is>
          <s:t>Netto contante waarde</s:t>
        </s:is>
      </s:c>
      <s:c r="B13" s="12">
        <s:f>NPV(Invoer!$B$38,Kasstromen!C28:V28)+Kasstromen!B28</s:f>
        <s:v>107911.15882009832</s:v>
      </s:c>
    </s:row>
    <s:row r="14">
      <s:c r="A14" s="8" t="inlineStr">
        <s:is>
          <s:t>Intern rendement (IRR)</s:t>
        </s:is>
      </s:c>
      <s:c r="B14" s="18">
        <s:f>IFERROR(IRR(Kasstromen!B28:V28),"Niet berekenbaar")</s:f>
        <s:v>0.08490839889486568</s:v>
      </s:c>
    </s:row>
    <s:row r="15">
      <s:c r="A15" s="6" t="inlineStr">
        <s:is>
          <s:t>Terugverdientijd incl. verkoop (jaar)</s:t>
        </s:is>
      </s:c>
      <s:c r="B15" s="17">
        <s:f>IFERROR(MATCH(1,Kasstromen!B31:V31,0)-1,"Niet binnen 20 jaar")</s:f>
        <s:v>13</s:v>
      </s:c>
    </s:row>
    <s:row r="16">
      <s:c r="A16" s="8" t="inlineStr">
        <s:is>
          <s:t>Netto verkoopopbrengst jaar 20</s:t>
        </s:is>
      </s:c>
      <s:c r="B16" s="10">
        <s:f>Kasstromen!V27</s:f>
        <s:v>710150.6032497168</s:v>
      </s:c>
    </s:row>
    <s:row r="17">
      <s:c r="A17" s="6" t="inlineStr">
        <s:is>
          <s:t>Rekenhorizon</s:t>
        </s:is>
      </s:c>
      <s:c r="B17" s="17" t="n">
        <s:v>20</s:v>
      </s:c>
    </s:row>
    <s:row r="18">
      <s:c r="A18" s="8" t="n"/>
      <s:c r="B18" s="10" t="n"/>
    </s:row>
    <s:row r="19">
      <s:c r="A19" s="6" t="n"/>
      <s:c r="B19" s="12" t="n"/>
    </s:row>
    <s:row r="20">
      <s:c r="A20" s="8" t="n"/>
      <s:c r="B20" s="10" t="n"/>
    </s:row>
    <s:row r="21">
      <s:c r="A21" s="6" t="inlineStr">
        <s:is>
          <s:t>Let op: fictieve invoer. NCW en IRR omvatten de verkoop aan het einde van jaar 20.</s:t>
        </s:is>
      </s:c>
      <s:c r="B21" s="12" t="n"/>
    </s:row>
    <s:row r="22">
      <s:c r="A22" s="8" t="inlineStr">
        <s:is>
          <s:t>Leegstand verlaagt omzet; vaste kosten lopen door. Kosten staan positief, investering negatief.</s:t>
        </s:is>
      </s:c>
      <s:c r="B22" s="10" t="n"/>
    </s:row>
    <s:row r="23">
      <s:c r="A23" s="6" t="inlineStr">
        <s:is>
          <s:t>Bij een kalenderfout eerst de vrije mix corrigeren; resultaten zijn dan niet bruikbaar.</s:t>
        </s:is>
      </s:c>
      <s:c r="B23" s="12" t="n"/>
    </s:row>
  </s:sheetData>
  <s:conditionalFormatting sqref="B13">
    <s:cfRule type="cellIs" priority="1" operator="lessThan" dxfId="0">
      <s:formula>0</s:formula>
    </s:cfRule>
    <s:cfRule type="cellIs" priority="2" operator="greaterThanOrEqual" dxfId="1">
      <s:formula>0</s:formula>
    </s:cfRule>
  </s:conditionalFormatting>
  <s:printOptions horizontalCentered="1"/>
  <s:pageMargins left="0.75" right="0.75" top="1" bottom="1" header="0.5" footer="0.5"/>
  <s:pageSetup orientation="landscape" paperSize="8" fitToHeight="0" fitToWidth="1"/>
  <s:drawing r:id="rId1"/>
</s:worksheet>
</file>

<file path=xl/worksheets/sheet4.xml><?xml version="1.0" encoding="utf-8"?>
<s:worksheet xmlns:s="http://schemas.openxmlformats.org/spreadsheetml/2006/main">
  <s:sheetPr>
    <s:outlinePr summaryBelow="1" summaryRight="0"/>
    <s:pageSetUpPr fitToPage="1"/>
  </s:sheetPr>
  <s:dimension ref="A1:V31"/>
  <s:sheetViews>
    <s:sheetView showGridLines="0" workbookViewId="0">
      <s:pane xSplit="1" ySplit="3" topLeftCell="B4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5" customWidth="1" min="1" max="1"/>
    <s:col width="19" customWidth="1" min="2" max="2"/>
    <s:col width="19" customWidth="1" min="3" max="3"/>
    <s:col width="19" customWidth="1" min="4" max="4"/>
    <s:col width="19" customWidth="1" min="5" max="5"/>
    <s:col width="19" customWidth="1" min="6" max="6"/>
    <s:col width="19" customWidth="1" min="7" max="7"/>
    <s:col width="19" customWidth="1" min="8" max="8"/>
    <s:col width="19" customWidth="1" min="9" max="9"/>
    <s:col width="19" customWidth="1" min="10" max="10"/>
    <s:col width="19" customWidth="1" min="11" max="11"/>
    <s:col width="19" customWidth="1" min="12" max="12"/>
    <s:col width="19" customWidth="1" min="13" max="13"/>
    <s:col width="19" customWidth="1" min="14" max="14"/>
    <s:col width="19" customWidth="1" min="15" max="15"/>
    <s:col width="19" customWidth="1" min="16" max="16"/>
    <s:col width="19" customWidth="1" min="17" max="17"/>
    <s:col width="19" customWidth="1" min="18" max="18"/>
    <s:col width="19" customWidth="1" min="19" max="19"/>
    <s:col width="19" customWidth="1" min="20" max="20"/>
    <s:col width="19" customWidth="1" min="21" max="21"/>
    <s:col width="19" customWidth="1" min="22" max="22"/>
  </s:cols>
  <s:sheetData>
    <s:row r="1" ht="32" customHeight="1">
      <s:c r="A1" s="5" t="inlineStr">
        <s:is>
          <s:t>Kasstromen | EUR | eindejaarsconventie</s:t>
        </s:is>
      </s:c>
      <s:c r="B1" s="5" t="n"/>
      <s:c r="C1" s="5" t="n"/>
      <s:c r="D1" s="5" t="n"/>
      <s:c r="E1" s="5" t="n"/>
      <s:c r="F1" s="5" t="n"/>
      <s:c r="G1" s="5" t="n"/>
      <s:c r="H1" s="5" t="n"/>
      <s:c r="I1" s="5" t="n"/>
      <s:c r="J1" s="5" t="n"/>
      <s:c r="K1" s="5" t="n"/>
      <s:c r="L1" s="5" t="n"/>
      <s:c r="M1" s="5" t="n"/>
      <s:c r="N1" s="5" t="n"/>
      <s:c r="O1" s="5" t="n"/>
      <s:c r="P1" s="5" t="n"/>
      <s:c r="Q1" s="5" t="n"/>
      <s:c r="R1" s="5" t="n"/>
      <s:c r="S1" s="5" t="n"/>
      <s:c r="T1" s="5" t="n"/>
      <s:c r="U1" s="5" t="n"/>
      <s:c r="V1" s="5" t="n"/>
    </s:row>
    <s:row r="2">
      <s:c r="A2" s="6" t="n"/>
      <s:c r="B2" s="6" t="n"/>
      <s:c r="C2" s="6" t="n"/>
      <s:c r="D2" s="6" t="n"/>
      <s:c r="E2" s="6" t="n"/>
      <s:c r="F2" s="6" t="n"/>
      <s:c r="G2" s="6" t="n"/>
      <s:c r="H2" s="6" t="n"/>
      <s:c r="I2" s="6" t="n"/>
      <s:c r="J2" s="6" t="n"/>
      <s:c r="K2" s="6" t="n"/>
      <s:c r="L2" s="6" t="n"/>
      <s:c r="M2" s="6" t="n"/>
      <s:c r="N2" s="6" t="n"/>
      <s:c r="O2" s="6" t="n"/>
      <s:c r="P2" s="6" t="n"/>
      <s:c r="Q2" s="6" t="n"/>
      <s:c r="R2" s="6" t="n"/>
      <s:c r="S2" s="6" t="n"/>
      <s:c r="T2" s="6" t="n"/>
      <s:c r="U2" s="6" t="n"/>
      <s:c r="V2" s="6" t="n"/>
    </s:row>
    <s:row r="3">
      <s:c r="A3" s="7" t="inlineStr">
        <s:is>
          <s:t>Jaar</s:t>
        </s:is>
      </s:c>
      <s:c r="B3" s="7" t="n">
        <s:v>0</s:v>
      </s:c>
      <s:c r="C3" s="7" t="n">
        <s:v>1</s:v>
      </s:c>
      <s:c r="D3" s="7" t="n">
        <s:v>2</s:v>
      </s:c>
      <s:c r="E3" s="7" t="n">
        <s:v>3</s:v>
      </s:c>
      <s:c r="F3" s="7" t="n">
        <s:v>4</s:v>
      </s:c>
      <s:c r="G3" s="7" t="n">
        <s:v>5</s:v>
      </s:c>
      <s:c r="H3" s="7" t="n">
        <s:v>6</s:v>
      </s:c>
      <s:c r="I3" s="7" t="n">
        <s:v>7</s:v>
      </s:c>
      <s:c r="J3" s="7" t="n">
        <s:v>8</s:v>
      </s:c>
      <s:c r="K3" s="7" t="n">
        <s:v>9</s:v>
      </s:c>
      <s:c r="L3" s="7" t="n">
        <s:v>10</s:v>
      </s:c>
      <s:c r="M3" s="7" t="n">
        <s:v>11</s:v>
      </s:c>
      <s:c r="N3" s="7" t="n">
        <s:v>12</s:v>
      </s:c>
      <s:c r="O3" s="7" t="n">
        <s:v>13</s:v>
      </s:c>
      <s:c r="P3" s="7" t="n">
        <s:v>14</s:v>
      </s:c>
      <s:c r="Q3" s="7" t="n">
        <s:v>15</s:v>
      </s:c>
      <s:c r="R3" s="7" t="n">
        <s:v>16</s:v>
      </s:c>
      <s:c r="S3" s="7" t="n">
        <s:v>17</s:v>
      </s:c>
      <s:c r="T3" s="7" t="n">
        <s:v>18</s:v>
      </s:c>
      <s:c r="U3" s="7" t="n">
        <s:v>19</s:v>
      </s:c>
      <s:c r="V3" s="7" t="n">
        <s:v>20</s:v>
      </s:c>
    </s:row>
    <s:row r="4">
      <s:c r="A4" s="8" t="inlineStr">
        <s:is>
          <s:t>Bezet: student-kamermaanden</s:t>
        </s:is>
      </s:c>
      <s:c r="B4" s="10" t="n">
        <s:v>0</s:v>
      </s:c>
      <s:c r="C4" s="10">
        <s:f>Invoer!$B$5*Samenvatting!$B$4*Invoer!$B$10</s:f>
        <s:v>76.0</s:v>
      </s:c>
      <s:c r="D4" s="10">
        <s:f>Invoer!$B$5*Samenvatting!$B$4*Invoer!$B$10</s:f>
        <s:v>76.0</s:v>
      </s:c>
      <s:c r="E4" s="10">
        <s:f>Invoer!$B$5*Samenvatting!$B$4*Invoer!$B$10</s:f>
        <s:v>76.0</s:v>
      </s:c>
      <s:c r="F4" s="10">
        <s:f>Invoer!$B$5*Samenvatting!$B$4*Invoer!$B$10</s:f>
        <s:v>76.0</s:v>
      </s:c>
      <s:c r="G4" s="10">
        <s:f>Invoer!$B$5*Samenvatting!$B$4*Invoer!$B$10</s:f>
        <s:v>76.0</s:v>
      </s:c>
      <s:c r="H4" s="10">
        <s:f>Invoer!$B$5*Samenvatting!$B$4*Invoer!$B$10</s:f>
        <s:v>76.0</s:v>
      </s:c>
      <s:c r="I4" s="10">
        <s:f>Invoer!$B$5*Samenvatting!$B$4*Invoer!$B$10</s:f>
        <s:v>76.0</s:v>
      </s:c>
      <s:c r="J4" s="10">
        <s:f>Invoer!$B$5*Samenvatting!$B$4*Invoer!$B$10</s:f>
        <s:v>76.0</s:v>
      </s:c>
      <s:c r="K4" s="10">
        <s:f>Invoer!$B$5*Samenvatting!$B$4*Invoer!$B$10</s:f>
        <s:v>76.0</s:v>
      </s:c>
      <s:c r="L4" s="10">
        <s:f>Invoer!$B$5*Samenvatting!$B$4*Invoer!$B$10</s:f>
        <s:v>76.0</s:v>
      </s:c>
      <s:c r="M4" s="10">
        <s:f>Invoer!$B$5*Samenvatting!$B$4*Invoer!$B$10</s:f>
        <s:v>76.0</s:v>
      </s:c>
      <s:c r="N4" s="10">
        <s:f>Invoer!$B$5*Samenvatting!$B$4*Invoer!$B$10</s:f>
        <s:v>76.0</s:v>
      </s:c>
      <s:c r="O4" s="10">
        <s:f>Invoer!$B$5*Samenvatting!$B$4*Invoer!$B$10</s:f>
        <s:v>76.0</s:v>
      </s:c>
      <s:c r="P4" s="10">
        <s:f>Invoer!$B$5*Samenvatting!$B$4*Invoer!$B$10</s:f>
        <s:v>76.0</s:v>
      </s:c>
      <s:c r="Q4" s="10">
        <s:f>Invoer!$B$5*Samenvatting!$B$4*Invoer!$B$10</s:f>
        <s:v>76.0</s:v>
      </s:c>
      <s:c r="R4" s="10">
        <s:f>Invoer!$B$5*Samenvatting!$B$4*Invoer!$B$10</s:f>
        <s:v>76.0</s:v>
      </s:c>
      <s:c r="S4" s="10">
        <s:f>Invoer!$B$5*Samenvatting!$B$4*Invoer!$B$10</s:f>
        <s:v>76.0</s:v>
      </s:c>
      <s:c r="T4" s="10">
        <s:f>Invoer!$B$5*Samenvatting!$B$4*Invoer!$B$10</s:f>
        <s:v>76.0</s:v>
      </s:c>
      <s:c r="U4" s="10">
        <s:f>Invoer!$B$5*Samenvatting!$B$4*Invoer!$B$10</s:f>
        <s:v>76.0</s:v>
      </s:c>
      <s:c r="V4" s="10">
        <s:f>Invoer!$B$5*Samenvatting!$B$4*Invoer!$B$10</s:f>
        <s:v>76.0</s:v>
      </s:c>
    </s:row>
    <s:row r="5">
      <s:c r="A5" s="6" t="inlineStr">
        <s:is>
          <s:t>Bezet: Airbnb-kamernachten</s:t>
        </s:is>
      </s:c>
      <s:c r="B5" s="12" t="n">
        <s:v>0</s:v>
      </s:c>
      <s:c r="C5" s="12">
        <s:f>Invoer!$B$5*Samenvatting!$B$5*Invoer!$B$13*Invoer!$B$12</s:f>
        <s:v>360.0</s:v>
      </s:c>
      <s:c r="D5" s="12">
        <s:f>Invoer!$B$5*Samenvatting!$B$5*Invoer!$B$13*Invoer!$B$12</s:f>
        <s:v>360.0</s:v>
      </s:c>
      <s:c r="E5" s="12">
        <s:f>Invoer!$B$5*Samenvatting!$B$5*Invoer!$B$13*Invoer!$B$12</s:f>
        <s:v>360.0</s:v>
      </s:c>
      <s:c r="F5" s="12">
        <s:f>Invoer!$B$5*Samenvatting!$B$5*Invoer!$B$13*Invoer!$B$12</s:f>
        <s:v>360.0</s:v>
      </s:c>
      <s:c r="G5" s="12">
        <s:f>Invoer!$B$5*Samenvatting!$B$5*Invoer!$B$13*Invoer!$B$12</s:f>
        <s:v>360.0</s:v>
      </s:c>
      <s:c r="H5" s="12">
        <s:f>Invoer!$B$5*Samenvatting!$B$5*Invoer!$B$13*Invoer!$B$12</s:f>
        <s:v>360.0</s:v>
      </s:c>
      <s:c r="I5" s="12">
        <s:f>Invoer!$B$5*Samenvatting!$B$5*Invoer!$B$13*Invoer!$B$12</s:f>
        <s:v>360.0</s:v>
      </s:c>
      <s:c r="J5" s="12">
        <s:f>Invoer!$B$5*Samenvatting!$B$5*Invoer!$B$13*Invoer!$B$12</s:f>
        <s:v>360.0</s:v>
      </s:c>
      <s:c r="K5" s="12">
        <s:f>Invoer!$B$5*Samenvatting!$B$5*Invoer!$B$13*Invoer!$B$12</s:f>
        <s:v>360.0</s:v>
      </s:c>
      <s:c r="L5" s="12">
        <s:f>Invoer!$B$5*Samenvatting!$B$5*Invoer!$B$13*Invoer!$B$12</s:f>
        <s:v>360.0</s:v>
      </s:c>
      <s:c r="M5" s="12">
        <s:f>Invoer!$B$5*Samenvatting!$B$5*Invoer!$B$13*Invoer!$B$12</s:f>
        <s:v>360.0</s:v>
      </s:c>
      <s:c r="N5" s="12">
        <s:f>Invoer!$B$5*Samenvatting!$B$5*Invoer!$B$13*Invoer!$B$12</s:f>
        <s:v>360.0</s:v>
      </s:c>
      <s:c r="O5" s="12">
        <s:f>Invoer!$B$5*Samenvatting!$B$5*Invoer!$B$13*Invoer!$B$12</s:f>
        <s:v>360.0</s:v>
      </s:c>
      <s:c r="P5" s="12">
        <s:f>Invoer!$B$5*Samenvatting!$B$5*Invoer!$B$13*Invoer!$B$12</s:f>
        <s:v>360.0</s:v>
      </s:c>
      <s:c r="Q5" s="12">
        <s:f>Invoer!$B$5*Samenvatting!$B$5*Invoer!$B$13*Invoer!$B$12</s:f>
        <s:v>360.0</s:v>
      </s:c>
      <s:c r="R5" s="12">
        <s:f>Invoer!$B$5*Samenvatting!$B$5*Invoer!$B$13*Invoer!$B$12</s:f>
        <s:v>360.0</s:v>
      </s:c>
      <s:c r="S5" s="12">
        <s:f>Invoer!$B$5*Samenvatting!$B$5*Invoer!$B$13*Invoer!$B$12</s:f>
        <s:v>360.0</s:v>
      </s:c>
      <s:c r="T5" s="12">
        <s:f>Invoer!$B$5*Samenvatting!$B$5*Invoer!$B$13*Invoer!$B$12</s:f>
        <s:v>360.0</s:v>
      </s:c>
      <s:c r="U5" s="12">
        <s:f>Invoer!$B$5*Samenvatting!$B$5*Invoer!$B$13*Invoer!$B$12</s:f>
        <s:v>360.0</s:v>
      </s:c>
      <s:c r="V5" s="12">
        <s:f>Invoer!$B$5*Samenvatting!$B$5*Invoer!$B$13*Invoer!$B$12</s:f>
        <s:v>360.0</s:v>
      </s:c>
    </s:row>
    <s:row r="6">
      <s:c r="A6" s="8" t="inlineStr">
        <s:is>
          <s:t>Bezet: totale kamermaanden</s:t>
        </s:is>
      </s:c>
      <s:c r="B6" s="10" t="n">
        <s:v>0</s:v>
      </s:c>
      <s:c r="C6" s="10">
        <s:f>C4+C5/Invoer!$B$13</s:f>
        <s:v>87.99999999999999</s:v>
      </s:c>
      <s:c r="D6" s="10">
        <s:f>D4+D5/Invoer!$B$13</s:f>
        <s:v>87.99999999999999</s:v>
      </s:c>
      <s:c r="E6" s="10">
        <s:f>E4+E5/Invoer!$B$13</s:f>
        <s:v>87.99999999999999</s:v>
      </s:c>
      <s:c r="F6" s="10">
        <s:f>F4+F5/Invoer!$B$13</s:f>
        <s:v>87.99999999999999</s:v>
      </s:c>
      <s:c r="G6" s="10">
        <s:f>G4+G5/Invoer!$B$13</s:f>
        <s:v>87.99999999999999</s:v>
      </s:c>
      <s:c r="H6" s="10">
        <s:f>H4+H5/Invoer!$B$13</s:f>
        <s:v>87.99999999999999</s:v>
      </s:c>
      <s:c r="I6" s="10">
        <s:f>I4+I5/Invoer!$B$13</s:f>
        <s:v>87.99999999999999</s:v>
      </s:c>
      <s:c r="J6" s="10">
        <s:f>J4+J5/Invoer!$B$13</s:f>
        <s:v>87.99999999999999</s:v>
      </s:c>
      <s:c r="K6" s="10">
        <s:f>K4+K5/Invoer!$B$13</s:f>
        <s:v>87.99999999999999</s:v>
      </s:c>
      <s:c r="L6" s="10">
        <s:f>L4+L5/Invoer!$B$13</s:f>
        <s:v>87.99999999999999</s:v>
      </s:c>
      <s:c r="M6" s="10">
        <s:f>M4+M5/Invoer!$B$13</s:f>
        <s:v>87.99999999999999</s:v>
      </s:c>
      <s:c r="N6" s="10">
        <s:f>N4+N5/Invoer!$B$13</s:f>
        <s:v>87.99999999999999</s:v>
      </s:c>
      <s:c r="O6" s="10">
        <s:f>O4+O5/Invoer!$B$13</s:f>
        <s:v>87.99999999999999</s:v>
      </s:c>
      <s:c r="P6" s="10">
        <s:f>P4+P5/Invoer!$B$13</s:f>
        <s:v>87.99999999999999</s:v>
      </s:c>
      <s:c r="Q6" s="10">
        <s:f>Q4+Q5/Invoer!$B$13</s:f>
        <s:v>87.99999999999999</s:v>
      </s:c>
      <s:c r="R6" s="10">
        <s:f>R4+R5/Invoer!$B$13</s:f>
        <s:v>87.99999999999999</s:v>
      </s:c>
      <s:c r="S6" s="10">
        <s:f>S4+S5/Invoer!$B$13</s:f>
        <s:v>87.99999999999999</s:v>
      </s:c>
      <s:c r="T6" s="10">
        <s:f>T4+T5/Invoer!$B$13</s:f>
        <s:v>87.99999999999999</s:v>
      </s:c>
      <s:c r="U6" s="10">
        <s:f>U4+U5/Invoer!$B$13</s:f>
        <s:v>87.99999999999999</s:v>
      </s:c>
      <s:c r="V6" s="10">
        <s:f>V4+V5/Invoer!$B$13</s:f>
        <s:v>87.99999999999999</s:v>
      </s:c>
    </s:row>
    <s:row r="7">
      <s:c r="A7" s="6" t="inlineStr">
        <s:is>
          <s:t>Studentenhuur</s:t>
        </s:is>
      </s:c>
      <s:c r="B7" s="12" t="n">
        <s:v>0</s:v>
      </s:c>
      <s:c r="C7" s="12">
        <s:f>C4*Invoer!$B$6*(1+Invoer!$B$7)^(C$3-1)</s:f>
        <s:v>45600.0</s:v>
      </s:c>
      <s:c r="D7" s="12">
        <s:f>D4*Invoer!$B$6*(1+Invoer!$B$7)^(D$3-1)</s:f>
        <s:v>46512.0</s:v>
      </s:c>
      <s:c r="E7" s="12">
        <s:f>E4*Invoer!$B$6*(1+Invoer!$B$7)^(E$3-1)</s:f>
        <s:v>47442.24</s:v>
      </s:c>
      <s:c r="F7" s="12">
        <s:f>F4*Invoer!$B$6*(1+Invoer!$B$7)^(F$3-1)</s:f>
        <s:v>48391.084800000004</s:v>
      </s:c>
      <s:c r="G7" s="12">
        <s:f>G4*Invoer!$B$6*(1+Invoer!$B$7)^(G$3-1)</s:f>
        <s:v>49358.906495999996</s:v>
      </s:c>
      <s:c r="H7" s="12">
        <s:f>H4*Invoer!$B$6*(1+Invoer!$B$7)^(H$3-1)</s:f>
        <s:v>50346.084625920004</s:v>
      </s:c>
      <s:c r="I7" s="12">
        <s:f>I4*Invoer!$B$6*(1+Invoer!$B$7)^(I$3-1)</s:f>
        <s:v>51353.006318438405</s:v>
      </s:c>
      <s:c r="J7" s="12">
        <s:f>J4*Invoer!$B$6*(1+Invoer!$B$7)^(J$3-1)</s:f>
        <s:v>52380.06644480717</s:v>
      </s:c>
      <s:c r="K7" s="12">
        <s:f>K4*Invoer!$B$6*(1+Invoer!$B$7)^(K$3-1)</s:f>
        <s:v>53427.66777370332</s:v>
      </s:c>
      <s:c r="L7" s="12">
        <s:f>L4*Invoer!$B$6*(1+Invoer!$B$7)^(L$3-1)</s:f>
        <s:v>54496.221129177386</s:v>
      </s:c>
      <s:c r="M7" s="12">
        <s:f>M4*Invoer!$B$6*(1+Invoer!$B$7)^(M$3-1)</s:f>
        <s:v>55586.145551760936</s:v>
      </s:c>
      <s:c r="N7" s="12">
        <s:f>N4*Invoer!$B$6*(1+Invoer!$B$7)^(N$3-1)</s:f>
        <s:v>56697.868462796156</s:v>
      </s:c>
      <s:c r="O7" s="12">
        <s:f>O4*Invoer!$B$6*(1+Invoer!$B$7)^(O$3-1)</s:f>
        <s:v>57831.825832052076</s:v>
      </s:c>
      <s:c r="P7" s="12">
        <s:f>P4*Invoer!$B$6*(1+Invoer!$B$7)^(P$3-1)</s:f>
        <s:v>58988.46234869312</s:v>
      </s:c>
      <s:c r="Q7" s="12">
        <s:f>Q4*Invoer!$B$6*(1+Invoer!$B$7)^(Q$3-1)</s:f>
        <s:v>60168.23159566698</s:v>
      </s:c>
      <s:c r="R7" s="12">
        <s:f>R4*Invoer!$B$6*(1+Invoer!$B$7)^(R$3-1)</s:f>
        <s:v>61371.596227580325</s:v>
      </s:c>
      <s:c r="S7" s="12">
        <s:f>S4*Invoer!$B$6*(1+Invoer!$B$7)^(S$3-1)</s:f>
        <s:v>62599.02815213193</s:v>
      </s:c>
      <s:c r="T7" s="12">
        <s:f>T4*Invoer!$B$6*(1+Invoer!$B$7)^(T$3-1)</s:f>
        <s:v>63851.008715174576</s:v>
      </s:c>
      <s:c r="U7" s="12">
        <s:f>U4*Invoer!$B$6*(1+Invoer!$B$7)^(U$3-1)</s:f>
        <s:v>65128.02888947807</s:v>
      </s:c>
      <s:c r="V7" s="12">
        <s:f>V4*Invoer!$B$6*(1+Invoer!$B$7)^(V$3-1)</s:f>
        <s:v>66430.58946726762</s:v>
      </s:c>
    </s:row>
    <s:row r="8">
      <s:c r="A8" s="8" t="inlineStr">
        <s:is>
          <s:t>Airbnb-overnachtingen</s:t>
        </s:is>
      </s:c>
      <s:c r="B8" s="10" t="n">
        <s:v>0</s:v>
      </s:c>
      <s:c r="C8" s="10">
        <s:f>C5*Invoer!$B$11*(1+Invoer!$B$14)^(C$3-1)</s:f>
        <s:v>27000.0</s:v>
      </s:c>
      <s:c r="D8" s="10">
        <s:f>D5*Invoer!$B$11*(1+Invoer!$B$14)^(D$3-1)</s:f>
        <s:v>27540.0</s:v>
      </s:c>
      <s:c r="E8" s="10">
        <s:f>E5*Invoer!$B$11*(1+Invoer!$B$14)^(E$3-1)</s:f>
        <s:v>28090.8</s:v>
      </s:c>
      <s:c r="F8" s="10">
        <s:f>F5*Invoer!$B$11*(1+Invoer!$B$14)^(F$3-1)</s:f>
        <s:v>28652.616000000005</s:v>
      </s:c>
      <s:c r="G8" s="10">
        <s:f>G5*Invoer!$B$11*(1+Invoer!$B$14)^(G$3-1)</s:f>
        <s:v>29225.66832</s:v>
      </s:c>
      <s:c r="H8" s="10">
        <s:f>H5*Invoer!$B$11*(1+Invoer!$B$14)^(H$3-1)</s:f>
        <s:v>29810.1816864</s:v>
      </s:c>
      <s:c r="I8" s="10">
        <s:f>I5*Invoer!$B$11*(1+Invoer!$B$14)^(I$3-1)</s:f>
        <s:v>30406.385320128004</s:v>
      </s:c>
      <s:c r="J8" s="10">
        <s:f>J5*Invoer!$B$11*(1+Invoer!$B$14)^(J$3-1)</s:f>
        <s:v>31014.51302653056</s:v>
      </s:c>
      <s:c r="K8" s="10">
        <s:f>K5*Invoer!$B$11*(1+Invoer!$B$14)^(K$3-1)</s:f>
        <s:v>31634.803287061175</s:v>
      </s:c>
      <s:c r="L8" s="10">
        <s:f>L5*Invoer!$B$11*(1+Invoer!$B$14)^(L$3-1)</s:f>
        <s:v>32267.4993528024</s:v>
      </s:c>
      <s:c r="M8" s="10">
        <s:f>M5*Invoer!$B$11*(1+Invoer!$B$14)^(M$3-1)</s:f>
        <s:v>32912.84933985845</s:v>
      </s:c>
      <s:c r="N8" s="10">
        <s:f>N5*Invoer!$B$11*(1+Invoer!$B$14)^(N$3-1)</s:f>
        <s:v>33571.106326655616</s:v>
      </s:c>
      <s:c r="O8" s="10">
        <s:f>O5*Invoer!$B$11*(1+Invoer!$B$14)^(O$3-1)</s:f>
        <s:v>34242.52845318873</s:v>
      </s:c>
      <s:c r="P8" s="10">
        <s:f>P5*Invoer!$B$11*(1+Invoer!$B$14)^(P$3-1)</s:f>
        <s:v>34927.379022252506</s:v>
      </s:c>
      <s:c r="Q8" s="10">
        <s:f>Q5*Invoer!$B$11*(1+Invoer!$B$14)^(Q$3-1)</s:f>
        <s:v>35625.92660269755</s:v>
      </s:c>
      <s:c r="R8" s="10">
        <s:f>R5*Invoer!$B$11*(1+Invoer!$B$14)^(R$3-1)</s:f>
        <s:v>36338.445134751506</s:v>
      </s:c>
      <s:c r="S8" s="10">
        <s:f>S5*Invoer!$B$11*(1+Invoer!$B$14)^(S$3-1)</s:f>
        <s:v>37065.21403744654</s:v>
      </s:c>
      <s:c r="T8" s="10">
        <s:f>T5*Invoer!$B$11*(1+Invoer!$B$14)^(T$3-1)</s:f>
        <s:v>37806.51831819547</s:v>
      </s:c>
      <s:c r="U8" s="10">
        <s:f>U5*Invoer!$B$11*(1+Invoer!$B$14)^(U$3-1)</s:f>
        <s:v>38562.64868455938</s:v>
      </s:c>
      <s:c r="V8" s="10">
        <s:f>V5*Invoer!$B$11*(1+Invoer!$B$14)^(V$3-1)</s:f>
        <s:v>39333.901658250565</s:v>
      </s:c>
    </s:row>
    <s:row r="9">
      <s:c r="A9" s="6" t="inlineStr">
        <s:is>
          <s:t>Wasdiensten</s:t>
        </s:is>
      </s:c>
      <s:c r="B9" s="12" t="n">
        <s:v>0</s:v>
      </s:c>
      <s:c r="C9" s="12">
        <s:f>C6*Invoer!$B$29*(1+Invoer!$B$37)^(C$3-1)</s:f>
        <s:v>879.9999999999999</s:v>
      </s:c>
      <s:c r="D9" s="12">
        <s:f>D6*Invoer!$B$29*(1+Invoer!$B$37)^(D$3-1)</s:f>
        <s:v>897.5999999999999</s:v>
      </s:c>
      <s:c r="E9" s="12">
        <s:f>E6*Invoer!$B$29*(1+Invoer!$B$37)^(E$3-1)</s:f>
        <s:v>915.5519999999999</s:v>
      </s:c>
      <s:c r="F9" s="12">
        <s:f>F6*Invoer!$B$29*(1+Invoer!$B$37)^(F$3-1)</s:f>
        <s:v>933.8630400000001</s:v>
      </s:c>
      <s:c r="G9" s="12">
        <s:f>G6*Invoer!$B$29*(1+Invoer!$B$37)^(G$3-1)</s:f>
        <s:v>952.5403007999998</s:v>
      </s:c>
      <s:c r="H9" s="12">
        <s:f>H6*Invoer!$B$29*(1+Invoer!$B$37)^(H$3-1)</s:f>
        <s:v>971.5911068159999</s:v>
      </s:c>
      <s:c r="I9" s="12">
        <s:f>I6*Invoer!$B$29*(1+Invoer!$B$37)^(I$3-1)</s:f>
        <s:v>991.02292895232</s:v>
      </s:c>
      <s:c r="J9" s="12">
        <s:f>J6*Invoer!$B$29*(1+Invoer!$B$37)^(J$3-1)</s:f>
        <s:v>1010.8433875313663</s:v>
      </s:c>
      <s:c r="K9" s="12">
        <s:f>K6*Invoer!$B$29*(1+Invoer!$B$37)^(K$3-1)</s:f>
        <s:v>1031.0602552819937</s:v>
      </s:c>
      <s:c r="L9" s="12">
        <s:f>L6*Invoer!$B$29*(1+Invoer!$B$37)^(L$3-1)</s:f>
        <s:v>1051.6814603876337</s:v>
      </s:c>
      <s:c r="M9" s="12">
        <s:f>M6*Invoer!$B$29*(1+Invoer!$B$37)^(M$3-1)</s:f>
        <s:v>1072.7150895953864</s:v>
      </s:c>
      <s:c r="N9" s="12">
        <s:f>N6*Invoer!$B$29*(1+Invoer!$B$37)^(N$3-1)</s:f>
        <s:v>1094.1693913872941</s:v>
      </s:c>
      <s:c r="O9" s="12">
        <s:f>O6*Invoer!$B$29*(1+Invoer!$B$37)^(O$3-1)</s:f>
        <s:v>1116.05277921504</s:v>
      </s:c>
      <s:c r="P9" s="12">
        <s:f>P6*Invoer!$B$29*(1+Invoer!$B$37)^(P$3-1)</s:f>
        <s:v>1138.3738347993408</s:v>
      </s:c>
      <s:c r="Q9" s="12">
        <s:f>Q6*Invoer!$B$29*(1+Invoer!$B$37)^(Q$3-1)</s:f>
        <s:v>1161.1413114953275</s:v>
      </s:c>
      <s:c r="R9" s="12">
        <s:f>R6*Invoer!$B$29*(1+Invoer!$B$37)^(R$3-1)</s:f>
        <s:v>1184.364137725234</s:v>
      </s:c>
      <s:c r="S9" s="12">
        <s:f>S6*Invoer!$B$29*(1+Invoer!$B$37)^(S$3-1)</s:f>
        <s:v>1208.051420479739</s:v>
      </s:c>
      <s:c r="T9" s="12">
        <s:f>T6*Invoer!$B$29*(1+Invoer!$B$37)^(T$3-1)</s:f>
        <s:v>1232.2124488893337</s:v>
      </s:c>
      <s:c r="U9" s="12">
        <s:f>U6*Invoer!$B$29*(1+Invoer!$B$37)^(U$3-1)</s:f>
        <s:v>1256.8566978671204</s:v>
      </s:c>
      <s:c r="V9" s="12">
        <s:f>V6*Invoer!$B$29*(1+Invoer!$B$37)^(V$3-1)</s:f>
        <s:v>1281.9938318244629</s:v>
      </s:c>
    </s:row>
    <s:row r="10">
      <s:c r="A10" s="8" t="inlineStr">
        <s:is>
          <s:t>Schoonmaakdiensten</s:t>
        </s:is>
      </s:c>
      <s:c r="B10" s="10" t="n">
        <s:v>0</s:v>
      </s:c>
      <s:c r="C10" s="10">
        <s:f>C6*Invoer!$B$31*(1+Invoer!$B$37)^(C$3-1)</s:f>
        <s:v>1319.9999999999998</s:v>
      </s:c>
      <s:c r="D10" s="10">
        <s:f>D6*Invoer!$B$31*(1+Invoer!$B$37)^(D$3-1)</s:f>
        <s:v>1346.3999999999999</s:v>
      </s:c>
      <s:c r="E10" s="10">
        <s:f>E6*Invoer!$B$31*(1+Invoer!$B$37)^(E$3-1)</s:f>
        <s:v>1373.3279999999997</s:v>
      </s:c>
      <s:c r="F10" s="10">
        <s:f>F6*Invoer!$B$31*(1+Invoer!$B$37)^(F$3-1)</s:f>
        <s:v>1400.79456</s:v>
      </s:c>
      <s:c r="G10" s="10">
        <s:f>G6*Invoer!$B$31*(1+Invoer!$B$37)^(G$3-1)</s:f>
        <s:v>1428.8104511999998</s:v>
      </s:c>
      <s:c r="H10" s="10">
        <s:f>H6*Invoer!$B$31*(1+Invoer!$B$37)^(H$3-1)</s:f>
        <s:v>1457.3866602239998</s:v>
      </s:c>
      <s:c r="I10" s="10">
        <s:f>I6*Invoer!$B$31*(1+Invoer!$B$37)^(I$3-1)</s:f>
        <s:v>1486.53439342848</s:v>
      </s:c>
      <s:c r="J10" s="10">
        <s:f>J6*Invoer!$B$31*(1+Invoer!$B$37)^(J$3-1)</s:f>
        <s:v>1516.2650812970494</s:v>
      </s:c>
      <s:c r="K10" s="10">
        <s:f>K6*Invoer!$B$31*(1+Invoer!$B$37)^(K$3-1)</s:f>
        <s:v>1546.5903829229906</s:v>
      </s:c>
      <s:c r="L10" s="10">
        <s:f>L6*Invoer!$B$31*(1+Invoer!$B$37)^(L$3-1)</s:f>
        <s:v>1577.5221905814503</s:v>
      </s:c>
      <s:c r="M10" s="10">
        <s:f>M6*Invoer!$B$31*(1+Invoer!$B$37)^(M$3-1)</s:f>
        <s:v>1609.0726343930794</s:v>
      </s:c>
      <s:c r="N10" s="10">
        <s:f>N6*Invoer!$B$31*(1+Invoer!$B$37)^(N$3-1)</s:f>
        <s:v>1641.254087080941</s:v>
      </s:c>
      <s:c r="O10" s="10">
        <s:f>O6*Invoer!$B$31*(1+Invoer!$B$37)^(O$3-1)</s:f>
        <s:v>1674.0791688225597</s:v>
      </s:c>
      <s:c r="P10" s="10">
        <s:f>P6*Invoer!$B$31*(1+Invoer!$B$37)^(P$3-1)</s:f>
        <s:v>1707.5607521990112</s:v>
      </s:c>
      <s:c r="Q10" s="10">
        <s:f>Q6*Invoer!$B$31*(1+Invoer!$B$37)^(Q$3-1)</s:f>
        <s:v>1741.7119672429912</s:v>
      </s:c>
      <s:c r="R10" s="10">
        <s:f>R6*Invoer!$B$31*(1+Invoer!$B$37)^(R$3-1)</s:f>
        <s:v>1776.5462065878512</s:v>
      </s:c>
      <s:c r="S10" s="10">
        <s:f>S6*Invoer!$B$31*(1+Invoer!$B$37)^(S$3-1)</s:f>
        <s:v>1812.0771307196082</s:v>
      </s:c>
      <s:c r="T10" s="10">
        <s:f>T6*Invoer!$B$31*(1+Invoer!$B$37)^(T$3-1)</s:f>
        <s:v>1848.3186733340006</s:v>
      </s:c>
      <s:c r="U10" s="10">
        <s:f>U6*Invoer!$B$31*(1+Invoer!$B$37)^(U$3-1)</s:f>
        <s:v>1885.2850468006804</s:v>
      </s:c>
      <s:c r="V10" s="10">
        <s:f>V6*Invoer!$B$31*(1+Invoer!$B$37)^(V$3-1)</s:f>
        <s:v>1922.9907477366942</s:v>
      </s:c>
    </s:row>
    <s:row r="11">
      <s:c r="A11" s="6" t="inlineStr">
        <s:is>
          <s:t>Afhaalpunt</s:t>
        </s:is>
      </s:c>
      <s:c r="B11" s="12" t="n">
        <s:v>0</s:v>
      </s:c>
      <s:c r="C11" s="12">
        <s:f>C6*Invoer!$B$33*(1+Invoer!$B$37)^(C$3-1)</s:f>
        <s:v>175.99999999999997</s:v>
      </s:c>
      <s:c r="D11" s="12">
        <s:f>D6*Invoer!$B$33*(1+Invoer!$B$37)^(D$3-1)</s:f>
        <s:v>179.51999999999998</s:v>
      </s:c>
      <s:c r="E11" s="12">
        <s:f>E6*Invoer!$B$33*(1+Invoer!$B$37)^(E$3-1)</s:f>
        <s:v>183.11039999999997</s:v>
      </s:c>
      <s:c r="F11" s="12">
        <s:f>F6*Invoer!$B$33*(1+Invoer!$B$37)^(F$3-1)</s:f>
        <s:v>186.772608</s:v>
      </s:c>
      <s:c r="G11" s="12">
        <s:f>G6*Invoer!$B$33*(1+Invoer!$B$37)^(G$3-1)</s:f>
        <s:v>190.50806015999996</s:v>
      </s:c>
      <s:c r="H11" s="12">
        <s:f>H6*Invoer!$B$33*(1+Invoer!$B$37)^(H$3-1)</s:f>
        <s:v>194.31822136319997</s:v>
      </s:c>
      <s:c r="I11" s="12">
        <s:f>I6*Invoer!$B$33*(1+Invoer!$B$37)^(I$3-1)</s:f>
        <s:v>198.20458579046397</s:v>
      </s:c>
      <s:c r="J11" s="12">
        <s:f>J6*Invoer!$B$33*(1+Invoer!$B$37)^(J$3-1)</s:f>
        <s:v>202.16867750627324</s:v>
      </s:c>
      <s:c r="K11" s="12">
        <s:f>K6*Invoer!$B$33*(1+Invoer!$B$37)^(K$3-1)</s:f>
        <s:v>206.21205105639874</s:v>
      </s:c>
      <s:c r="L11" s="12">
        <s:f>L6*Invoer!$B$33*(1+Invoer!$B$37)^(L$3-1)</s:f>
        <s:v>210.3362920775267</s:v>
      </s:c>
      <s:c r="M11" s="12">
        <s:f>M6*Invoer!$B$33*(1+Invoer!$B$37)^(M$3-1)</s:f>
        <s:v>214.54301791907724</s:v>
      </s:c>
      <s:c r="N11" s="12">
        <s:f>N6*Invoer!$B$33*(1+Invoer!$B$37)^(N$3-1)</s:f>
        <s:v>218.8338782774588</s:v>
      </s:c>
      <s:c r="O11" s="12">
        <s:f>O6*Invoer!$B$33*(1+Invoer!$B$37)^(O$3-1)</s:f>
        <s:v>223.21055584300797</s:v>
      </s:c>
      <s:c r="P11" s="12">
        <s:f>P6*Invoer!$B$33*(1+Invoer!$B$37)^(P$3-1)</s:f>
        <s:v>227.67476695986815</s:v>
      </s:c>
      <s:c r="Q11" s="12">
        <s:f>Q6*Invoer!$B$33*(1+Invoer!$B$37)^(Q$3-1)</s:f>
        <s:v>232.2282622990655</s:v>
      </s:c>
      <s:c r="R11" s="12">
        <s:f>R6*Invoer!$B$33*(1+Invoer!$B$37)^(R$3-1)</s:f>
        <s:v>236.87282754504682</s:v>
      </s:c>
      <s:c r="S11" s="12">
        <s:f>S6*Invoer!$B$33*(1+Invoer!$B$37)^(S$3-1)</s:f>
        <s:v>241.61028409594775</s:v>
      </s:c>
      <s:c r="T11" s="12">
        <s:f>T6*Invoer!$B$33*(1+Invoer!$B$37)^(T$3-1)</s:f>
        <s:v>246.44248977786674</s:v>
      </s:c>
      <s:c r="U11" s="12">
        <s:f>U6*Invoer!$B$33*(1+Invoer!$B$37)^(U$3-1)</s:f>
        <s:v>251.37133957342408</s:v>
      </s:c>
      <s:c r="V11" s="12">
        <s:f>V6*Invoer!$B$33*(1+Invoer!$B$37)^(V$3-1)</s:f>
        <s:v>256.39876636489254</s:v>
      </s:c>
    </s:row>
    <s:row r="12">
      <s:c r="A12" s="8" t="inlineStr">
        <s:is>
          <s:t>Bagageopslag</s:t>
        </s:is>
      </s:c>
      <s:c r="B12" s="10" t="n">
        <s:v>0</s:v>
      </s:c>
      <s:c r="C12" s="10">
        <s:f>C6*Invoer!$B$35*(1+Invoer!$B$37)^(C$3-1)</s:f>
        <s:v>263.99999999999994</s:v>
      </s:c>
      <s:c r="D12" s="10">
        <s:f>D6*Invoer!$B$35*(1+Invoer!$B$37)^(D$3-1)</s:f>
        <s:v>269.28</s:v>
      </s:c>
      <s:c r="E12" s="10">
        <s:f>E6*Invoer!$B$35*(1+Invoer!$B$37)^(E$3-1)</s:f>
        <s:v>274.6655999999999</s:v>
      </s:c>
      <s:c r="F12" s="10">
        <s:f>F6*Invoer!$B$35*(1+Invoer!$B$37)^(F$3-1)</s:f>
        <s:v>280.158912</s:v>
      </s:c>
      <s:c r="G12" s="10">
        <s:f>G6*Invoer!$B$35*(1+Invoer!$B$37)^(G$3-1)</s:f>
        <s:v>285.7620902399999</s:v>
      </s:c>
      <s:c r="H12" s="10">
        <s:f>H6*Invoer!$B$35*(1+Invoer!$B$37)^(H$3-1)</s:f>
        <s:v>291.47733204479994</s:v>
      </s:c>
      <s:c r="I12" s="10">
        <s:f>I6*Invoer!$B$35*(1+Invoer!$B$37)^(I$3-1)</s:f>
        <s:v>297.30687868569595</s:v>
      </s:c>
      <s:c r="J12" s="10">
        <s:f>J6*Invoer!$B$35*(1+Invoer!$B$37)^(J$3-1)</s:f>
        <s:v>303.2530162594099</s:v>
      </s:c>
      <s:c r="K12" s="10">
        <s:f>K6*Invoer!$B$35*(1+Invoer!$B$37)^(K$3-1)</s:f>
        <s:v>309.3180765845981</s:v>
      </s:c>
      <s:c r="L12" s="10">
        <s:f>L6*Invoer!$B$35*(1+Invoer!$B$37)^(L$3-1)</s:f>
        <s:v>315.50443811629003</s:v>
      </s:c>
      <s:c r="M12" s="10">
        <s:f>M6*Invoer!$B$35*(1+Invoer!$B$37)^(M$3-1)</s:f>
        <s:v>321.8145268786159</s:v>
      </s:c>
      <s:c r="N12" s="10">
        <s:f>N6*Invoer!$B$35*(1+Invoer!$B$37)^(N$3-1)</s:f>
        <s:v>328.25081741618817</s:v>
      </s:c>
      <s:c r="O12" s="10">
        <s:f>O6*Invoer!$B$35*(1+Invoer!$B$37)^(O$3-1)</s:f>
        <s:v>334.8158337645119</s:v>
      </s:c>
      <s:c r="P12" s="10">
        <s:f>P6*Invoer!$B$35*(1+Invoer!$B$37)^(P$3-1)</s:f>
        <s:v>341.5121504398022</s:v>
      </s:c>
      <s:c r="Q12" s="10">
        <s:f>Q6*Invoer!$B$35*(1+Invoer!$B$37)^(Q$3-1)</s:f>
        <s:v>348.3423934485982</s:v>
      </s:c>
      <s:c r="R12" s="10">
        <s:f>R6*Invoer!$B$35*(1+Invoer!$B$37)^(R$3-1)</s:f>
        <s:v>355.30924131757024</s:v>
      </s:c>
      <s:c r="S12" s="10">
        <s:f>S6*Invoer!$B$35*(1+Invoer!$B$37)^(S$3-1)</s:f>
        <s:v>362.4154261439216</s:v>
      </s:c>
      <s:c r="T12" s="10">
        <s:f>T6*Invoer!$B$35*(1+Invoer!$B$37)^(T$3-1)</s:f>
        <s:v>369.66373466680005</s:v>
      </s:c>
      <s:c r="U12" s="10">
        <s:f>U6*Invoer!$B$35*(1+Invoer!$B$37)^(U$3-1)</s:f>
        <s:v>377.0570093601361</s:v>
      </s:c>
      <s:c r="V12" s="10">
        <s:f>V6*Invoer!$B$35*(1+Invoer!$B$37)^(V$3-1)</s:f>
        <s:v>384.5981495473388</s:v>
      </s:c>
    </s:row>
    <s:row r="13">
      <s:c r="A13" s="7" t="inlineStr">
        <s:is>
          <s:t>Totale omzet</s:t>
        </s:is>
      </s:c>
      <s:c r="B13" s="19" t="n">
        <s:v>0</s:v>
      </s:c>
      <s:c r="C13" s="19">
        <s:f>SUM(C7:C12)</s:f>
        <s:v>75240.0</s:v>
      </s:c>
      <s:c r="D13" s="19">
        <s:f>SUM(D7:D12)</s:f>
        <s:v>76744.8</s:v>
      </s:c>
      <s:c r="E13" s="19">
        <s:f>SUM(E7:E12)</s:f>
        <s:v>78279.696</s:v>
      </s:c>
      <s:c r="F13" s="19">
        <s:f>SUM(F7:F12)</s:f>
        <s:v>79845.28992000001</s:v>
      </s:c>
      <s:c r="G13" s="19">
        <s:f>SUM(G7:G12)</s:f>
        <s:v>81442.19571839999</s:v>
      </s:c>
      <s:c r="H13" s="19">
        <s:f>SUM(H7:H12)</s:f>
        <s:v>83071.039632768</s:v>
      </s:c>
      <s:c r="I13" s="19">
        <s:f>SUM(I7:I12)</s:f>
        <s:v>84732.46042542337</s:v>
      </s:c>
      <s:c r="J13" s="19">
        <s:f>SUM(J7:J12)</s:f>
        <s:v>86427.10963393182</s:v>
      </s:c>
      <s:c r="K13" s="19">
        <s:f>SUM(K7:K12)</s:f>
        <s:v>88155.65182661048</s:v>
      </s:c>
      <s:c r="L13" s="19">
        <s:f>SUM(L7:L12)</s:f>
        <s:v>89918.76486314269</s:v>
      </s:c>
      <s:c r="M13" s="19">
        <s:f>SUM(M7:M12)</s:f>
        <s:v>91717.14016040554</s:v>
      </s:c>
      <s:c r="N13" s="19">
        <s:f>SUM(N7:N12)</s:f>
        <s:v>93551.48296361366</s:v>
      </s:c>
      <s:c r="O13" s="19">
        <s:f>SUM(O7:O12)</s:f>
        <s:v>95422.51262288593</s:v>
      </s:c>
      <s:c r="P13" s="19">
        <s:f>SUM(P7:P12)</s:f>
        <s:v>97330.96287534364</s:v>
      </s:c>
      <s:c r="Q13" s="19">
        <s:f>SUM(Q7:Q12)</s:f>
        <s:v>99277.58213285051</s:v>
      </s:c>
      <s:c r="R13" s="19">
        <s:f>SUM(R7:R12)</s:f>
        <s:v>101263.13377550754</s:v>
      </s:c>
      <s:c r="S13" s="19">
        <s:f>SUM(S7:S12)</s:f>
        <s:v>103288.39645101769</s:v>
      </s:c>
      <s:c r="T13" s="19">
        <s:f>SUM(T7:T12)</s:f>
        <s:v>105354.16438003804</s:v>
      </s:c>
      <s:c r="U13" s="19">
        <s:f>SUM(U7:U12)</s:f>
        <s:v>107461.24766763882</s:v>
      </s:c>
      <s:c r="V13" s="19">
        <s:f>SUM(V7:V12)</s:f>
        <s:v>109610.47262099158</s:v>
      </s:c>
    </s:row>
    <s:row r="14">
      <s:c r="A14" s="8" t="n"/>
      <s:c r="B14" s="10" t="n"/>
      <s:c r="C14" s="10" t="n"/>
      <s:c r="D14" s="10" t="n"/>
      <s:c r="E14" s="10" t="n"/>
      <s:c r="F14" s="10" t="n"/>
      <s:c r="G14" s="10" t="n"/>
      <s:c r="H14" s="10" t="n"/>
      <s:c r="I14" s="10" t="n"/>
      <s:c r="J14" s="10" t="n"/>
      <s:c r="K14" s="10" t="n"/>
      <s:c r="L14" s="10" t="n"/>
      <s:c r="M14" s="10" t="n"/>
      <s:c r="N14" s="10" t="n"/>
      <s:c r="O14" s="10" t="n"/>
      <s:c r="P14" s="10" t="n"/>
      <s:c r="Q14" s="10" t="n"/>
      <s:c r="R14" s="10" t="n"/>
      <s:c r="S14" s="10" t="n"/>
      <s:c r="T14" s="10" t="n"/>
      <s:c r="U14" s="10" t="n"/>
      <s:c r="V14" s="10" t="n"/>
    </s:row>
    <s:row r="15">
      <s:c r="A15" s="6" t="inlineStr">
        <s:is>
          <s:t>Vaste exploitatiekosten</s:t>
        </s:is>
      </s:c>
      <s:c r="B15" s="12" t="n">
        <s:v>0</s:v>
      </s:c>
      <s:c r="C15" s="12">
        <s:f>Invoer!$B$24*(1+Invoer!$B$28)^(C$3-1)</s:f>
        <s:v>12000.0</s:v>
      </s:c>
      <s:c r="D15" s="12">
        <s:f>Invoer!$B$24*(1+Invoer!$B$28)^(D$3-1)</s:f>
        <s:v>12240.0</s:v>
      </s:c>
      <s:c r="E15" s="12">
        <s:f>Invoer!$B$24*(1+Invoer!$B$28)^(E$3-1)</s:f>
        <s:v>12484.8</s:v>
      </s:c>
      <s:c r="F15" s="12">
        <s:f>Invoer!$B$24*(1+Invoer!$B$28)^(F$3-1)</s:f>
        <s:v>12734.496000000001</s:v>
      </s:c>
      <s:c r="G15" s="12">
        <s:f>Invoer!$B$24*(1+Invoer!$B$28)^(G$3-1)</s:f>
        <s:v>12989.18592</s:v>
      </s:c>
      <s:c r="H15" s="12">
        <s:f>Invoer!$B$24*(1+Invoer!$B$28)^(H$3-1)</s:f>
        <s:v>13248.9696384</s:v>
      </s:c>
      <s:c r="I15" s="12">
        <s:f>Invoer!$B$24*(1+Invoer!$B$28)^(I$3-1)</s:f>
        <s:v>13513.949031168</s:v>
      </s:c>
      <s:c r="J15" s="12">
        <s:f>Invoer!$B$24*(1+Invoer!$B$28)^(J$3-1)</s:f>
        <s:v>13784.22801179136</s:v>
      </s:c>
      <s:c r="K15" s="12">
        <s:f>Invoer!$B$24*(1+Invoer!$B$28)^(K$3-1)</s:f>
        <s:v>14059.91257202719</s:v>
      </s:c>
      <s:c r="L15" s="12">
        <s:f>Invoer!$B$24*(1+Invoer!$B$28)^(L$3-1)</s:f>
        <s:v>14341.110823467732</s:v>
      </s:c>
      <s:c r="M15" s="12">
        <s:f>Invoer!$B$24*(1+Invoer!$B$28)^(M$3-1)</s:f>
        <s:v>14627.933039937088</s:v>
      </s:c>
      <s:c r="N15" s="12">
        <s:f>Invoer!$B$24*(1+Invoer!$B$28)^(N$3-1)</s:f>
        <s:v>14920.491700735829</s:v>
      </s:c>
      <s:c r="O15" s="12">
        <s:f>Invoer!$B$24*(1+Invoer!$B$28)^(O$3-1)</s:f>
        <s:v>15218.901534750546</s:v>
      </s:c>
      <s:c r="P15" s="12">
        <s:f>Invoer!$B$24*(1+Invoer!$B$28)^(P$3-1)</s:f>
        <s:v>15523.279565445559</s:v>
      </s:c>
      <s:c r="Q15" s="12">
        <s:f>Invoer!$B$24*(1+Invoer!$B$28)^(Q$3-1)</s:f>
        <s:v>15833.745156754469</s:v>
      </s:c>
      <s:c r="R15" s="12">
        <s:f>Invoer!$B$24*(1+Invoer!$B$28)^(R$3-1)</s:f>
        <s:v>16150.420059889559</s:v>
      </s:c>
      <s:c r="S15" s="12">
        <s:f>Invoer!$B$24*(1+Invoer!$B$28)^(S$3-1)</s:f>
        <s:v>16473.42846108735</s:v>
      </s:c>
      <s:c r="T15" s="12">
        <s:f>Invoer!$B$24*(1+Invoer!$B$28)^(T$3-1)</s:f>
        <s:v>16802.897030309097</s:v>
      </s:c>
      <s:c r="U15" s="12">
        <s:f>Invoer!$B$24*(1+Invoer!$B$28)^(U$3-1)</s:f>
        <s:v>17138.95497091528</s:v>
      </s:c>
      <s:c r="V15" s="12">
        <s:f>Invoer!$B$24*(1+Invoer!$B$28)^(V$3-1)</s:f>
        <s:v>17481.734070333587</s:v>
      </s:c>
    </s:row>
    <s:row r="16">
      <s:c r="A16" s="8" t="inlineStr">
        <s:is>
          <s:t>Onderhoud</s:t>
        </s:is>
      </s:c>
      <s:c r="B16" s="10" t="n">
        <s:v>0</s:v>
      </s:c>
      <s:c r="C16" s="10">
        <s:f>Invoer!$B$25*(1+Invoer!$B$28)^(C$3-1)</s:f>
        <s:v>6000.0</s:v>
      </s:c>
      <s:c r="D16" s="10">
        <s:f>Invoer!$B$25*(1+Invoer!$B$28)^(D$3-1)</s:f>
        <s:v>6120.0</s:v>
      </s:c>
      <s:c r="E16" s="10">
        <s:f>Invoer!$B$25*(1+Invoer!$B$28)^(E$3-1)</s:f>
        <s:v>6242.4</s:v>
      </s:c>
      <s:c r="F16" s="10">
        <s:f>Invoer!$B$25*(1+Invoer!$B$28)^(F$3-1)</s:f>
        <s:v>6367.2480000000005</s:v>
      </s:c>
      <s:c r="G16" s="10">
        <s:f>Invoer!$B$25*(1+Invoer!$B$28)^(G$3-1)</s:f>
        <s:v>6494.59296</s:v>
      </s:c>
      <s:c r="H16" s="10">
        <s:f>Invoer!$B$25*(1+Invoer!$B$28)^(H$3-1)</s:f>
        <s:v>6624.4848192</s:v>
      </s:c>
      <s:c r="I16" s="10">
        <s:f>Invoer!$B$25*(1+Invoer!$B$28)^(I$3-1)</s:f>
        <s:v>6756.974515584</s:v>
      </s:c>
      <s:c r="J16" s="10">
        <s:f>Invoer!$B$25*(1+Invoer!$B$28)^(J$3-1)</s:f>
        <s:v>6892.11400589568</s:v>
      </s:c>
      <s:c r="K16" s="10">
        <s:f>Invoer!$B$25*(1+Invoer!$B$28)^(K$3-1)</s:f>
        <s:v>7029.956286013595</s:v>
      </s:c>
      <s:c r="L16" s="10">
        <s:f>Invoer!$B$25*(1+Invoer!$B$28)^(L$3-1)</s:f>
        <s:v>7170.555411733866</s:v>
      </s:c>
      <s:c r="M16" s="10">
        <s:f>Invoer!$B$25*(1+Invoer!$B$28)^(M$3-1)</s:f>
        <s:v>7313.966519968544</s:v>
      </s:c>
      <s:c r="N16" s="10">
        <s:f>Invoer!$B$25*(1+Invoer!$B$28)^(N$3-1)</s:f>
        <s:v>7460.2458503679145</s:v>
      </s:c>
      <s:c r="O16" s="10">
        <s:f>Invoer!$B$25*(1+Invoer!$B$28)^(O$3-1)</s:f>
        <s:v>7609.450767375273</s:v>
      </s:c>
      <s:c r="P16" s="10">
        <s:f>Invoer!$B$25*(1+Invoer!$B$28)^(P$3-1)</s:f>
        <s:v>7761.639782722779</s:v>
      </s:c>
      <s:c r="Q16" s="10">
        <s:f>Invoer!$B$25*(1+Invoer!$B$28)^(Q$3-1)</s:f>
        <s:v>7916.872578377234</s:v>
      </s:c>
      <s:c r="R16" s="10">
        <s:f>Invoer!$B$25*(1+Invoer!$B$28)^(R$3-1)</s:f>
        <s:v>8075.210029944779</s:v>
      </s:c>
      <s:c r="S16" s="10">
        <s:f>Invoer!$B$25*(1+Invoer!$B$28)^(S$3-1)</s:f>
        <s:v>8236.714230543676</s:v>
      </s:c>
      <s:c r="T16" s="10">
        <s:f>Invoer!$B$25*(1+Invoer!$B$28)^(T$3-1)</s:f>
        <s:v>8401.448515154549</s:v>
      </s:c>
      <s:c r="U16" s="10">
        <s:f>Invoer!$B$25*(1+Invoer!$B$28)^(U$3-1)</s:f>
        <s:v>8569.47748545764</s:v>
      </s:c>
      <s:c r="V16" s="10">
        <s:f>Invoer!$B$25*(1+Invoer!$B$28)^(V$3-1)</s:f>
        <s:v>8740.867035166793</s:v>
      </s:c>
    </s:row>
    <s:row r="17">
      <s:c r="A17" s="6" t="inlineStr">
        <s:is>
          <s:t>Vastgoedbelasting</s:t>
        </s:is>
      </s:c>
      <s:c r="B17" s="12" t="n">
        <s:v>0</s:v>
      </s:c>
      <s:c r="C17" s="12">
        <s:f>Invoer!$B$26*(1+Invoer!$B$28)^(C$3-1)</s:f>
        <s:v>2000.0</s:v>
      </s:c>
      <s:c r="D17" s="12">
        <s:f>Invoer!$B$26*(1+Invoer!$B$28)^(D$3-1)</s:f>
        <s:v>2040.0</s:v>
      </s:c>
      <s:c r="E17" s="12">
        <s:f>Invoer!$B$26*(1+Invoer!$B$28)^(E$3-1)</s:f>
        <s:v>2080.8</s:v>
      </s:c>
      <s:c r="F17" s="12">
        <s:f>Invoer!$B$26*(1+Invoer!$B$28)^(F$3-1)</s:f>
        <s:v>2122.416</s:v>
      </s:c>
      <s:c r="G17" s="12">
        <s:f>Invoer!$B$26*(1+Invoer!$B$28)^(G$3-1)</s:f>
        <s:v>2164.86432</s:v>
      </s:c>
      <s:c r="H17" s="12">
        <s:f>Invoer!$B$26*(1+Invoer!$B$28)^(H$3-1)</s:f>
        <s:v>2208.1616064</s:v>
      </s:c>
      <s:c r="I17" s="12">
        <s:f>Invoer!$B$26*(1+Invoer!$B$28)^(I$3-1)</s:f>
        <s:v>2252.3248385280003</s:v>
      </s:c>
      <s:c r="J17" s="12">
        <s:f>Invoer!$B$26*(1+Invoer!$B$28)^(J$3-1)</s:f>
        <s:v>2297.37133529856</s:v>
      </s:c>
      <s:c r="K17" s="12">
        <s:f>Invoer!$B$26*(1+Invoer!$B$28)^(K$3-1)</s:f>
        <s:v>2343.3187620045314</s:v>
      </s:c>
      <s:c r="L17" s="12">
        <s:f>Invoer!$B$26*(1+Invoer!$B$28)^(L$3-1)</s:f>
        <s:v>2390.185137244622</s:v>
      </s:c>
      <s:c r="M17" s="12">
        <s:f>Invoer!$B$26*(1+Invoer!$B$28)^(M$3-1)</s:f>
        <s:v>2437.988839989515</s:v>
      </s:c>
      <s:c r="N17" s="12">
        <s:f>Invoer!$B$26*(1+Invoer!$B$28)^(N$3-1)</s:f>
        <s:v>2486.748616789305</s:v>
      </s:c>
      <s:c r="O17" s="12">
        <s:f>Invoer!$B$26*(1+Invoer!$B$28)^(O$3-1)</s:f>
        <s:v>2536.483589125091</s:v>
      </s:c>
      <s:c r="P17" s="12">
        <s:f>Invoer!$B$26*(1+Invoer!$B$28)^(P$3-1)</s:f>
        <s:v>2587.213260907593</s:v>
      </s:c>
      <s:c r="Q17" s="12">
        <s:f>Invoer!$B$26*(1+Invoer!$B$28)^(Q$3-1)</s:f>
        <s:v>2638.9575261257446</s:v>
      </s:c>
      <s:c r="R17" s="12">
        <s:f>Invoer!$B$26*(1+Invoer!$B$28)^(R$3-1)</s:f>
        <s:v>2691.7366766482596</s:v>
      </s:c>
      <s:c r="S17" s="12">
        <s:f>Invoer!$B$26*(1+Invoer!$B$28)^(S$3-1)</s:f>
        <s:v>2745.571410181225</s:v>
      </s:c>
      <s:c r="T17" s="12">
        <s:f>Invoer!$B$26*(1+Invoer!$B$28)^(T$3-1)</s:f>
        <s:v>2800.48283838485</s:v>
      </s:c>
      <s:c r="U17" s="12">
        <s:f>Invoer!$B$26*(1+Invoer!$B$28)^(U$3-1)</s:f>
        <s:v>2856.492495152547</s:v>
      </s:c>
      <s:c r="V17" s="12">
        <s:f>Invoer!$B$26*(1+Invoer!$B$28)^(V$3-1)</s:f>
        <s:v>2913.6223450555976</s:v>
      </s:c>
    </s:row>
    <s:row r="18">
      <s:c r="A18" s="8" t="inlineStr">
        <s:is>
          <s:t>Vastgoedbeheer</s:t>
        </s:is>
      </s:c>
      <s:c r="B18" s="10" t="n">
        <s:v>0</s:v>
      </s:c>
      <s:c r="C18" s="10">
        <s:f>C13*Invoer!$B$27</s:f>
        <s:v>6019.2</s:v>
      </s:c>
      <s:c r="D18" s="10">
        <s:f>D13*Invoer!$B$27</s:f>
        <s:v>6139.584000000001</s:v>
      </s:c>
      <s:c r="E18" s="10">
        <s:f>E13*Invoer!$B$27</s:f>
        <s:v>6262.37568</s:v>
      </s:c>
      <s:c r="F18" s="10">
        <s:f>F13*Invoer!$B$27</s:f>
        <s:v>6387.623193600001</s:v>
      </s:c>
      <s:c r="G18" s="10">
        <s:f>G13*Invoer!$B$27</s:f>
        <s:v>6515.375657471999</s:v>
      </s:c>
      <s:c r="H18" s="10">
        <s:f>H13*Invoer!$B$27</s:f>
        <s:v>6645.683170621441</s:v>
      </s:c>
      <s:c r="I18" s="10">
        <s:f>I13*Invoer!$B$27</s:f>
        <s:v>6778.5968340338695</s:v>
      </s:c>
      <s:c r="J18" s="10">
        <s:f>J13*Invoer!$B$27</s:f>
        <s:v>6914.168770714546</s:v>
      </s:c>
      <s:c r="K18" s="10">
        <s:f>K13*Invoer!$B$27</s:f>
        <s:v>7052.452146128839</s:v>
      </s:c>
      <s:c r="L18" s="10">
        <s:f>L13*Invoer!$B$27</s:f>
        <s:v>7193.501189051415</s:v>
      </s:c>
      <s:c r="M18" s="10">
        <s:f>M13*Invoer!$B$27</s:f>
        <s:v>7337.371212832443</s:v>
      </s:c>
      <s:c r="N18" s="10">
        <s:f>N13*Invoer!$B$27</s:f>
        <s:v>7484.118637089093</s:v>
      </s:c>
      <s:c r="O18" s="10">
        <s:f>O13*Invoer!$B$27</s:f>
        <s:v>7633.801009830874</s:v>
      </s:c>
      <s:c r="P18" s="10">
        <s:f>P13*Invoer!$B$27</s:f>
        <s:v>7786.477030027491</s:v>
      </s:c>
      <s:c r="Q18" s="10">
        <s:f>Q13*Invoer!$B$27</s:f>
        <s:v>7942.206570628041</s:v>
      </s:c>
      <s:c r="R18" s="10">
        <s:f>R13*Invoer!$B$27</s:f>
        <s:v>8101.050702040603</s:v>
      </s:c>
      <s:c r="S18" s="10">
        <s:f>S13*Invoer!$B$27</s:f>
        <s:v>8263.071716081415</s:v>
      </s:c>
      <s:c r="T18" s="10">
        <s:f>T13*Invoer!$B$27</s:f>
        <s:v>8428.333150403043</s:v>
      </s:c>
      <s:c r="U18" s="10">
        <s:f>U13*Invoer!$B$27</s:f>
        <s:v>8596.899813411106</s:v>
      </s:c>
      <s:c r="V18" s="10">
        <s:f>V13*Invoer!$B$27</s:f>
        <s:v>8768.837809679328</s:v>
      </s:c>
    </s:row>
    <s:row r="19">
      <s:c r="A19" s="6" t="inlineStr">
        <s:is>
          <s:t>Airbnb-platform</s:t>
        </s:is>
      </s:c>
      <s:c r="B19" s="12" t="n">
        <s:v>0</s:v>
      </s:c>
      <s:c r="C19" s="12">
        <s:f>C8*Invoer!$B$16</s:f>
        <s:v>810.0</s:v>
      </s:c>
      <s:c r="D19" s="12">
        <s:f>D8*Invoer!$B$16</s:f>
        <s:v>826.1999999999999</s:v>
      </s:c>
      <s:c r="E19" s="12">
        <s:f>E8*Invoer!$B$16</s:f>
        <s:v>842.7239999999999</s:v>
      </s:c>
      <s:c r="F19" s="12">
        <s:f>F8*Invoer!$B$16</s:f>
        <s:v>859.5784800000001</s:v>
      </s:c>
      <s:c r="G19" s="12">
        <s:f>G8*Invoer!$B$16</s:f>
        <s:v>876.7700496</s:v>
      </s:c>
      <s:c r="H19" s="12">
        <s:f>H8*Invoer!$B$16</s:f>
        <s:v>894.3054505919999</s:v>
      </s:c>
      <s:c r="I19" s="12">
        <s:f>I8*Invoer!$B$16</s:f>
        <s:v>912.1915596038401</s:v>
      </s:c>
      <s:c r="J19" s="12">
        <s:f>J8*Invoer!$B$16</s:f>
        <s:v>930.4353907959168</s:v>
      </s:c>
      <s:c r="K19" s="12">
        <s:f>K8*Invoer!$B$16</s:f>
        <s:v>949.0440986118352</s:v>
      </s:c>
      <s:c r="L19" s="12">
        <s:f>L8*Invoer!$B$16</s:f>
        <s:v>968.024980584072</s:v>
      </s:c>
      <s:c r="M19" s="12">
        <s:f>M8*Invoer!$B$16</s:f>
        <s:v>987.3854801957534</s:v>
      </s:c>
      <s:c r="N19" s="12">
        <s:f>N8*Invoer!$B$16</s:f>
        <s:v>1007.1331897996685</s:v>
      </s:c>
      <s:c r="O19" s="12">
        <s:f>O8*Invoer!$B$16</s:f>
        <s:v>1027.2758535956618</s:v>
      </s:c>
      <s:c r="P19" s="12">
        <s:f>P8*Invoer!$B$16</s:f>
        <s:v>1047.8213706675751</s:v>
      </s:c>
      <s:c r="Q19" s="12">
        <s:f>Q8*Invoer!$B$16</s:f>
        <s:v>1068.7777980809265</s:v>
      </s:c>
      <s:c r="R19" s="12">
        <s:f>R8*Invoer!$B$16</s:f>
        <s:v>1090.153354042545</s:v>
      </s:c>
      <s:c r="S19" s="12">
        <s:f>S8*Invoer!$B$16</s:f>
        <s:v>1111.956421123396</s:v>
      </s:c>
      <s:c r="T19" s="12">
        <s:f>T8*Invoer!$B$16</s:f>
        <s:v>1134.195549545864</s:v>
      </s:c>
      <s:c r="U19" s="12">
        <s:f>U8*Invoer!$B$16</s:f>
        <s:v>1156.8794605367814</s:v>
      </s:c>
      <s:c r="V19" s="12">
        <s:f>V8*Invoer!$B$16</s:f>
        <s:v>1180.017049747517</s:v>
      </s:c>
    </s:row>
    <s:row r="20">
      <s:c r="A20" s="8" t="inlineStr">
        <s:is>
          <s:t>Airbnb-wissels / schoonmaak</s:t>
        </s:is>
      </s:c>
      <s:c r="B20" s="10" t="n">
        <s:v>0</s:v>
      </s:c>
      <s:c r="C20" s="10">
        <s:f>C5/Invoer!$B$15*Invoer!$B$17*(1+Invoer!$B$28)^(C$3-1)</s:f>
        <s:v>1800.0</s:v>
      </s:c>
      <s:c r="D20" s="10">
        <s:f>D5/Invoer!$B$15*Invoer!$B$17*(1+Invoer!$B$28)^(D$3-1)</s:f>
        <s:v>1836.0</s:v>
      </s:c>
      <s:c r="E20" s="10">
        <s:f>E5/Invoer!$B$15*Invoer!$B$17*(1+Invoer!$B$28)^(E$3-1)</s:f>
        <s:v>1872.72</s:v>
      </s:c>
      <s:c r="F20" s="10">
        <s:f>F5/Invoer!$B$15*Invoer!$B$17*(1+Invoer!$B$28)^(F$3-1)</s:f>
        <s:v>1910.1744000000003</s:v>
      </s:c>
      <s:c r="G20" s="10">
        <s:f>G5/Invoer!$B$15*Invoer!$B$17*(1+Invoer!$B$28)^(G$3-1)</s:f>
        <s:v>1948.377888</s:v>
      </s:c>
      <s:c r="H20" s="10">
        <s:f>H5/Invoer!$B$15*Invoer!$B$17*(1+Invoer!$B$28)^(H$3-1)</s:f>
        <s:v>1987.34544576</s:v>
      </s:c>
      <s:c r="I20" s="10">
        <s:f>I5/Invoer!$B$15*Invoer!$B$17*(1+Invoer!$B$28)^(I$3-1)</s:f>
        <s:v>2027.0923546752</s:v>
      </s:c>
      <s:c r="J20" s="10">
        <s:f>J5/Invoer!$B$15*Invoer!$B$17*(1+Invoer!$B$28)^(J$3-1)</s:f>
        <s:v>2067.634201768704</s:v>
      </s:c>
      <s:c r="K20" s="10">
        <s:f>K5/Invoer!$B$15*Invoer!$B$17*(1+Invoer!$B$28)^(K$3-1)</s:f>
        <s:v>2108.986885804078</s:v>
      </s:c>
      <s:c r="L20" s="10">
        <s:f>L5/Invoer!$B$15*Invoer!$B$17*(1+Invoer!$B$28)^(L$3-1)</s:f>
        <s:v>2151.16662352016</s:v>
      </s:c>
      <s:c r="M20" s="10">
        <s:f>M5/Invoer!$B$15*Invoer!$B$17*(1+Invoer!$B$28)^(M$3-1)</s:f>
        <s:v>2194.1899559905632</s:v>
      </s:c>
      <s:c r="N20" s="10">
        <s:f>N5/Invoer!$B$15*Invoer!$B$17*(1+Invoer!$B$28)^(N$3-1)</s:f>
        <s:v>2238.0737551103743</s:v>
      </s:c>
      <s:c r="O20" s="10">
        <s:f>O5/Invoer!$B$15*Invoer!$B$17*(1+Invoer!$B$28)^(O$3-1)</s:f>
        <s:v>2282.835230212582</s:v>
      </s:c>
      <s:c r="P20" s="10">
        <s:f>P5/Invoer!$B$15*Invoer!$B$17*(1+Invoer!$B$28)^(P$3-1)</s:f>
        <s:v>2328.4919348168337</s:v>
      </s:c>
      <s:c r="Q20" s="10">
        <s:f>Q5/Invoer!$B$15*Invoer!$B$17*(1+Invoer!$B$28)^(Q$3-1)</s:f>
        <s:v>2375.0617735131705</s:v>
      </s:c>
      <s:c r="R20" s="10">
        <s:f>R5/Invoer!$B$15*Invoer!$B$17*(1+Invoer!$B$28)^(R$3-1)</s:f>
        <s:v>2422.563008983434</s:v>
      </s:c>
      <s:c r="S20" s="10">
        <s:f>S5/Invoer!$B$15*Invoer!$B$17*(1+Invoer!$B$28)^(S$3-1)</s:f>
        <s:v>2471.0142691631027</s:v>
      </s:c>
      <s:c r="T20" s="10">
        <s:f>T5/Invoer!$B$15*Invoer!$B$17*(1+Invoer!$B$28)^(T$3-1)</s:f>
        <s:v>2520.434554546365</s:v>
      </s:c>
      <s:c r="U20" s="10">
        <s:f>U5/Invoer!$B$15*Invoer!$B$17*(1+Invoer!$B$28)^(U$3-1)</s:f>
        <s:v>2570.843245637292</s:v>
      </s:c>
      <s:c r="V20" s="10">
        <s:f>V5/Invoer!$B$15*Invoer!$B$17*(1+Invoer!$B$28)^(V$3-1)</s:f>
        <s:v>2622.260110550038</s:v>
      </s:c>
    </s:row>
    <s:row r="21">
      <s:c r="A21" s="6" t="inlineStr">
        <s:is>
          <s:t>Was: directe kosten</s:t>
        </s:is>
      </s:c>
      <s:c r="B21" s="12" t="n">
        <s:v>0</s:v>
      </s:c>
      <s:c r="C21" s="12">
        <s:f>C9*Invoer!$B$30</s:f>
        <s:v>352.0</s:v>
      </s:c>
      <s:c r="D21" s="12">
        <s:f>D9*Invoer!$B$30</s:f>
        <s:v>359.03999999999996</s:v>
      </s:c>
      <s:c r="E21" s="12">
        <s:f>E9*Invoer!$B$30</s:f>
        <s:v>366.2208</s:v>
      </s:c>
      <s:c r="F21" s="12">
        <s:f>F9*Invoer!$B$30</s:f>
        <s:v>373.54521600000004</s:v>
      </s:c>
      <s:c r="G21" s="12">
        <s:f>G9*Invoer!$B$30</s:f>
        <s:v>381.01612031999997</s:v>
      </s:c>
      <s:c r="H21" s="12">
        <s:f>H9*Invoer!$B$30</s:f>
        <s:v>388.6364427264</s:v>
      </s:c>
      <s:c r="I21" s="12">
        <s:f>I9*Invoer!$B$30</s:f>
        <s:v>396.409171580928</s:v>
      </s:c>
      <s:c r="J21" s="12">
        <s:f>J9*Invoer!$B$30</s:f>
        <s:v>404.33735501254654</s:v>
      </s:c>
      <s:c r="K21" s="12">
        <s:f>K9*Invoer!$B$30</s:f>
        <s:v>412.4241021127975</s:v>
      </s:c>
      <s:c r="L21" s="12">
        <s:f>L9*Invoer!$B$30</s:f>
        <s:v>420.6725841550535</s:v>
      </s:c>
      <s:c r="M21" s="12">
        <s:f>M9*Invoer!$B$30</s:f>
        <s:v>429.0860358381546</s:v>
      </s:c>
      <s:c r="N21" s="12">
        <s:f>N9*Invoer!$B$30</s:f>
        <s:v>437.6677565549177</s:v>
      </s:c>
      <s:c r="O21" s="12">
        <s:f>O9*Invoer!$B$30</s:f>
        <s:v>446.421111686016</s:v>
      </s:c>
      <s:c r="P21" s="12">
        <s:f>P9*Invoer!$B$30</s:f>
        <s:v>455.34953391973636</s:v>
      </s:c>
      <s:c r="Q21" s="12">
        <s:f>Q9*Invoer!$B$30</s:f>
        <s:v>464.456524598131</s:v>
      </s:c>
      <s:c r="R21" s="12">
        <s:f>R9*Invoer!$B$30</s:f>
        <s:v>473.74565509009363</s:v>
      </s:c>
      <s:c r="S21" s="12">
        <s:f>S9*Invoer!$B$30</s:f>
        <s:v>483.2205681918956</s:v>
      </s:c>
      <s:c r="T21" s="12">
        <s:f>T9*Invoer!$B$30</s:f>
        <s:v>492.8849795557335</s:v>
      </s:c>
      <s:c r="U21" s="12">
        <s:f>U9*Invoer!$B$30</s:f>
        <s:v>502.74267914684816</s:v>
      </s:c>
      <s:c r="V21" s="12">
        <s:f>V9*Invoer!$B$30</s:f>
        <s:v>512.7975327297852</s:v>
      </s:c>
    </s:row>
    <s:row r="22">
      <s:c r="A22" s="8" t="inlineStr">
        <s:is>
          <s:t>Schoonmaak: directe kosten</s:t>
        </s:is>
      </s:c>
      <s:c r="B22" s="10" t="n">
        <s:v>0</s:v>
      </s:c>
      <s:c r="C22" s="10">
        <s:f>C10*Invoer!$B$32</s:f>
        <s:v>791.9999999999999</s:v>
      </s:c>
      <s:c r="D22" s="10">
        <s:f>D10*Invoer!$B$32</s:f>
        <s:v>807.8399999999999</s:v>
      </s:c>
      <s:c r="E22" s="10">
        <s:f>E10*Invoer!$B$32</s:f>
        <s:v>823.9967999999998</s:v>
      </s:c>
      <s:c r="F22" s="10">
        <s:f>F10*Invoer!$B$32</s:f>
        <s:v>840.476736</s:v>
      </s:c>
      <s:c r="G22" s="10">
        <s:f>G10*Invoer!$B$32</s:f>
        <s:v>857.2862707199998</s:v>
      </s:c>
      <s:c r="H22" s="10">
        <s:f>H10*Invoer!$B$32</s:f>
        <s:v>874.4319961343998</s:v>
      </s:c>
      <s:c r="I22" s="10">
        <s:f>I10*Invoer!$B$32</s:f>
        <s:v>891.9206360570879</s:v>
      </s:c>
      <s:c r="J22" s="10">
        <s:f>J10*Invoer!$B$32</s:f>
        <s:v>909.7590487782296</s:v>
      </s:c>
      <s:c r="K22" s="10">
        <s:f>K10*Invoer!$B$32</s:f>
        <s:v>927.9542297537943</s:v>
      </s:c>
      <s:c r="L22" s="10">
        <s:f>L10*Invoer!$B$32</s:f>
        <s:v>946.5133143488702</s:v>
      </s:c>
      <s:c r="M22" s="10">
        <s:f>M10*Invoer!$B$32</s:f>
        <s:v>965.4435806358476</s:v>
      </s:c>
      <s:c r="N22" s="10">
        <s:f>N10*Invoer!$B$32</s:f>
        <s:v>984.7524522485645</s:v>
      </s:c>
      <s:c r="O22" s="10">
        <s:f>O10*Invoer!$B$32</s:f>
        <s:v>1004.4475012935358</s:v>
      </s:c>
      <s:c r="P22" s="10">
        <s:f>P10*Invoer!$B$32</s:f>
        <s:v>1024.5364513194068</s:v>
      </s:c>
      <s:c r="Q22" s="10">
        <s:f>Q10*Invoer!$B$32</s:f>
        <s:v>1045.0271803457947</s:v>
      </s:c>
      <s:c r="R22" s="10">
        <s:f>R10*Invoer!$B$32</s:f>
        <s:v>1065.9277239527107</s:v>
      </s:c>
      <s:c r="S22" s="10">
        <s:f>S10*Invoer!$B$32</s:f>
        <s:v>1087.246278431765</s:v>
      </s:c>
      <s:c r="T22" s="10">
        <s:f>T10*Invoer!$B$32</s:f>
        <s:v>1108.9912040004003</s:v>
      </s:c>
      <s:c r="U22" s="10">
        <s:f>U10*Invoer!$B$32</s:f>
        <s:v>1131.1710280804082</s:v>
      </s:c>
      <s:c r="V22" s="10">
        <s:f>V10*Invoer!$B$32</s:f>
        <s:v>1153.7944486420165</s:v>
      </s:c>
    </s:row>
    <s:row r="23">
      <s:c r="A23" s="6" t="inlineStr">
        <s:is>
          <s:t>Afhaalpunt + bagage: directe kosten</s:t>
        </s:is>
      </s:c>
      <s:c r="B23" s="12" t="n">
        <s:v>0</s:v>
      </s:c>
      <s:c r="C23" s="12">
        <s:f>C11*Invoer!$B$34+C12*Invoer!$B$36</s:f>
        <s:v>61.599999999999994</s:v>
      </s:c>
      <s:c r="D23" s="12">
        <s:f>D11*Invoer!$B$34+D12*Invoer!$B$36</s:f>
        <s:v>62.831999999999994</s:v>
      </s:c>
      <s:c r="E23" s="12">
        <s:f>E11*Invoer!$B$34+E12*Invoer!$B$36</s:f>
        <s:v>64.08864</s:v>
      </s:c>
      <s:c r="F23" s="12">
        <s:f>F11*Invoer!$B$34+F12*Invoer!$B$36</s:f>
        <s:v>65.3704128</s:v>
      </s:c>
      <s:c r="G23" s="12">
        <s:f>G11*Invoer!$B$34+G12*Invoer!$B$36</s:f>
        <s:v>66.67782105599998</s:v>
      </s:c>
      <s:c r="H23" s="12">
        <s:f>H11*Invoer!$B$34+H12*Invoer!$B$36</s:f>
        <s:v>68.01137747711999</s:v>
      </s:c>
      <s:c r="I23" s="12">
        <s:f>I11*Invoer!$B$34+I12*Invoer!$B$36</s:f>
        <s:v>69.3716050266624</s:v>
      </s:c>
      <s:c r="J23" s="12">
        <s:f>J11*Invoer!$B$34+J12*Invoer!$B$36</s:f>
        <s:v>70.75903712719564</s:v>
      </s:c>
      <s:c r="K23" s="12">
        <s:f>K11*Invoer!$B$34+K12*Invoer!$B$36</s:f>
        <s:v>72.17421786973955</s:v>
      </s:c>
      <s:c r="L23" s="12">
        <s:f>L11*Invoer!$B$34+L12*Invoer!$B$36</s:f>
        <s:v>73.61770222713434</s:v>
      </s:c>
      <s:c r="M23" s="12">
        <s:f>M11*Invoer!$B$34+M12*Invoer!$B$36</s:f>
        <s:v>75.09005627167704</s:v>
      </s:c>
      <s:c r="N23" s="12">
        <s:f>N11*Invoer!$B$34+N12*Invoer!$B$36</s:f>
        <s:v>76.59185739711057</s:v>
      </s:c>
      <s:c r="O23" s="12">
        <s:f>O11*Invoer!$B$34+O12*Invoer!$B$36</s:f>
        <s:v>78.12369454505279</s:v>
      </s:c>
      <s:c r="P23" s="12">
        <s:f>P11*Invoer!$B$34+P12*Invoer!$B$36</s:f>
        <s:v>79.68616843595385</s:v>
      </s:c>
      <s:c r="Q23" s="12">
        <s:f>Q11*Invoer!$B$34+Q12*Invoer!$B$36</s:f>
        <s:v>81.27989180467293</s:v>
      </s:c>
      <s:c r="R23" s="12">
        <s:f>R11*Invoer!$B$34+R12*Invoer!$B$36</s:f>
        <s:v>82.90548964076639</s:v>
      </s:c>
      <s:c r="S23" s="12">
        <s:f>S11*Invoer!$B$34+S12*Invoer!$B$36</s:f>
        <s:v>84.56359943358171</s:v>
      </s:c>
      <s:c r="T23" s="12">
        <s:f>T11*Invoer!$B$34+T12*Invoer!$B$36</s:f>
        <s:v>86.25487142225336</s:v>
      </s:c>
      <s:c r="U23" s="12">
        <s:f>U11*Invoer!$B$34+U12*Invoer!$B$36</s:f>
        <s:v>87.97996885069843</s:v>
      </s:c>
      <s:c r="V23" s="12">
        <s:f>V11*Invoer!$B$34+V12*Invoer!$B$36</s:f>
        <s:v>89.7395682277124</s:v>
      </s:c>
    </s:row>
    <s:row r="24">
      <s:c r="A24" s="7" t="inlineStr">
        <s:is>
          <s:t>Totale kosten</s:t>
        </s:is>
      </s:c>
      <s:c r="B24" s="19" t="n">
        <s:v>0</s:v>
      </s:c>
      <s:c r="C24" s="19">
        <s:f>SUM(C15:C23)</s:f>
        <s:v>29834.8</s:v>
      </s:c>
      <s:c r="D24" s="19">
        <s:f>SUM(D15:D23)</s:f>
        <s:v>30431.496</s:v>
      </s:c>
      <s:c r="E24" s="19">
        <s:f>SUM(E15:E23)</s:f>
        <s:v>31040.12592</s:v>
      </s:c>
      <s:c r="F24" s="19">
        <s:f>SUM(F15:F23)</s:f>
        <s:v>31660.928438400006</s:v>
      </s:c>
      <s:c r="G24" s="19">
        <s:f>SUM(G15:G23)</s:f>
        <s:v>32294.147007167998</s:v>
      </s:c>
      <s:c r="H24" s="19">
        <s:f>SUM(H15:H23)</s:f>
        <s:v>32940.02994731136</s:v>
      </s:c>
      <s:c r="I24" s="19">
        <s:f>SUM(I15:I23)</s:f>
        <s:v>33598.83054625759</s:v>
      </s:c>
      <s:c r="J24" s="19">
        <s:f>SUM(J15:J23)</s:f>
        <s:v>34270.80715718274</s:v>
      </s:c>
      <s:c r="K24" s="19">
        <s:f>SUM(K15:K23)</s:f>
        <s:v>34956.223300326405</s:v>
      </s:c>
      <s:c r="L24" s="19">
        <s:f>SUM(L15:L23)</s:f>
        <s:v>35655.347766332925</s:v>
      </s:c>
      <s:c r="M24" s="19">
        <s:f>SUM(M15:M23)</s:f>
        <s:v>36368.45472165958</s:v>
      </s:c>
      <s:c r="N24" s="19">
        <s:f>SUM(N15:N23)</s:f>
        <s:v>37095.82381609278</s:v>
      </s:c>
      <s:c r="O24" s="19">
        <s:f>SUM(O15:O23)</s:f>
        <s:v>37837.74029241463</s:v>
      </s:c>
      <s:c r="P24" s="19">
        <s:f>SUM(P15:P23)</s:f>
        <s:v>38594.49509826292</s:v>
      </s:c>
      <s:c r="Q24" s="19">
        <s:f>SUM(Q15:Q23)</s:f>
        <s:v>39366.38500022818</s:v>
      </s:c>
      <s:c r="R24" s="19">
        <s:f>SUM(R15:R23)</s:f>
        <s:v>40153.712700232754</s:v>
      </s:c>
      <s:c r="S24" s="19">
        <s:f>SUM(S15:S23)</s:f>
        <s:v>40956.78695423741</s:v>
      </s:c>
      <s:c r="T24" s="19">
        <s:f>SUM(T15:T23)</s:f>
        <s:v>41775.92269332216</s:v>
      </s:c>
      <s:c r="U24" s="19">
        <s:f>SUM(U15:U23)</s:f>
        <s:v>42611.441147188605</s:v>
      </s:c>
      <s:c r="V24" s="19">
        <s:f>SUM(V15:V23)</s:f>
        <s:v>43463.669970132374</s:v>
      </s:c>
    </s:row>
    <s:row r="25">
      <s:c r="A25" s="7" t="inlineStr">
        <s:is>
          <s:t>Operationele kasstroom</s:t>
        </s:is>
      </s:c>
      <s:c r="B25" s="19" t="n">
        <s:v>0</s:v>
      </s:c>
      <s:c r="C25" s="19">
        <s:f>C13-C24</s:f>
        <s:v>45405.2</s:v>
      </s:c>
      <s:c r="D25" s="19">
        <s:f>D13-D24</s:f>
        <s:v>46313.304000000004</s:v>
      </s:c>
      <s:c r="E25" s="19">
        <s:f>E13-E24</s:f>
        <s:v>47239.57008</s:v>
      </s:c>
      <s:c r="F25" s="19">
        <s:f>F13-F24</s:f>
        <s:v>48184.361481600004</s:v>
      </s:c>
      <s:c r="G25" s="19">
        <s:f>G13-G24</s:f>
        <s:v>49148.048711232</s:v>
      </s:c>
      <s:c r="H25" s="19">
        <s:f>H13-H24</s:f>
        <s:v>50131.00968545664</s:v>
      </s:c>
      <s:c r="I25" s="19">
        <s:f>I13-I24</s:f>
        <s:v>51133.62987916578</s:v>
      </s:c>
      <s:c r="J25" s="19">
        <s:f>J13-J24</s:f>
        <s:v>52156.30247674908</s:v>
      </s:c>
      <s:c r="K25" s="19">
        <s:f>K13-K24</s:f>
        <s:v>53199.42852628408</s:v>
      </s:c>
      <s:c r="L25" s="19">
        <s:f>L13-L24</s:f>
        <s:v>54263.41709680976</s:v>
      </s:c>
      <s:c r="M25" s="19">
        <s:f>M13-M24</s:f>
        <s:v>55348.68543874596</s:v>
      </s:c>
      <s:c r="N25" s="19">
        <s:f>N13-N24</s:f>
        <s:v>56455.65914752088</s:v>
      </s:c>
      <s:c r="O25" s="19">
        <s:f>O13-O24</s:f>
        <s:v>57584.7723304713</s:v>
      </s:c>
      <s:c r="P25" s="19">
        <s:f>P13-P24</s:f>
        <s:v>58736.46777708072</s:v>
      </s:c>
      <s:c r="Q25" s="19">
        <s:f>Q13-Q24</s:f>
        <s:v>59911.19713262233</s:v>
      </s:c>
      <s:c r="R25" s="19">
        <s:f>R13-R24</s:f>
        <s:v>61109.42107527478</s:v>
      </s:c>
      <s:c r="S25" s="19">
        <s:f>S13-S24</s:f>
        <s:v>62331.60949678028</s:v>
      </s:c>
      <s:c r="T25" s="19">
        <s:f>T13-T24</s:f>
        <s:v>63578.24168671588</s:v>
      </s:c>
      <s:c r="U25" s="19">
        <s:f>U13-U24</s:f>
        <s:v>64849.80652045021</s:v>
      </s:c>
      <s:c r="V25" s="19">
        <s:f>V13-V24</s:f>
        <s:v>66146.8026508592</s:v>
      </s:c>
    </s:row>
    <s:row r="26">
      <s:c r="A26" s="8" t="inlineStr">
        <s:is>
          <s:t>Investering</s:t>
        </s:is>
      </s:c>
      <s:c r="B26" s="10">
        <s:f>-Samenvatting!B8</s:f>
        <s:v>-635000</s:v>
      </s:c>
      <s:c r="C26" s="10">
        <s:f>0</s:f>
        <s:v>0</s:v>
      </s:c>
      <s:c r="D26" s="10">
        <s:f>0</s:f>
        <s:v>0</s:v>
      </s:c>
      <s:c r="E26" s="10">
        <s:f>0</s:f>
        <s:v>0</s:v>
      </s:c>
      <s:c r="F26" s="10">
        <s:f>0</s:f>
        <s:v>0</s:v>
      </s:c>
      <s:c r="G26" s="10">
        <s:f>0</s:f>
        <s:v>0</s:v>
      </s:c>
      <s:c r="H26" s="10">
        <s:f>0</s:f>
        <s:v>0</s:v>
      </s:c>
      <s:c r="I26" s="10">
        <s:f>0</s:f>
        <s:v>0</s:v>
      </s:c>
      <s:c r="J26" s="10">
        <s:f>0</s:f>
        <s:v>0</s:v>
      </s:c>
      <s:c r="K26" s="10">
        <s:f>0</s:f>
        <s:v>0</s:v>
      </s:c>
      <s:c r="L26" s="10">
        <s:f>0</s:f>
        <s:v>0</s:v>
      </s:c>
      <s:c r="M26" s="10">
        <s:f>0</s:f>
        <s:v>0</s:v>
      </s:c>
      <s:c r="N26" s="10">
        <s:f>0</s:f>
        <s:v>0</s:v>
      </s:c>
      <s:c r="O26" s="10">
        <s:f>0</s:f>
        <s:v>0</s:v>
      </s:c>
      <s:c r="P26" s="10">
        <s:f>0</s:f>
        <s:v>0</s:v>
      </s:c>
      <s:c r="Q26" s="10">
        <s:f>0</s:f>
        <s:v>0</s:v>
      </s:c>
      <s:c r="R26" s="10">
        <s:f>0</s:f>
        <s:v>0</s:v>
      </s:c>
      <s:c r="S26" s="10">
        <s:f>0</s:f>
        <s:v>0</s:v>
      </s:c>
      <s:c r="T26" s="10">
        <s:f>0</s:f>
        <s:v>0</s:v>
      </s:c>
      <s:c r="U26" s="10">
        <s:f>0</s:f>
        <s:v>0</s:v>
      </s:c>
      <s:c r="V26" s="10">
        <s:f>0</s:f>
        <s:v>0</s:v>
      </s:c>
    </s:row>
    <s:row r="27">
      <s:c r="A27" s="6" t="inlineStr">
        <s:is>
          <s:t>Netto verkoopopbrengst</s:t>
        </s:is>
      </s:c>
      <s:c r="B27" s="12" t="n">
        <s:v>0</s:v>
      </s:c>
      <s:c r="C27" s="12">
        <s:f>IF(C$3=20,(Invoer!$B$18+Invoer!$B$19+Invoer!$B$20)*(1+Invoer!$B$39)^C$3*(1-Invoer!$B$40),0)</s:f>
        <s:v>0</s:v>
      </s:c>
      <s:c r="D27" s="12">
        <s:f>IF(D$3=20,(Invoer!$B$18+Invoer!$B$19+Invoer!$B$20)*(1+Invoer!$B$39)^D$3*(1-Invoer!$B$40),0)</s:f>
        <s:v>0</s:v>
      </s:c>
      <s:c r="E27" s="12">
        <s:f>IF(E$3=20,(Invoer!$B$18+Invoer!$B$19+Invoer!$B$20)*(1+Invoer!$B$39)^E$3*(1-Invoer!$B$40),0)</s:f>
        <s:v>0</s:v>
      </s:c>
      <s:c r="F27" s="12">
        <s:f>IF(F$3=20,(Invoer!$B$18+Invoer!$B$19+Invoer!$B$20)*(1+Invoer!$B$39)^F$3*(1-Invoer!$B$40),0)</s:f>
        <s:v>0</s:v>
      </s:c>
      <s:c r="G27" s="12">
        <s:f>IF(G$3=20,(Invoer!$B$18+Invoer!$B$19+Invoer!$B$20)*(1+Invoer!$B$39)^G$3*(1-Invoer!$B$40),0)</s:f>
        <s:v>0</s:v>
      </s:c>
      <s:c r="H27" s="12">
        <s:f>IF(H$3=20,(Invoer!$B$18+Invoer!$B$19+Invoer!$B$20)*(1+Invoer!$B$39)^H$3*(1-Invoer!$B$40),0)</s:f>
        <s:v>0</s:v>
      </s:c>
      <s:c r="I27" s="12">
        <s:f>IF(I$3=20,(Invoer!$B$18+Invoer!$B$19+Invoer!$B$20)*(1+Invoer!$B$39)^I$3*(1-Invoer!$B$40),0)</s:f>
        <s:v>0</s:v>
      </s:c>
      <s:c r="J27" s="12">
        <s:f>IF(J$3=20,(Invoer!$B$18+Invoer!$B$19+Invoer!$B$20)*(1+Invoer!$B$39)^J$3*(1-Invoer!$B$40),0)</s:f>
        <s:v>0</s:v>
      </s:c>
      <s:c r="K27" s="12">
        <s:f>IF(K$3=20,(Invoer!$B$18+Invoer!$B$19+Invoer!$B$20)*(1+Invoer!$B$39)^K$3*(1-Invoer!$B$40),0)</s:f>
        <s:v>0</s:v>
      </s:c>
      <s:c r="L27" s="12">
        <s:f>IF(L$3=20,(Invoer!$B$18+Invoer!$B$19+Invoer!$B$20)*(1+Invoer!$B$39)^L$3*(1-Invoer!$B$40),0)</s:f>
        <s:v>0</s:v>
      </s:c>
      <s:c r="M27" s="12">
        <s:f>IF(M$3=20,(Invoer!$B$18+Invoer!$B$19+Invoer!$B$20)*(1+Invoer!$B$39)^M$3*(1-Invoer!$B$40),0)</s:f>
        <s:v>0</s:v>
      </s:c>
      <s:c r="N27" s="12">
        <s:f>IF(N$3=20,(Invoer!$B$18+Invoer!$B$19+Invoer!$B$20)*(1+Invoer!$B$39)^N$3*(1-Invoer!$B$40),0)</s:f>
        <s:v>0</s:v>
      </s:c>
      <s:c r="O27" s="12">
        <s:f>IF(O$3=20,(Invoer!$B$18+Invoer!$B$19+Invoer!$B$20)*(1+Invoer!$B$39)^O$3*(1-Invoer!$B$40),0)</s:f>
        <s:v>0</s:v>
      </s:c>
      <s:c r="P27" s="12">
        <s:f>IF(P$3=20,(Invoer!$B$18+Invoer!$B$19+Invoer!$B$20)*(1+Invoer!$B$39)^P$3*(1-Invoer!$B$40),0)</s:f>
        <s:v>0</s:v>
      </s:c>
      <s:c r="Q27" s="12">
        <s:f>IF(Q$3=20,(Invoer!$B$18+Invoer!$B$19+Invoer!$B$20)*(1+Invoer!$B$39)^Q$3*(1-Invoer!$B$40),0)</s:f>
        <s:v>0</s:v>
      </s:c>
      <s:c r="R27" s="12">
        <s:f>IF(R$3=20,(Invoer!$B$18+Invoer!$B$19+Invoer!$B$20)*(1+Invoer!$B$39)^R$3*(1-Invoer!$B$40),0)</s:f>
        <s:v>0</s:v>
      </s:c>
      <s:c r="S27" s="12">
        <s:f>IF(S$3=20,(Invoer!$B$18+Invoer!$B$19+Invoer!$B$20)*(1+Invoer!$B$39)^S$3*(1-Invoer!$B$40),0)</s:f>
        <s:v>0</s:v>
      </s:c>
      <s:c r="T27" s="12">
        <s:f>IF(T$3=20,(Invoer!$B$18+Invoer!$B$19+Invoer!$B$20)*(1+Invoer!$B$39)^T$3*(1-Invoer!$B$40),0)</s:f>
        <s:v>0</s:v>
      </s:c>
      <s:c r="U27" s="12">
        <s:f>IF(U$3=20,(Invoer!$B$18+Invoer!$B$19+Invoer!$B$20)*(1+Invoer!$B$39)^U$3*(1-Invoer!$B$40),0)</s:f>
        <s:v>0</s:v>
      </s:c>
      <s:c r="V27" s="12">
        <s:f>IF(V$3=20,(Invoer!$B$18+Invoer!$B$19+Invoer!$B$20)*(1+Invoer!$B$39)^V$3*(1-Invoer!$B$40),0)</s:f>
        <s:v>710150.6032497168</s:v>
      </s:c>
    </s:row>
    <s:row r="28">
      <s:c r="A28" s="7" t="inlineStr">
        <s:is>
          <s:t>Netto kasstroom</s:t>
        </s:is>
      </s:c>
      <s:c r="B28" s="19">
        <s:f>-Samenvatting!B8</s:f>
        <s:v>-635000</s:v>
      </s:c>
      <s:c r="C28" s="19">
        <s:f>SUM(C25:C27)</s:f>
        <s:v>45405.2</s:v>
      </s:c>
      <s:c r="D28" s="19">
        <s:f>SUM(D25:D27)</s:f>
        <s:v>46313.304000000004</s:v>
      </s:c>
      <s:c r="E28" s="19">
        <s:f>SUM(E25:E27)</s:f>
        <s:v>47239.57008</s:v>
      </s:c>
      <s:c r="F28" s="19">
        <s:f>SUM(F25:F27)</s:f>
        <s:v>48184.361481600004</s:v>
      </s:c>
      <s:c r="G28" s="19">
        <s:f>SUM(G25:G27)</s:f>
        <s:v>49148.048711232</s:v>
      </s:c>
      <s:c r="H28" s="19">
        <s:f>SUM(H25:H27)</s:f>
        <s:v>50131.00968545664</s:v>
      </s:c>
      <s:c r="I28" s="19">
        <s:f>SUM(I25:I27)</s:f>
        <s:v>51133.62987916578</s:v>
      </s:c>
      <s:c r="J28" s="19">
        <s:f>SUM(J25:J27)</s:f>
        <s:v>52156.30247674908</s:v>
      </s:c>
      <s:c r="K28" s="19">
        <s:f>SUM(K25:K27)</s:f>
        <s:v>53199.42852628408</s:v>
      </s:c>
      <s:c r="L28" s="19">
        <s:f>SUM(L25:L27)</s:f>
        <s:v>54263.41709680976</s:v>
      </s:c>
      <s:c r="M28" s="19">
        <s:f>SUM(M25:M27)</s:f>
        <s:v>55348.68543874596</s:v>
      </s:c>
      <s:c r="N28" s="19">
        <s:f>SUM(N25:N27)</s:f>
        <s:v>56455.65914752088</s:v>
      </s:c>
      <s:c r="O28" s="19">
        <s:f>SUM(O25:O27)</s:f>
        <s:v>57584.7723304713</s:v>
      </s:c>
      <s:c r="P28" s="19">
        <s:f>SUM(P25:P27)</s:f>
        <s:v>58736.46777708072</s:v>
      </s:c>
      <s:c r="Q28" s="19">
        <s:f>SUM(Q25:Q27)</s:f>
        <s:v>59911.19713262233</s:v>
      </s:c>
      <s:c r="R28" s="19">
        <s:f>SUM(R25:R27)</s:f>
        <s:v>61109.42107527478</s:v>
      </s:c>
      <s:c r="S28" s="19">
        <s:f>SUM(S25:S27)</s:f>
        <s:v>62331.60949678028</s:v>
      </s:c>
      <s:c r="T28" s="19">
        <s:f>SUM(T25:T27)</s:f>
        <s:v>63578.24168671588</s:v>
      </s:c>
      <s:c r="U28" s="19">
        <s:f>SUM(U25:U27)</s:f>
        <s:v>64849.80652045021</s:v>
      </s:c>
      <s:c r="V28" s="19">
        <s:f>SUM(V25:V27)</s:f>
        <s:v>776297.405900576</s:v>
      </s:c>
    </s:row>
    <s:row r="29">
      <s:c r="A29" s="6" t="inlineStr">
        <s:is>
          <s:t>Contante waarde kasstroom</s:t>
        </s:is>
      </s:c>
      <s:c r="B29" s="12">
        <s:f>-Samenvatting!B8</s:f>
        <s:v>-635000</s:v>
      </s:c>
      <s:c r="C29" s="12">
        <s:f>C28/(1+Invoer!$B$38)^C$3</s:f>
        <s:v>42434.76635514018</s:v>
      </s:c>
      <s:c r="D29" s="12">
        <s:f>D28/(1+Invoer!$B$38)^D$3</s:f>
        <s:v>40451.83334789065</s:v>
      </s:c>
      <s:c r="E29" s="12">
        <s:f>E28/(1+Invoer!$B$38)^E$3</s:f>
        <s:v>38561.56076154061</s:v>
      </s:c>
      <s:c r="F29" s="12">
        <s:f>F28/(1+Invoer!$B$38)^F$3</s:f>
        <s:v>36759.618669879834</s:v>
      </s:c>
      <s:c r="G29" s="12">
        <s:f>G28/(1+Invoer!$B$38)^G$3</s:f>
        <s:v>35041.879479698524</s:v>
      </s:c>
      <s:c r="H29" s="12">
        <s:f>H28/(1+Invoer!$B$38)^H$3</s:f>
        <s:v>33404.4084759743</s:v>
      </s:c>
      <s:c r="I29" s="12">
        <s:f>I28/(1+Invoer!$B$38)^I$3</s:f>
        <s:v>31843.4548088727</s:v>
      </s:c>
      <s:c r="J29" s="12">
        <s:f>J28/(1+Invoer!$B$38)^J$3</s:f>
        <s:v>30355.442901916016</s:v>
      </s:c>
      <s:c r="K29" s="12">
        <s:f>K28/(1+Invoer!$B$38)^K$3</s:f>
        <s:v>28936.964261639572</s:v>
      </s:c>
      <s:c r="L29" s="12">
        <s:f>L28/(1+Invoer!$B$38)^L$3</s:f>
        <s:v>27584.769669974172</s:v>
      </s:c>
      <s:c r="M29" s="12">
        <s:f>M28/(1+Invoer!$B$38)^M$3</s:f>
        <s:v>26295.761741470706</s:v>
      </s:c>
      <s:c r="N29" s="12">
        <s:f>N28/(1+Invoer!$B$38)^N$3</s:f>
        <s:v>25066.98782831787</s:v>
      </s:c>
      <s:c r="O29" s="12">
        <s:f>O28/(1+Invoer!$B$38)^O$3</s:f>
        <s:v>23895.633256901147</s:v>
      </s:c>
      <s:c r="P29" s="12">
        <s:f>P28/(1+Invoer!$B$38)^P$3</s:f>
        <s:v>22779.014880410436</s:v>
      </s:c>
      <s:c r="Q29" s="12">
        <s:f>Q28/(1+Invoer!$B$38)^Q$3</s:f>
        <s:v>21714.5749327277</s:v>
      </s:c>
      <s:c r="R29" s="12">
        <s:f>R28/(1+Invoer!$B$38)^R$3</s:f>
        <s:v>20699.875169516126</s:v>
      </s:c>
      <s:c r="S29" s="12">
        <s:f>S28/(1+Invoer!$B$38)^S$3</s:f>
        <s:v>19732.59128309014</s:v>
      </s:c>
      <s:c r="T29" s="12">
        <s:f>T28/(1+Invoer!$B$38)^T$3</s:f>
        <s:v>18810.50757827284</s:v>
      </s:c>
      <s:c r="U29" s="12">
        <s:f>U28/(1+Invoer!$B$38)^U$3</s:f>
        <s:v>17931.51189704514</s:v>
      </s:c>
      <s:c r="V29" s="12">
        <s:f>V28/(1+Invoer!$B$38)^V$3</s:f>
        <s:v>200610.00151981972</s:v>
      </s:c>
    </s:row>
    <s:row r="30">
      <s:c r="A30" s="7" t="inlineStr">
        <s:is>
          <s:t>Cumulatieve kasstroom</s:t>
        </s:is>
      </s:c>
      <s:c r="B30" s="19">
        <s:f>-Samenvatting!B8</s:f>
        <s:v>-635000</s:v>
      </s:c>
      <s:c r="C30" s="19">
        <s:f>B30+C28</s:f>
        <s:v>-589594.8</s:v>
      </s:c>
      <s:c r="D30" s="19">
        <s:f>C30+D28</s:f>
        <s:v>-543281.496</s:v>
      </s:c>
      <s:c r="E30" s="19">
        <s:f>D30+E28</s:f>
        <s:v>-496041.92592000007</s:v>
      </s:c>
      <s:c r="F30" s="19">
        <s:f>E30+F28</s:f>
        <s:v>-447857.5644384001</s:v>
      </s:c>
      <s:c r="G30" s="19">
        <s:f>F30+G28</s:f>
        <s:v>-398709.51572716807</s:v>
      </s:c>
      <s:c r="H30" s="19">
        <s:f>G30+H28</s:f>
        <s:v>-348578.50604171143</s:v>
      </s:c>
      <s:c r="I30" s="19">
        <s:f>H30+I28</s:f>
        <s:v>-297444.87616254564</s:v>
      </s:c>
      <s:c r="J30" s="19">
        <s:f>I30+J28</s:f>
        <s:v>-245288.57368579655</s:v>
      </s:c>
      <s:c r="K30" s="19">
        <s:f>J30+K28</s:f>
        <s:v>-192089.14515951247</s:v>
      </s:c>
      <s:c r="L30" s="19">
        <s:f>K30+L28</s:f>
        <s:v>-137825.7280627027</s:v>
      </s:c>
      <s:c r="M30" s="19">
        <s:f>L30+M28</s:f>
        <s:v>-82477.04262395673</s:v>
      </s:c>
      <s:c r="N30" s="19">
        <s:f>M30+N28</s:f>
        <s:v>-26021.383476435854</s:v>
      </s:c>
      <s:c r="O30" s="19">
        <s:f>N30+O28</s:f>
        <s:v>31563.388854035446</s:v>
      </s:c>
      <s:c r="P30" s="19">
        <s:f>O30+P28</s:f>
        <s:v>90299.85663111616</s:v>
      </s:c>
      <s:c r="Q30" s="19">
        <s:f>P30+Q28</s:f>
        <s:v>150211.05376373848</s:v>
      </s:c>
      <s:c r="R30" s="19">
        <s:f>Q30+R28</s:f>
        <s:v>211320.47483901327</s:v>
      </s:c>
      <s:c r="S30" s="19">
        <s:f>R30+S28</s:f>
        <s:v>273652.08433579357</s:v>
      </s:c>
      <s:c r="T30" s="19">
        <s:f>S30+T28</s:f>
        <s:v>337230.3260225094</s:v>
      </s:c>
      <s:c r="U30" s="19">
        <s:f>T30+U28</s:f>
        <s:v>402080.13254295965</s:v>
      </s:c>
      <s:c r="V30" s="19">
        <s:f>U30+V28</s:f>
        <s:v>1178377.5384435356</s:v>
      </s:c>
    </s:row>
    <s:row r="31">
      <s:c r="A31" s="6" t="inlineStr">
        <s:is>
          <s:t>Terugverdiend (1=ja)</s:t>
        </s:is>
      </s:c>
      <s:c r="B31" s="12">
        <s:f>IF(B30&gt;=0,1,0)</s:f>
        <s:v>0</s:v>
      </s:c>
      <s:c r="C31" s="12">
        <s:f>IF(C30&gt;=0,1,0)</s:f>
        <s:v>0</s:v>
      </s:c>
      <s:c r="D31" s="12">
        <s:f>IF(D30&gt;=0,1,0)</s:f>
        <s:v>0</s:v>
      </s:c>
      <s:c r="E31" s="12">
        <s:f>IF(E30&gt;=0,1,0)</s:f>
        <s:v>0</s:v>
      </s:c>
      <s:c r="F31" s="12">
        <s:f>IF(F30&gt;=0,1,0)</s:f>
        <s:v>0</s:v>
      </s:c>
      <s:c r="G31" s="12">
        <s:f>IF(G30&gt;=0,1,0)</s:f>
        <s:v>0</s:v>
      </s:c>
      <s:c r="H31" s="12">
        <s:f>IF(H30&gt;=0,1,0)</s:f>
        <s:v>0</s:v>
      </s:c>
      <s:c r="I31" s="12">
        <s:f>IF(I30&gt;=0,1,0)</s:f>
        <s:v>0</s:v>
      </s:c>
      <s:c r="J31" s="12">
        <s:f>IF(J30&gt;=0,1,0)</s:f>
        <s:v>0</s:v>
      </s:c>
      <s:c r="K31" s="12">
        <s:f>IF(K30&gt;=0,1,0)</s:f>
        <s:v>0</s:v>
      </s:c>
      <s:c r="L31" s="12">
        <s:f>IF(L30&gt;=0,1,0)</s:f>
        <s:v>0</s:v>
      </s:c>
      <s:c r="M31" s="12">
        <s:f>IF(M30&gt;=0,1,0)</s:f>
        <s:v>0</s:v>
      </s:c>
      <s:c r="N31" s="12">
        <s:f>IF(N30&gt;=0,1,0)</s:f>
        <s:v>0</s:v>
      </s:c>
      <s:c r="O31" s="12">
        <s:f>IF(O30&gt;=0,1,0)</s:f>
        <s:v>1</s:v>
      </s:c>
      <s:c r="P31" s="12">
        <s:f>IF(P30&gt;=0,1,0)</s:f>
        <s:v>1</s:v>
      </s:c>
      <s:c r="Q31" s="12">
        <s:f>IF(Q30&gt;=0,1,0)</s:f>
        <s:v>1</s:v>
      </s:c>
      <s:c r="R31" s="12">
        <s:f>IF(R30&gt;=0,1,0)</s:f>
        <s:v>1</s:v>
      </s:c>
      <s:c r="S31" s="12">
        <s:f>IF(S30&gt;=0,1,0)</s:f>
        <s:v>1</s:v>
      </s:c>
      <s:c r="T31" s="12">
        <s:f>IF(T30&gt;=0,1,0)</s:f>
        <s:v>1</s:v>
      </s:c>
      <s:c r="U31" s="12">
        <s:f>IF(U30&gt;=0,1,0)</s:f>
        <s:v>1</s:v>
      </s:c>
      <s:c r="V31" s="12">
        <s:f>IF(V30&gt;=0,1,0)</s:f>
        <s:v>1</s:v>
      </s:c>
    </s:row>
  </s:sheetData>
  <s:conditionalFormatting sqref="B28:V30">
    <s:cfRule type="cellIs" priority="1" operator="lessThan" dxfId="0">
      <s:formula>0</s:formula>
    </s:cfRule>
  </s:conditionalFormatting>
  <s:printOptions horizontalCentered="1"/>
  <s:pageMargins left="0.75" right="0.75" top="1" bottom="1" header="0.5" footer="0.5"/>
  <s:pageSetup orientation="landscape" paperSize="8" fitToHeight="0" fitToWidth="1"/>
</s:worksheet>
</file>

<file path=xl/worksheets/sheet5.xml><?xml version="1.0" encoding="utf-8"?>
<s:worksheet xmlns:s="http://schemas.openxmlformats.org/spreadsheetml/2006/main">
  <s:sheetPr>
    <s:outlinePr summaryBelow="1" summaryRight="0"/>
    <s:pageSetUpPr fitToPage="1"/>
  </s:sheetPr>
  <s:dimension ref="A1:D61"/>
  <s:sheetViews>
    <s:sheetView showGridLines="0" workbookViewId="0">
      <s:pane xSplit="1" ySplit="3" topLeftCell="B4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5" customWidth="1" min="1" max="1"/>
    <s:col width="19" customWidth="1" min="2" max="2"/>
    <s:col width="19" customWidth="1" min="3" max="3"/>
    <s:col width="19" customWidth="1" min="4" max="4"/>
  </s:cols>
  <s:sheetData>
    <s:row r="1" ht="32" customHeight="1">
      <s:c r="A1" s="5" t="inlineStr">
        <s:is>
          <s:t>Vergelijking | identieke investering en aannames</s:t>
        </s:is>
      </s:c>
      <s:c r="B1" s="5" t="n"/>
      <s:c r="C1" s="5" t="n"/>
      <s:c r="D1" s="5" t="n"/>
    </s:row>
    <s:row r="2">
      <s:c r="A2" s="6" t="n"/>
      <s:c r="B2" s="6" t="n"/>
      <s:c r="C2" s="6" t="n"/>
      <s:c r="D2" s="6" t="n"/>
    </s:row>
    <s:row r="3">
      <s:c r="A3" s="7" t="inlineStr">
        <s:is>
          <s:t>Scenario</s:t>
        </s:is>
      </s:c>
      <s:c r="B3" s="7" t="inlineStr">
        <s:is>
          <s:t>12 maanden student</s:t>
        </s:is>
      </s:c>
      <s:c r="C3" s="7" t="inlineStr">
        <s:is>
          <s:t>8 student + 2 Airbnb</s:t>
        </s:is>
      </s:c>
      <s:c r="D3" s="7" t="inlineStr">
        <s:is>
          <s:t>Vrije mix</s:t>
        </s:is>
      </s:c>
    </s:row>
    <s:row r="4">
      <s:c r="A4" s="8" t="inlineStr">
        <s:is>
          <s:t>Studentmaanden</s:t>
        </s:is>
      </s:c>
      <s:c r="B4" s="10" t="n">
        <s:v>12</s:v>
      </s:c>
      <s:c r="C4" s="10" t="n">
        <s:v>8</s:v>
      </s:c>
      <s:c r="D4" s="10">
        <s:f>Invoer!$B$8</s:f>
        <s:v>8</s:v>
      </s:c>
    </s:row>
    <s:row r="5">
      <s:c r="A5" s="6" t="inlineStr">
        <s:is>
          <s:t>Airbnb-maanden</s:t>
        </s:is>
      </s:c>
      <s:c r="B5" s="12" t="n">
        <s:v>0</s:v>
      </s:c>
      <s:c r="C5" s="12" t="n">
        <s:v>2</s:v>
      </s:c>
      <s:c r="D5" s="12">
        <s:f>Invoer!$B$9</s:f>
        <s:v>2</s:v>
      </s:c>
    </s:row>
    <s:row r="6">
      <s:c r="A6" s="8" t="inlineStr">
        <s:is>
          <s:t>Niet ingeplande maanden</s:t>
        </s:is>
      </s:c>
      <s:c r="B6" s="10">
        <s:f>12-B4-B5</s:f>
        <s:v>0</s:v>
      </s:c>
      <s:c r="C6" s="10">
        <s:f>12-C4-C5</s:f>
        <s:v>2</s:v>
      </s:c>
      <s:c r="D6" s="10">
        <s:f>12-D4-D5</s:f>
        <s:v>2</s:v>
      </s:c>
    </s:row>
    <s:row r="7">
      <s:c r="A7" s="6" t="inlineStr">
        <s:is>
          <s:t>Omzet jaar 1</s:t>
        </s:is>
      </s:c>
      <s:c r="B7" s="12">
        <s:f>(Invoer!$B$5*B$4*Invoer!$B$10*Invoer!$B$6*(1+Invoer!$B$7)^(1-1)+Invoer!$B$5*B$5*Invoer!$B$13*Invoer!$B$12*Invoer!$B$11*(1+Invoer!$B$14)^(1-1)+(Invoer!$B$5*(B$4*Invoer!$B$10+B$5*Invoer!$B$12))*(Invoer!$B$29+Invoer!$B$31+Invoer!$B$33+Invoer!$B$35)*(1+Invoer!$B$37)^(1-1))</s:f>
        <s:v>71820.0</s:v>
      </s:c>
      <s:c r="C7" s="12">
        <s:f>(Invoer!$B$5*C$4*Invoer!$B$10*Invoer!$B$6*(1+Invoer!$B$7)^(1-1)+Invoer!$B$5*C$5*Invoer!$B$13*Invoer!$B$12*Invoer!$B$11*(1+Invoer!$B$14)^(1-1)+(Invoer!$B$5*(C$4*Invoer!$B$10+C$5*Invoer!$B$12))*(Invoer!$B$29+Invoer!$B$31+Invoer!$B$33+Invoer!$B$35)*(1+Invoer!$B$37)^(1-1))</s:f>
        <s:v>75240.0</s:v>
      </s:c>
      <s:c r="D7" s="12">
        <s:f>(Invoer!$B$5*D$4*Invoer!$B$10*Invoer!$B$6*(1+Invoer!$B$7)^(1-1)+Invoer!$B$5*D$5*Invoer!$B$13*Invoer!$B$12*Invoer!$B$11*(1+Invoer!$B$14)^(1-1)+(Invoer!$B$5*(D$4*Invoer!$B$10+D$5*Invoer!$B$12))*(Invoer!$B$29+Invoer!$B$31+Invoer!$B$33+Invoer!$B$35)*(1+Invoer!$B$37)^(1-1))</s:f>
        <s:v>75240.0</s:v>
      </s:c>
    </s:row>
    <s:row r="8">
      <s:c r="A8" s="8" t="inlineStr">
        <s:is>
          <s:t>Kosten jaar 1</s:t>
        </s:is>
      </s:c>
      <s:c r="B8" s="10">
        <s:f>((Invoer!$B$24+Invoer!$B$25+Invoer!$B$26+(Invoer!$B$5*B$5*Invoer!$B$13*Invoer!$B$12)/Invoer!$B$15*Invoer!$B$17 )*(1+Invoer!$B$28)^(1-1)+(Invoer!$B$5*B$5*Invoer!$B$13*Invoer!$B$12*Invoer!$B$11*(1+Invoer!$B$14)^(1-1))*Invoer!$B$16+(Invoer!$B$5*B$4*Invoer!$B$10*Invoer!$B$6*(1+Invoer!$B$7)^(1-1)+Invoer!$B$5*B$5*Invoer!$B$13*Invoer!$B$12*Invoer!$B$11*(1+Invoer!$B$14)^(1-1)+(Invoer!$B$5*(B$4*Invoer!$B$10+B$5*Invoer!$B$12))*(Invoer!$B$29+Invoer!$B$31+Invoer!$B$33+Invoer!$B$35)*(1+Invoer!$B$37)^(1-1))*Invoer!$B$27+(Invoer!$B$5*(B$4*Invoer!$B$10+B$5*Invoer!$B$12))*(Invoer!$B$29*Invoer!$B$30+Invoer!$B$31*Invoer!$B$32+Invoer!$B$33*Invoer!$B$34+Invoer!$B$35*Invoer!$B$36)*(1+Invoer!$B$37)^(1-1))</s:f>
        <s:v>27307.399999999998</s:v>
      </s:c>
      <s:c r="C8" s="10">
        <s:f>((Invoer!$B$24+Invoer!$B$25+Invoer!$B$26+(Invoer!$B$5*C$5*Invoer!$B$13*Invoer!$B$12)/Invoer!$B$15*Invoer!$B$17 )*(1+Invoer!$B$28)^(1-1)+(Invoer!$B$5*C$5*Invoer!$B$13*Invoer!$B$12*Invoer!$B$11*(1+Invoer!$B$14)^(1-1))*Invoer!$B$16+(Invoer!$B$5*C$4*Invoer!$B$10*Invoer!$B$6*(1+Invoer!$B$7)^(1-1)+Invoer!$B$5*C$5*Invoer!$B$13*Invoer!$B$12*Invoer!$B$11*(1+Invoer!$B$14)^(1-1)+(Invoer!$B$5*(C$4*Invoer!$B$10+C$5*Invoer!$B$12))*(Invoer!$B$29+Invoer!$B$31+Invoer!$B$33+Invoer!$B$35)*(1+Invoer!$B$37)^(1-1))*Invoer!$B$27+(Invoer!$B$5*(C$4*Invoer!$B$10+C$5*Invoer!$B$12))*(Invoer!$B$29*Invoer!$B$30+Invoer!$B$31*Invoer!$B$32+Invoer!$B$33*Invoer!$B$34+Invoer!$B$35*Invoer!$B$36)*(1+Invoer!$B$37)^(1-1))</s:f>
        <s:v>29834.8</s:v>
      </s:c>
      <s:c r="D8" s="10">
        <s:f>((Invoer!$B$24+Invoer!$B$25+Invoer!$B$26+(Invoer!$B$5*D$5*Invoer!$B$13*Invoer!$B$12)/Invoer!$B$15*Invoer!$B$17 )*(1+Invoer!$B$28)^(1-1)+(Invoer!$B$5*D$5*Invoer!$B$13*Invoer!$B$12*Invoer!$B$11*(1+Invoer!$B$14)^(1-1))*Invoer!$B$16+(Invoer!$B$5*D$4*Invoer!$B$10*Invoer!$B$6*(1+Invoer!$B$7)^(1-1)+Invoer!$B$5*D$5*Invoer!$B$13*Invoer!$B$12*Invoer!$B$11*(1+Invoer!$B$14)^(1-1)+(Invoer!$B$5*(D$4*Invoer!$B$10+D$5*Invoer!$B$12))*(Invoer!$B$29+Invoer!$B$31+Invoer!$B$33+Invoer!$B$35)*(1+Invoer!$B$37)^(1-1))*Invoer!$B$27+(Invoer!$B$5*(D$4*Invoer!$B$10+D$5*Invoer!$B$12))*(Invoer!$B$29*Invoer!$B$30+Invoer!$B$31*Invoer!$B$32+Invoer!$B$33*Invoer!$B$34+Invoer!$B$35*Invoer!$B$36)*(1+Invoer!$B$37)^(1-1))</s:f>
        <s:v>29834.8</s:v>
      </s:c>
    </s:row>
    <s:row r="9">
      <s:c r="A9" s="6" t="inlineStr">
        <s:is>
          <s:t>Operationele kasstroom jaar 1</s:t>
        </s:is>
      </s:c>
      <s:c r="B9" s="12">
        <s:f>B7-B8</s:f>
        <s:v>44512.600000000006</s:v>
      </s:c>
      <s:c r="C9" s="12">
        <s:f>C7-C8</s:f>
        <s:v>45405.2</s:v>
      </s:c>
      <s:c r="D9" s="12">
        <s:f>D7-D8</s:f>
        <s:v>45405.2</s:v>
      </s:c>
    </s:row>
    <s:row r="10">
      <s:c r="A10" s="8" t="inlineStr">
        <s:is>
          <s:t>Netto contante waarde</s:t>
        </s:is>
      </s:c>
      <s:c r="B10" s="10">
        <s:f>NPV(Invoer!$B$38,B18:B37)+B17</s:f>
        <s:v>96914.27405498823</s:v>
      </s:c>
      <s:c r="C10" s="10">
        <s:f>NPV(Invoer!$B$38,C18:C37)+C17</s:f>
        <s:v>107911.15882009832</s:v>
      </s:c>
      <s:c r="D10" s="10">
        <s:f>NPV(Invoer!$B$38,D18:D37)+D17</s:f>
        <s:v>107911.15882009832</s:v>
      </s:c>
    </s:row>
    <s:row r="11">
      <s:c r="A11" s="6" t="inlineStr">
        <s:is>
          <s:t>IRR incl. verkoop</s:t>
        </s:is>
      </s:c>
      <s:c r="B11" s="20">
        <s:f>IFERROR(IRR(B17:B37),"Niet berekenbaar")</s:f>
        <s:v>0.08339627398552352</s:v>
      </s:c>
      <s:c r="C11" s="20">
        <s:f>IFERROR(IRR(C17:C37),"Niet berekenbaar")</s:f>
        <s:v>0.08490839889486568</s:v>
      </s:c>
      <s:c r="D11" s="20">
        <s:f>IFERROR(IRR(D17:D37),"Niet berekenbaar")</s:f>
        <s:v>0.08490839889486568</s:v>
      </s:c>
    </s:row>
    <s:row r="12">
      <s:c r="A12" s="8" t="inlineStr">
        <s:is>
          <s:t>Cumulatieve kasstroom na 20 jaar</s:t>
        </s:is>
      </s:c>
      <s:c r="B12" s="10">
        <s:f>SUM(B17:B37)</s:f>
        <s:v>1156689.7061610217</s:v>
      </s:c>
      <s:c r="C12" s="10">
        <s:f>SUM(C17:C37)</s:f>
        <s:v>1178377.5384435356</s:v>
      </s:c>
      <s:c r="D12" s="10">
        <s:f>SUM(D17:D37)</s:f>
        <s:v>1178377.5384435356</s:v>
      </s:c>
    </s:row>
    <s:row r="13">
      <s:c r="A13" s="6" t="inlineStr">
        <s:is>
          <s:t>Kalendercontrole</s:t>
        </s:is>
      </s:c>
      <s:c r="B13" s="12" t="str">
        <s:f>IF(B4+B5&lt;=12,"OK","FOUT: totaal &gt; 12 maanden")</s:f>
        <s:v>OK</s:v>
      </s:c>
      <s:c r="C13" s="12" t="str">
        <s:f>IF(C4+C5&lt;=12,"OK","FOUT: totaal &gt; 12 maanden")</s:f>
        <s:v>OK</s:v>
      </s:c>
      <s:c r="D13" s="12" t="str">
        <s:f>IF(D4+D5&lt;=12,"OK","FOUT: totaal &gt; 12 maanden")</s:f>
        <s:v>OK</s:v>
      </s:c>
    </s:row>
    <s:row r="14">
      <s:c r="A14" s="8" t="n"/>
      <s:c r="B14" s="10" t="n"/>
      <s:c r="C14" s="10" t="n"/>
      <s:c r="D14" s="10" t="n"/>
    </s:row>
    <s:row r="15">
      <s:c r="A15" s="6" t="n"/>
      <s:c r="B15" s="12" t="n"/>
      <s:c r="C15" s="12" t="n"/>
      <s:c r="D15" s="12" t="n"/>
    </s:row>
    <s:row r="16">
      <s:c r="A16" s="8" t="inlineStr">
        <s:is>
          <s:t>Jaar / netto kasstroom</s:t>
        </s:is>
      </s:c>
      <s:c r="B16" s="10" t="n"/>
      <s:c r="C16" s="10" t="n"/>
      <s:c r="D16" s="10" t="n"/>
    </s:row>
    <s:row r="17">
      <s:c r="A17" s="6" t="n">
        <s:v>0</s:v>
      </s:c>
      <s:c r="B17" s="12">
        <s:f>-Samenvatting!B8</s:f>
        <s:v>-635000</s:v>
      </s:c>
      <s:c r="C17" s="12">
        <s:f>-Samenvatting!B8</s:f>
        <s:v>-635000</s:v>
      </s:c>
      <s:c r="D17" s="12">
        <s:f>-Samenvatting!B8</s:f>
        <s:v>-635000</s:v>
      </s:c>
    </s:row>
    <s:row r="18">
      <s:c r="A18" s="8" t="n">
        <s:v>1</s:v>
      </s:c>
      <s:c r="B18" s="10">
        <s:f>(Invoer!$B$5*B$4*Invoer!$B$10*Invoer!$B$6*(1+Invoer!$B$7)^($A18-1)+Invoer!$B$5*B$5*Invoer!$B$13*Invoer!$B$12*Invoer!$B$11*(1+Invoer!$B$14)^($A18-1)+(Invoer!$B$5*(B$4*Invoer!$B$10+B$5*Invoer!$B$12))*(Invoer!$B$29+Invoer!$B$31+Invoer!$B$33+Invoer!$B$35)*(1+Invoer!$B$37)^($A18-1))-((Invoer!$B$24+Invoer!$B$25+Invoer!$B$26+(Invoer!$B$5*B$5*Invoer!$B$13*Invoer!$B$12)/Invoer!$B$15*Invoer!$B$17 )*(1+Invoer!$B$28)^($A18-1)+(Invoer!$B$5*B$5*Invoer!$B$13*Invoer!$B$12*Invoer!$B$11*(1+Invoer!$B$14)^($A18-1))*Invoer!$B$16+(Invoer!$B$5*B$4*Invoer!$B$10*Invoer!$B$6*(1+Invoer!$B$7)^($A18-1)+Invoer!$B$5*B$5*Invoer!$B$13*Invoer!$B$12*Invoer!$B$11*(1+Invoer!$B$14)^($A18-1)+(Invoer!$B$5*(B$4*Invoer!$B$10+B$5*Invoer!$B$12))*(Invoer!$B$29+Invoer!$B$31+Invoer!$B$33+Invoer!$B$35)*(1+Invoer!$B$37)^($A18-1))*Invoer!$B$27+(Invoer!$B$5*(B$4*Invoer!$B$10+B$5*Invoer!$B$12))*(Invoer!$B$29*Invoer!$B$30+Invoer!$B$31*Invoer!$B$32+Invoer!$B$33*Invoer!$B$34+Invoer!$B$35*Invoer!$B$36)*(1+Invoer!$B$37)^($A18-1))+IF($A18=20,Kasstromen!$V$27,0)</s:f>
        <s:v>44512.600000000006</s:v>
      </s:c>
      <s:c r="C18" s="10">
        <s:f>(Invoer!$B$5*C$4*Invoer!$B$10*Invoer!$B$6*(1+Invoer!$B$7)^($A18-1)+Invoer!$B$5*C$5*Invoer!$B$13*Invoer!$B$12*Invoer!$B$11*(1+Invoer!$B$14)^($A18-1)+(Invoer!$B$5*(C$4*Invoer!$B$10+C$5*Invoer!$B$12))*(Invoer!$B$29+Invoer!$B$31+Invoer!$B$33+Invoer!$B$35)*(1+Invoer!$B$37)^($A18-1))-((Invoer!$B$24+Invoer!$B$25+Invoer!$B$26+(Invoer!$B$5*C$5*Invoer!$B$13*Invoer!$B$12)/Invoer!$B$15*Invoer!$B$17 )*(1+Invoer!$B$28)^($A18-1)+(Invoer!$B$5*C$5*Invoer!$B$13*Invoer!$B$12*Invoer!$B$11*(1+Invoer!$B$14)^($A18-1))*Invoer!$B$16+(Invoer!$B$5*C$4*Invoer!$B$10*Invoer!$B$6*(1+Invoer!$B$7)^($A18-1)+Invoer!$B$5*C$5*Invoer!$B$13*Invoer!$B$12*Invoer!$B$11*(1+Invoer!$B$14)^($A18-1)+(Invoer!$B$5*(C$4*Invoer!$B$10+C$5*Invoer!$B$12))*(Invoer!$B$29+Invoer!$B$31+Invoer!$B$33+Invoer!$B$35)*(1+Invoer!$B$37)^($A18-1))*Invoer!$B$27+(Invoer!$B$5*(C$4*Invoer!$B$10+C$5*Invoer!$B$12))*(Invoer!$B$29*Invoer!$B$30+Invoer!$B$31*Invoer!$B$32+Invoer!$B$33*Invoer!$B$34+Invoer!$B$35*Invoer!$B$36)*(1+Invoer!$B$37)^($A18-1))+IF($A18=20,Kasstromen!$V$27,0)</s:f>
        <s:v>45405.2</s:v>
      </s:c>
      <s:c r="D18" s="10">
        <s:f>(Invoer!$B$5*D$4*Invoer!$B$10*Invoer!$B$6*(1+Invoer!$B$7)^($A18-1)+Invoer!$B$5*D$5*Invoer!$B$13*Invoer!$B$12*Invoer!$B$11*(1+Invoer!$B$14)^($A18-1)+(Invoer!$B$5*(D$4*Invoer!$B$10+D$5*Invoer!$B$12))*(Invoer!$B$29+Invoer!$B$31+Invoer!$B$33+Invoer!$B$35)*(1+Invoer!$B$37)^($A18-1))-((Invoer!$B$24+Invoer!$B$25+Invoer!$B$26+(Invoer!$B$5*D$5*Invoer!$B$13*Invoer!$B$12)/Invoer!$B$15*Invoer!$B$17 )*(1+Invoer!$B$28)^($A18-1)+(Invoer!$B$5*D$5*Invoer!$B$13*Invoer!$B$12*Invoer!$B$11*(1+Invoer!$B$14)^($A18-1))*Invoer!$B$16+(Invoer!$B$5*D$4*Invoer!$B$10*Invoer!$B$6*(1+Invoer!$B$7)^($A18-1)+Invoer!$B$5*D$5*Invoer!$B$13*Invoer!$B$12*Invoer!$B$11*(1+Invoer!$B$14)^($A18-1)+(Invoer!$B$5*(D$4*Invoer!$B$10+D$5*Invoer!$B$12))*(Invoer!$B$29+Invoer!$B$31+Invoer!$B$33+Invoer!$B$35)*(1+Invoer!$B$37)^($A18-1))*Invoer!$B$27+(Invoer!$B$5*(D$4*Invoer!$B$10+D$5*Invoer!$B$12))*(Invoer!$B$29*Invoer!$B$30+Invoer!$B$31*Invoer!$B$32+Invoer!$B$33*Invoer!$B$34+Invoer!$B$35*Invoer!$B$36)*(1+Invoer!$B$37)^($A18-1))+IF($A18=20,Kasstromen!$V$27,0)</s:f>
        <s:v>45405.2</s:v>
      </s:c>
    </s:row>
    <s:row r="19">
      <s:c r="A19" s="6" t="n">
        <s:v>2</s:v>
      </s:c>
      <s:c r="B19" s="12">
        <s:f>(Invoer!$B$5*B$4*Invoer!$B$10*Invoer!$B$6*(1+Invoer!$B$7)^($A19-1)+Invoer!$B$5*B$5*Invoer!$B$13*Invoer!$B$12*Invoer!$B$11*(1+Invoer!$B$14)^($A19-1)+(Invoer!$B$5*(B$4*Invoer!$B$10+B$5*Invoer!$B$12))*(Invoer!$B$29+Invoer!$B$31+Invoer!$B$33+Invoer!$B$35)*(1+Invoer!$B$37)^($A19-1))-((Invoer!$B$24+Invoer!$B$25+Invoer!$B$26+(Invoer!$B$5*B$5*Invoer!$B$13*Invoer!$B$12)/Invoer!$B$15*Invoer!$B$17 )*(1+Invoer!$B$28)^($A19-1)+(Invoer!$B$5*B$5*Invoer!$B$13*Invoer!$B$12*Invoer!$B$11*(1+Invoer!$B$14)^($A19-1))*Invoer!$B$16+(Invoer!$B$5*B$4*Invoer!$B$10*Invoer!$B$6*(1+Invoer!$B$7)^($A19-1)+Invoer!$B$5*B$5*Invoer!$B$13*Invoer!$B$12*Invoer!$B$11*(1+Invoer!$B$14)^($A19-1)+(Invoer!$B$5*(B$4*Invoer!$B$10+B$5*Invoer!$B$12))*(Invoer!$B$29+Invoer!$B$31+Invoer!$B$33+Invoer!$B$35)*(1+Invoer!$B$37)^($A19-1))*Invoer!$B$27+(Invoer!$B$5*(B$4*Invoer!$B$10+B$5*Invoer!$B$12))*(Invoer!$B$29*Invoer!$B$30+Invoer!$B$31*Invoer!$B$32+Invoer!$B$33*Invoer!$B$34+Invoer!$B$35*Invoer!$B$36)*(1+Invoer!$B$37)^($A19-1))+IF($A19=20,Kasstromen!$V$27,0)</s:f>
        <s:v>45402.852</s:v>
      </s:c>
      <s:c r="C19" s="12">
        <s:f>(Invoer!$B$5*C$4*Invoer!$B$10*Invoer!$B$6*(1+Invoer!$B$7)^($A19-1)+Invoer!$B$5*C$5*Invoer!$B$13*Invoer!$B$12*Invoer!$B$11*(1+Invoer!$B$14)^($A19-1)+(Invoer!$B$5*(C$4*Invoer!$B$10+C$5*Invoer!$B$12))*(Invoer!$B$29+Invoer!$B$31+Invoer!$B$33+Invoer!$B$35)*(1+Invoer!$B$37)^($A19-1))-((Invoer!$B$24+Invoer!$B$25+Invoer!$B$26+(Invoer!$B$5*C$5*Invoer!$B$13*Invoer!$B$12)/Invoer!$B$15*Invoer!$B$17 )*(1+Invoer!$B$28)^($A19-1)+(Invoer!$B$5*C$5*Invoer!$B$13*Invoer!$B$12*Invoer!$B$11*(1+Invoer!$B$14)^($A19-1))*Invoer!$B$16+(Invoer!$B$5*C$4*Invoer!$B$10*Invoer!$B$6*(1+Invoer!$B$7)^($A19-1)+Invoer!$B$5*C$5*Invoer!$B$13*Invoer!$B$12*Invoer!$B$11*(1+Invoer!$B$14)^($A19-1)+(Invoer!$B$5*(C$4*Invoer!$B$10+C$5*Invoer!$B$12))*(Invoer!$B$29+Invoer!$B$31+Invoer!$B$33+Invoer!$B$35)*(1+Invoer!$B$37)^($A19-1))*Invoer!$B$27+(Invoer!$B$5*(C$4*Invoer!$B$10+C$5*Invoer!$B$12))*(Invoer!$B$29*Invoer!$B$30+Invoer!$B$31*Invoer!$B$32+Invoer!$B$33*Invoer!$B$34+Invoer!$B$35*Invoer!$B$36)*(1+Invoer!$B$37)^($A19-1))+IF($A19=20,Kasstromen!$V$27,0)</s:f>
        <s:v>46313.304000000004</s:v>
      </s:c>
      <s:c r="D19" s="12">
        <s:f>(Invoer!$B$5*D$4*Invoer!$B$10*Invoer!$B$6*(1+Invoer!$B$7)^($A19-1)+Invoer!$B$5*D$5*Invoer!$B$13*Invoer!$B$12*Invoer!$B$11*(1+Invoer!$B$14)^($A19-1)+(Invoer!$B$5*(D$4*Invoer!$B$10+D$5*Invoer!$B$12))*(Invoer!$B$29+Invoer!$B$31+Invoer!$B$33+Invoer!$B$35)*(1+Invoer!$B$37)^($A19-1))-((Invoer!$B$24+Invoer!$B$25+Invoer!$B$26+(Invoer!$B$5*D$5*Invoer!$B$13*Invoer!$B$12)/Invoer!$B$15*Invoer!$B$17 )*(1+Invoer!$B$28)^($A19-1)+(Invoer!$B$5*D$5*Invoer!$B$13*Invoer!$B$12*Invoer!$B$11*(1+Invoer!$B$14)^($A19-1))*Invoer!$B$16+(Invoer!$B$5*D$4*Invoer!$B$10*Invoer!$B$6*(1+Invoer!$B$7)^($A19-1)+Invoer!$B$5*D$5*Invoer!$B$13*Invoer!$B$12*Invoer!$B$11*(1+Invoer!$B$14)^($A19-1)+(Invoer!$B$5*(D$4*Invoer!$B$10+D$5*Invoer!$B$12))*(Invoer!$B$29+Invoer!$B$31+Invoer!$B$33+Invoer!$B$35)*(1+Invoer!$B$37)^($A19-1))*Invoer!$B$27+(Invoer!$B$5*(D$4*Invoer!$B$10+D$5*Invoer!$B$12))*(Invoer!$B$29*Invoer!$B$30+Invoer!$B$31*Invoer!$B$32+Invoer!$B$33*Invoer!$B$34+Invoer!$B$35*Invoer!$B$36)*(1+Invoer!$B$37)^($A19-1))+IF($A19=20,Kasstromen!$V$27,0)</s:f>
        <s:v>46313.304000000004</s:v>
      </s:c>
    </s:row>
    <s:row r="20">
      <s:c r="A20" s="8" t="n">
        <s:v>3</s:v>
      </s:c>
      <s:c r="B20" s="10">
        <s:f>(Invoer!$B$5*B$4*Invoer!$B$10*Invoer!$B$6*(1+Invoer!$B$7)^($A20-1)+Invoer!$B$5*B$5*Invoer!$B$13*Invoer!$B$12*Invoer!$B$11*(1+Invoer!$B$14)^($A20-1)+(Invoer!$B$5*(B$4*Invoer!$B$10+B$5*Invoer!$B$12))*(Invoer!$B$29+Invoer!$B$31+Invoer!$B$33+Invoer!$B$35)*(1+Invoer!$B$37)^($A20-1))-((Invoer!$B$24+Invoer!$B$25+Invoer!$B$26+(Invoer!$B$5*B$5*Invoer!$B$13*Invoer!$B$12)/Invoer!$B$15*Invoer!$B$17 )*(1+Invoer!$B$28)^($A20-1)+(Invoer!$B$5*B$5*Invoer!$B$13*Invoer!$B$12*Invoer!$B$11*(1+Invoer!$B$14)^($A20-1))*Invoer!$B$16+(Invoer!$B$5*B$4*Invoer!$B$10*Invoer!$B$6*(1+Invoer!$B$7)^($A20-1)+Invoer!$B$5*B$5*Invoer!$B$13*Invoer!$B$12*Invoer!$B$11*(1+Invoer!$B$14)^($A20-1)+(Invoer!$B$5*(B$4*Invoer!$B$10+B$5*Invoer!$B$12))*(Invoer!$B$29+Invoer!$B$31+Invoer!$B$33+Invoer!$B$35)*(1+Invoer!$B$37)^($A20-1))*Invoer!$B$27+(Invoer!$B$5*(B$4*Invoer!$B$10+B$5*Invoer!$B$12))*(Invoer!$B$29*Invoer!$B$30+Invoer!$B$31*Invoer!$B$32+Invoer!$B$33*Invoer!$B$34+Invoer!$B$35*Invoer!$B$36)*(1+Invoer!$B$37)^($A20-1))+IF($A20=20,Kasstromen!$V$27,0)</s:f>
        <s:v>46310.90904</s:v>
      </s:c>
      <s:c r="C20" s="10">
        <s:f>(Invoer!$B$5*C$4*Invoer!$B$10*Invoer!$B$6*(1+Invoer!$B$7)^($A20-1)+Invoer!$B$5*C$5*Invoer!$B$13*Invoer!$B$12*Invoer!$B$11*(1+Invoer!$B$14)^($A20-1)+(Invoer!$B$5*(C$4*Invoer!$B$10+C$5*Invoer!$B$12))*(Invoer!$B$29+Invoer!$B$31+Invoer!$B$33+Invoer!$B$35)*(1+Invoer!$B$37)^($A20-1))-((Invoer!$B$24+Invoer!$B$25+Invoer!$B$26+(Invoer!$B$5*C$5*Invoer!$B$13*Invoer!$B$12)/Invoer!$B$15*Invoer!$B$17 )*(1+Invoer!$B$28)^($A20-1)+(Invoer!$B$5*C$5*Invoer!$B$13*Invoer!$B$12*Invoer!$B$11*(1+Invoer!$B$14)^($A20-1))*Invoer!$B$16+(Invoer!$B$5*C$4*Invoer!$B$10*Invoer!$B$6*(1+Invoer!$B$7)^($A20-1)+Invoer!$B$5*C$5*Invoer!$B$13*Invoer!$B$12*Invoer!$B$11*(1+Invoer!$B$14)^($A20-1)+(Invoer!$B$5*(C$4*Invoer!$B$10+C$5*Invoer!$B$12))*(Invoer!$B$29+Invoer!$B$31+Invoer!$B$33+Invoer!$B$35)*(1+Invoer!$B$37)^($A20-1))*Invoer!$B$27+(Invoer!$B$5*(C$4*Invoer!$B$10+C$5*Invoer!$B$12))*(Invoer!$B$29*Invoer!$B$30+Invoer!$B$31*Invoer!$B$32+Invoer!$B$33*Invoer!$B$34+Invoer!$B$35*Invoer!$B$36)*(1+Invoer!$B$37)^($A20-1))+IF($A20=20,Kasstromen!$V$27,0)</s:f>
        <s:v>47239.57008</s:v>
      </s:c>
      <s:c r="D20" s="10">
        <s:f>(Invoer!$B$5*D$4*Invoer!$B$10*Invoer!$B$6*(1+Invoer!$B$7)^($A20-1)+Invoer!$B$5*D$5*Invoer!$B$13*Invoer!$B$12*Invoer!$B$11*(1+Invoer!$B$14)^($A20-1)+(Invoer!$B$5*(D$4*Invoer!$B$10+D$5*Invoer!$B$12))*(Invoer!$B$29+Invoer!$B$31+Invoer!$B$33+Invoer!$B$35)*(1+Invoer!$B$37)^($A20-1))-((Invoer!$B$24+Invoer!$B$25+Invoer!$B$26+(Invoer!$B$5*D$5*Invoer!$B$13*Invoer!$B$12)/Invoer!$B$15*Invoer!$B$17 )*(1+Invoer!$B$28)^($A20-1)+(Invoer!$B$5*D$5*Invoer!$B$13*Invoer!$B$12*Invoer!$B$11*(1+Invoer!$B$14)^($A20-1))*Invoer!$B$16+(Invoer!$B$5*D$4*Invoer!$B$10*Invoer!$B$6*(1+Invoer!$B$7)^($A20-1)+Invoer!$B$5*D$5*Invoer!$B$13*Invoer!$B$12*Invoer!$B$11*(1+Invoer!$B$14)^($A20-1)+(Invoer!$B$5*(D$4*Invoer!$B$10+D$5*Invoer!$B$12))*(Invoer!$B$29+Invoer!$B$31+Invoer!$B$33+Invoer!$B$35)*(1+Invoer!$B$37)^($A20-1))*Invoer!$B$27+(Invoer!$B$5*(D$4*Invoer!$B$10+D$5*Invoer!$B$12))*(Invoer!$B$29*Invoer!$B$30+Invoer!$B$31*Invoer!$B$32+Invoer!$B$33*Invoer!$B$34+Invoer!$B$35*Invoer!$B$36)*(1+Invoer!$B$37)^($A20-1))+IF($A20=20,Kasstromen!$V$27,0)</s:f>
        <s:v>47239.57008</s:v>
      </s:c>
    </s:row>
    <s:row r="21">
      <s:c r="A21" s="6" t="n">
        <s:v>4</s:v>
      </s:c>
      <s:c r="B21" s="12">
        <s:f>(Invoer!$B$5*B$4*Invoer!$B$10*Invoer!$B$6*(1+Invoer!$B$7)^($A21-1)+Invoer!$B$5*B$5*Invoer!$B$13*Invoer!$B$12*Invoer!$B$11*(1+Invoer!$B$14)^($A21-1)+(Invoer!$B$5*(B$4*Invoer!$B$10+B$5*Invoer!$B$12))*(Invoer!$B$29+Invoer!$B$31+Invoer!$B$33+Invoer!$B$35)*(1+Invoer!$B$37)^($A21-1))-((Invoer!$B$24+Invoer!$B$25+Invoer!$B$26+(Invoer!$B$5*B$5*Invoer!$B$13*Invoer!$B$12)/Invoer!$B$15*Invoer!$B$17 )*(1+Invoer!$B$28)^($A21-1)+(Invoer!$B$5*B$5*Invoer!$B$13*Invoer!$B$12*Invoer!$B$11*(1+Invoer!$B$14)^($A21-1))*Invoer!$B$16+(Invoer!$B$5*B$4*Invoer!$B$10*Invoer!$B$6*(1+Invoer!$B$7)^($A21-1)+Invoer!$B$5*B$5*Invoer!$B$13*Invoer!$B$12*Invoer!$B$11*(1+Invoer!$B$14)^($A21-1)+(Invoer!$B$5*(B$4*Invoer!$B$10+B$5*Invoer!$B$12))*(Invoer!$B$29+Invoer!$B$31+Invoer!$B$33+Invoer!$B$35)*(1+Invoer!$B$37)^($A21-1))*Invoer!$B$27+(Invoer!$B$5*(B$4*Invoer!$B$10+B$5*Invoer!$B$12))*(Invoer!$B$29*Invoer!$B$30+Invoer!$B$31*Invoer!$B$32+Invoer!$B$33*Invoer!$B$34+Invoer!$B$35*Invoer!$B$36)*(1+Invoer!$B$37)^($A21-1))+IF($A21=20,Kasstromen!$V$27,0)</s:f>
        <s:v>47237.12722080001</s:v>
      </s:c>
      <s:c r="C21" s="12">
        <s:f>(Invoer!$B$5*C$4*Invoer!$B$10*Invoer!$B$6*(1+Invoer!$B$7)^($A21-1)+Invoer!$B$5*C$5*Invoer!$B$13*Invoer!$B$12*Invoer!$B$11*(1+Invoer!$B$14)^($A21-1)+(Invoer!$B$5*(C$4*Invoer!$B$10+C$5*Invoer!$B$12))*(Invoer!$B$29+Invoer!$B$31+Invoer!$B$33+Invoer!$B$35)*(1+Invoer!$B$37)^($A21-1))-((Invoer!$B$24+Invoer!$B$25+Invoer!$B$26+(Invoer!$B$5*C$5*Invoer!$B$13*Invoer!$B$12)/Invoer!$B$15*Invoer!$B$17 )*(1+Invoer!$B$28)^($A21-1)+(Invoer!$B$5*C$5*Invoer!$B$13*Invoer!$B$12*Invoer!$B$11*(1+Invoer!$B$14)^($A21-1))*Invoer!$B$16+(Invoer!$B$5*C$4*Invoer!$B$10*Invoer!$B$6*(1+Invoer!$B$7)^($A21-1)+Invoer!$B$5*C$5*Invoer!$B$13*Invoer!$B$12*Invoer!$B$11*(1+Invoer!$B$14)^($A21-1)+(Invoer!$B$5*(C$4*Invoer!$B$10+C$5*Invoer!$B$12))*(Invoer!$B$29+Invoer!$B$31+Invoer!$B$33+Invoer!$B$35)*(1+Invoer!$B$37)^($A21-1))*Invoer!$B$27+(Invoer!$B$5*(C$4*Invoer!$B$10+C$5*Invoer!$B$12))*(Invoer!$B$29*Invoer!$B$30+Invoer!$B$31*Invoer!$B$32+Invoer!$B$33*Invoer!$B$34+Invoer!$B$35*Invoer!$B$36)*(1+Invoer!$B$37)^($A21-1))+IF($A21=20,Kasstromen!$V$27,0)</s:f>
        <s:v>48184.361481600004</s:v>
      </s:c>
      <s:c r="D21" s="12">
        <s:f>(Invoer!$B$5*D$4*Invoer!$B$10*Invoer!$B$6*(1+Invoer!$B$7)^($A21-1)+Invoer!$B$5*D$5*Invoer!$B$13*Invoer!$B$12*Invoer!$B$11*(1+Invoer!$B$14)^($A21-1)+(Invoer!$B$5*(D$4*Invoer!$B$10+D$5*Invoer!$B$12))*(Invoer!$B$29+Invoer!$B$31+Invoer!$B$33+Invoer!$B$35)*(1+Invoer!$B$37)^($A21-1))-((Invoer!$B$24+Invoer!$B$25+Invoer!$B$26+(Invoer!$B$5*D$5*Invoer!$B$13*Invoer!$B$12)/Invoer!$B$15*Invoer!$B$17 )*(1+Invoer!$B$28)^($A21-1)+(Invoer!$B$5*D$5*Invoer!$B$13*Invoer!$B$12*Invoer!$B$11*(1+Invoer!$B$14)^($A21-1))*Invoer!$B$16+(Invoer!$B$5*D$4*Invoer!$B$10*Invoer!$B$6*(1+Invoer!$B$7)^($A21-1)+Invoer!$B$5*D$5*Invoer!$B$13*Invoer!$B$12*Invoer!$B$11*(1+Invoer!$B$14)^($A21-1)+(Invoer!$B$5*(D$4*Invoer!$B$10+D$5*Invoer!$B$12))*(Invoer!$B$29+Invoer!$B$31+Invoer!$B$33+Invoer!$B$35)*(1+Invoer!$B$37)^($A21-1))*Invoer!$B$27+(Invoer!$B$5*(D$4*Invoer!$B$10+D$5*Invoer!$B$12))*(Invoer!$B$29*Invoer!$B$30+Invoer!$B$31*Invoer!$B$32+Invoer!$B$33*Invoer!$B$34+Invoer!$B$35*Invoer!$B$36)*(1+Invoer!$B$37)^($A21-1))+IF($A21=20,Kasstromen!$V$27,0)</s:f>
        <s:v>48184.361481600004</s:v>
      </s:c>
    </s:row>
    <s:row r="22">
      <s:c r="A22" s="8" t="n">
        <s:v>5</s:v>
      </s:c>
      <s:c r="B22" s="10">
        <s:f>(Invoer!$B$5*B$4*Invoer!$B$10*Invoer!$B$6*(1+Invoer!$B$7)^($A22-1)+Invoer!$B$5*B$5*Invoer!$B$13*Invoer!$B$12*Invoer!$B$11*(1+Invoer!$B$14)^($A22-1)+(Invoer!$B$5*(B$4*Invoer!$B$10+B$5*Invoer!$B$12))*(Invoer!$B$29+Invoer!$B$31+Invoer!$B$33+Invoer!$B$35)*(1+Invoer!$B$37)^($A22-1))-((Invoer!$B$24+Invoer!$B$25+Invoer!$B$26+(Invoer!$B$5*B$5*Invoer!$B$13*Invoer!$B$12)/Invoer!$B$15*Invoer!$B$17 )*(1+Invoer!$B$28)^($A22-1)+(Invoer!$B$5*B$5*Invoer!$B$13*Invoer!$B$12*Invoer!$B$11*(1+Invoer!$B$14)^($A22-1))*Invoer!$B$16+(Invoer!$B$5*B$4*Invoer!$B$10*Invoer!$B$6*(1+Invoer!$B$7)^($A22-1)+Invoer!$B$5*B$5*Invoer!$B$13*Invoer!$B$12*Invoer!$B$11*(1+Invoer!$B$14)^($A22-1)+(Invoer!$B$5*(B$4*Invoer!$B$10+B$5*Invoer!$B$12))*(Invoer!$B$29+Invoer!$B$31+Invoer!$B$33+Invoer!$B$35)*(1+Invoer!$B$37)^($A22-1))*Invoer!$B$27+(Invoer!$B$5*(B$4*Invoer!$B$10+B$5*Invoer!$B$12))*(Invoer!$B$29*Invoer!$B$30+Invoer!$B$31*Invoer!$B$32+Invoer!$B$33*Invoer!$B$34+Invoer!$B$35*Invoer!$B$36)*(1+Invoer!$B$37)^($A22-1))+IF($A22=20,Kasstromen!$V$27,0)</s:f>
        <s:v>48181.869765216</s:v>
      </s:c>
      <s:c r="C22" s="10">
        <s:f>(Invoer!$B$5*C$4*Invoer!$B$10*Invoer!$B$6*(1+Invoer!$B$7)^($A22-1)+Invoer!$B$5*C$5*Invoer!$B$13*Invoer!$B$12*Invoer!$B$11*(1+Invoer!$B$14)^($A22-1)+(Invoer!$B$5*(C$4*Invoer!$B$10+C$5*Invoer!$B$12))*(Invoer!$B$29+Invoer!$B$31+Invoer!$B$33+Invoer!$B$35)*(1+Invoer!$B$37)^($A22-1))-((Invoer!$B$24+Invoer!$B$25+Invoer!$B$26+(Invoer!$B$5*C$5*Invoer!$B$13*Invoer!$B$12)/Invoer!$B$15*Invoer!$B$17 )*(1+Invoer!$B$28)^($A22-1)+(Invoer!$B$5*C$5*Invoer!$B$13*Invoer!$B$12*Invoer!$B$11*(1+Invoer!$B$14)^($A22-1))*Invoer!$B$16+(Invoer!$B$5*C$4*Invoer!$B$10*Invoer!$B$6*(1+Invoer!$B$7)^($A22-1)+Invoer!$B$5*C$5*Invoer!$B$13*Invoer!$B$12*Invoer!$B$11*(1+Invoer!$B$14)^($A22-1)+(Invoer!$B$5*(C$4*Invoer!$B$10+C$5*Invoer!$B$12))*(Invoer!$B$29+Invoer!$B$31+Invoer!$B$33+Invoer!$B$35)*(1+Invoer!$B$37)^($A22-1))*Invoer!$B$27+(Invoer!$B$5*(C$4*Invoer!$B$10+C$5*Invoer!$B$12))*(Invoer!$B$29*Invoer!$B$30+Invoer!$B$31*Invoer!$B$32+Invoer!$B$33*Invoer!$B$34+Invoer!$B$35*Invoer!$B$36)*(1+Invoer!$B$37)^($A22-1))+IF($A22=20,Kasstromen!$V$27,0)</s:f>
        <s:v>49148.048711232</s:v>
      </s:c>
      <s:c r="D22" s="10">
        <s:f>(Invoer!$B$5*D$4*Invoer!$B$10*Invoer!$B$6*(1+Invoer!$B$7)^($A22-1)+Invoer!$B$5*D$5*Invoer!$B$13*Invoer!$B$12*Invoer!$B$11*(1+Invoer!$B$14)^($A22-1)+(Invoer!$B$5*(D$4*Invoer!$B$10+D$5*Invoer!$B$12))*(Invoer!$B$29+Invoer!$B$31+Invoer!$B$33+Invoer!$B$35)*(1+Invoer!$B$37)^($A22-1))-((Invoer!$B$24+Invoer!$B$25+Invoer!$B$26+(Invoer!$B$5*D$5*Invoer!$B$13*Invoer!$B$12)/Invoer!$B$15*Invoer!$B$17 )*(1+Invoer!$B$28)^($A22-1)+(Invoer!$B$5*D$5*Invoer!$B$13*Invoer!$B$12*Invoer!$B$11*(1+Invoer!$B$14)^($A22-1))*Invoer!$B$16+(Invoer!$B$5*D$4*Invoer!$B$10*Invoer!$B$6*(1+Invoer!$B$7)^($A22-1)+Invoer!$B$5*D$5*Invoer!$B$13*Invoer!$B$12*Invoer!$B$11*(1+Invoer!$B$14)^($A22-1)+(Invoer!$B$5*(D$4*Invoer!$B$10+D$5*Invoer!$B$12))*(Invoer!$B$29+Invoer!$B$31+Invoer!$B$33+Invoer!$B$35)*(1+Invoer!$B$37)^($A22-1))*Invoer!$B$27+(Invoer!$B$5*(D$4*Invoer!$B$10+D$5*Invoer!$B$12))*(Invoer!$B$29*Invoer!$B$30+Invoer!$B$31*Invoer!$B$32+Invoer!$B$33*Invoer!$B$34+Invoer!$B$35*Invoer!$B$36)*(1+Invoer!$B$37)^($A22-1))+IF($A22=20,Kasstromen!$V$27,0)</s:f>
        <s:v>49148.048711232</s:v>
      </s:c>
    </s:row>
    <s:row r="23">
      <s:c r="A23" s="6" t="n">
        <s:v>6</s:v>
      </s:c>
      <s:c r="B23" s="12">
        <s:f>(Invoer!$B$5*B$4*Invoer!$B$10*Invoer!$B$6*(1+Invoer!$B$7)^($A23-1)+Invoer!$B$5*B$5*Invoer!$B$13*Invoer!$B$12*Invoer!$B$11*(1+Invoer!$B$14)^($A23-1)+(Invoer!$B$5*(B$4*Invoer!$B$10+B$5*Invoer!$B$12))*(Invoer!$B$29+Invoer!$B$31+Invoer!$B$33+Invoer!$B$35)*(1+Invoer!$B$37)^($A23-1))-((Invoer!$B$24+Invoer!$B$25+Invoer!$B$26+(Invoer!$B$5*B$5*Invoer!$B$13*Invoer!$B$12)/Invoer!$B$15*Invoer!$B$17 )*(1+Invoer!$B$28)^($A23-1)+(Invoer!$B$5*B$5*Invoer!$B$13*Invoer!$B$12*Invoer!$B$11*(1+Invoer!$B$14)^($A23-1))*Invoer!$B$16+(Invoer!$B$5*B$4*Invoer!$B$10*Invoer!$B$6*(1+Invoer!$B$7)^($A23-1)+Invoer!$B$5*B$5*Invoer!$B$13*Invoer!$B$12*Invoer!$B$11*(1+Invoer!$B$14)^($A23-1)+(Invoer!$B$5*(B$4*Invoer!$B$10+B$5*Invoer!$B$12))*(Invoer!$B$29+Invoer!$B$31+Invoer!$B$33+Invoer!$B$35)*(1+Invoer!$B$37)^($A23-1))*Invoer!$B$27+(Invoer!$B$5*(B$4*Invoer!$B$10+B$5*Invoer!$B$12))*(Invoer!$B$29*Invoer!$B$30+Invoer!$B$31*Invoer!$B$32+Invoer!$B$33*Invoer!$B$34+Invoer!$B$35*Invoer!$B$36)*(1+Invoer!$B$37)^($A23-1))+IF($A23=20,Kasstromen!$V$27,0)</s:f>
        <s:v>49145.50716052032</s:v>
      </s:c>
      <s:c r="C23" s="12">
        <s:f>(Invoer!$B$5*C$4*Invoer!$B$10*Invoer!$B$6*(1+Invoer!$B$7)^($A23-1)+Invoer!$B$5*C$5*Invoer!$B$13*Invoer!$B$12*Invoer!$B$11*(1+Invoer!$B$14)^($A23-1)+(Invoer!$B$5*(C$4*Invoer!$B$10+C$5*Invoer!$B$12))*(Invoer!$B$29+Invoer!$B$31+Invoer!$B$33+Invoer!$B$35)*(1+Invoer!$B$37)^($A23-1))-((Invoer!$B$24+Invoer!$B$25+Invoer!$B$26+(Invoer!$B$5*C$5*Invoer!$B$13*Invoer!$B$12)/Invoer!$B$15*Invoer!$B$17 )*(1+Invoer!$B$28)^($A23-1)+(Invoer!$B$5*C$5*Invoer!$B$13*Invoer!$B$12*Invoer!$B$11*(1+Invoer!$B$14)^($A23-1))*Invoer!$B$16+(Invoer!$B$5*C$4*Invoer!$B$10*Invoer!$B$6*(1+Invoer!$B$7)^($A23-1)+Invoer!$B$5*C$5*Invoer!$B$13*Invoer!$B$12*Invoer!$B$11*(1+Invoer!$B$14)^($A23-1)+(Invoer!$B$5*(C$4*Invoer!$B$10+C$5*Invoer!$B$12))*(Invoer!$B$29+Invoer!$B$31+Invoer!$B$33+Invoer!$B$35)*(1+Invoer!$B$37)^($A23-1))*Invoer!$B$27+(Invoer!$B$5*(C$4*Invoer!$B$10+C$5*Invoer!$B$12))*(Invoer!$B$29*Invoer!$B$30+Invoer!$B$31*Invoer!$B$32+Invoer!$B$33*Invoer!$B$34+Invoer!$B$35*Invoer!$B$36)*(1+Invoer!$B$37)^($A23-1))+IF($A23=20,Kasstromen!$V$27,0)</s:f>
        <s:v>50131.00968545664</s:v>
      </s:c>
      <s:c r="D23" s="12">
        <s:f>(Invoer!$B$5*D$4*Invoer!$B$10*Invoer!$B$6*(1+Invoer!$B$7)^($A23-1)+Invoer!$B$5*D$5*Invoer!$B$13*Invoer!$B$12*Invoer!$B$11*(1+Invoer!$B$14)^($A23-1)+(Invoer!$B$5*(D$4*Invoer!$B$10+D$5*Invoer!$B$12))*(Invoer!$B$29+Invoer!$B$31+Invoer!$B$33+Invoer!$B$35)*(1+Invoer!$B$37)^($A23-1))-((Invoer!$B$24+Invoer!$B$25+Invoer!$B$26+(Invoer!$B$5*D$5*Invoer!$B$13*Invoer!$B$12)/Invoer!$B$15*Invoer!$B$17 )*(1+Invoer!$B$28)^($A23-1)+(Invoer!$B$5*D$5*Invoer!$B$13*Invoer!$B$12*Invoer!$B$11*(1+Invoer!$B$14)^($A23-1))*Invoer!$B$16+(Invoer!$B$5*D$4*Invoer!$B$10*Invoer!$B$6*(1+Invoer!$B$7)^($A23-1)+Invoer!$B$5*D$5*Invoer!$B$13*Invoer!$B$12*Invoer!$B$11*(1+Invoer!$B$14)^($A23-1)+(Invoer!$B$5*(D$4*Invoer!$B$10+D$5*Invoer!$B$12))*(Invoer!$B$29+Invoer!$B$31+Invoer!$B$33+Invoer!$B$35)*(1+Invoer!$B$37)^($A23-1))*Invoer!$B$27+(Invoer!$B$5*(D$4*Invoer!$B$10+D$5*Invoer!$B$12))*(Invoer!$B$29*Invoer!$B$30+Invoer!$B$31*Invoer!$B$32+Invoer!$B$33*Invoer!$B$34+Invoer!$B$35*Invoer!$B$36)*(1+Invoer!$B$37)^($A23-1))+IF($A23=20,Kasstromen!$V$27,0)</s:f>
        <s:v>50131.00968545664</s:v>
      </s:c>
    </s:row>
    <s:row r="24">
      <s:c r="A24" s="8" t="n">
        <s:v>7</s:v>
      </s:c>
      <s:c r="B24" s="10">
        <s:f>(Invoer!$B$5*B$4*Invoer!$B$10*Invoer!$B$6*(1+Invoer!$B$7)^($A24-1)+Invoer!$B$5*B$5*Invoer!$B$13*Invoer!$B$12*Invoer!$B$11*(1+Invoer!$B$14)^($A24-1)+(Invoer!$B$5*(B$4*Invoer!$B$10+B$5*Invoer!$B$12))*(Invoer!$B$29+Invoer!$B$31+Invoer!$B$33+Invoer!$B$35)*(1+Invoer!$B$37)^($A24-1))-((Invoer!$B$24+Invoer!$B$25+Invoer!$B$26+(Invoer!$B$5*B$5*Invoer!$B$13*Invoer!$B$12)/Invoer!$B$15*Invoer!$B$17 )*(1+Invoer!$B$28)^($A24-1)+(Invoer!$B$5*B$5*Invoer!$B$13*Invoer!$B$12*Invoer!$B$11*(1+Invoer!$B$14)^($A24-1))*Invoer!$B$16+(Invoer!$B$5*B$4*Invoer!$B$10*Invoer!$B$6*(1+Invoer!$B$7)^($A24-1)+Invoer!$B$5*B$5*Invoer!$B$13*Invoer!$B$12*Invoer!$B$11*(1+Invoer!$B$14)^($A24-1)+(Invoer!$B$5*(B$4*Invoer!$B$10+B$5*Invoer!$B$12))*(Invoer!$B$29+Invoer!$B$31+Invoer!$B$33+Invoer!$B$35)*(1+Invoer!$B$37)^($A24-1))*Invoer!$B$27+(Invoer!$B$5*(B$4*Invoer!$B$10+B$5*Invoer!$B$12))*(Invoer!$B$29*Invoer!$B$30+Invoer!$B$31*Invoer!$B$32+Invoer!$B$33*Invoer!$B$34+Invoer!$B$35*Invoer!$B$36)*(1+Invoer!$B$37)^($A24-1))+IF($A24=20,Kasstromen!$V$27,0)</s:f>
        <s:v>50128.41730373072</s:v>
      </s:c>
      <s:c r="C24" s="10">
        <s:f>(Invoer!$B$5*C$4*Invoer!$B$10*Invoer!$B$6*(1+Invoer!$B$7)^($A24-1)+Invoer!$B$5*C$5*Invoer!$B$13*Invoer!$B$12*Invoer!$B$11*(1+Invoer!$B$14)^($A24-1)+(Invoer!$B$5*(C$4*Invoer!$B$10+C$5*Invoer!$B$12))*(Invoer!$B$29+Invoer!$B$31+Invoer!$B$33+Invoer!$B$35)*(1+Invoer!$B$37)^($A24-1))-((Invoer!$B$24+Invoer!$B$25+Invoer!$B$26+(Invoer!$B$5*C$5*Invoer!$B$13*Invoer!$B$12)/Invoer!$B$15*Invoer!$B$17 )*(1+Invoer!$B$28)^($A24-1)+(Invoer!$B$5*C$5*Invoer!$B$13*Invoer!$B$12*Invoer!$B$11*(1+Invoer!$B$14)^($A24-1))*Invoer!$B$16+(Invoer!$B$5*C$4*Invoer!$B$10*Invoer!$B$6*(1+Invoer!$B$7)^($A24-1)+Invoer!$B$5*C$5*Invoer!$B$13*Invoer!$B$12*Invoer!$B$11*(1+Invoer!$B$14)^($A24-1)+(Invoer!$B$5*(C$4*Invoer!$B$10+C$5*Invoer!$B$12))*(Invoer!$B$29+Invoer!$B$31+Invoer!$B$33+Invoer!$B$35)*(1+Invoer!$B$37)^($A24-1))*Invoer!$B$27+(Invoer!$B$5*(C$4*Invoer!$B$10+C$5*Invoer!$B$12))*(Invoer!$B$29*Invoer!$B$30+Invoer!$B$31*Invoer!$B$32+Invoer!$B$33*Invoer!$B$34+Invoer!$B$35*Invoer!$B$36)*(1+Invoer!$B$37)^($A24-1))+IF($A24=20,Kasstromen!$V$27,0)</s:f>
        <s:v>51133.62987916578</s:v>
      </s:c>
      <s:c r="D24" s="10">
        <s:f>(Invoer!$B$5*D$4*Invoer!$B$10*Invoer!$B$6*(1+Invoer!$B$7)^($A24-1)+Invoer!$B$5*D$5*Invoer!$B$13*Invoer!$B$12*Invoer!$B$11*(1+Invoer!$B$14)^($A24-1)+(Invoer!$B$5*(D$4*Invoer!$B$10+D$5*Invoer!$B$12))*(Invoer!$B$29+Invoer!$B$31+Invoer!$B$33+Invoer!$B$35)*(1+Invoer!$B$37)^($A24-1))-((Invoer!$B$24+Invoer!$B$25+Invoer!$B$26+(Invoer!$B$5*D$5*Invoer!$B$13*Invoer!$B$12)/Invoer!$B$15*Invoer!$B$17 )*(1+Invoer!$B$28)^($A24-1)+(Invoer!$B$5*D$5*Invoer!$B$13*Invoer!$B$12*Invoer!$B$11*(1+Invoer!$B$14)^($A24-1))*Invoer!$B$16+(Invoer!$B$5*D$4*Invoer!$B$10*Invoer!$B$6*(1+Invoer!$B$7)^($A24-1)+Invoer!$B$5*D$5*Invoer!$B$13*Invoer!$B$12*Invoer!$B$11*(1+Invoer!$B$14)^($A24-1)+(Invoer!$B$5*(D$4*Invoer!$B$10+D$5*Invoer!$B$12))*(Invoer!$B$29+Invoer!$B$31+Invoer!$B$33+Invoer!$B$35)*(1+Invoer!$B$37)^($A24-1))*Invoer!$B$27+(Invoer!$B$5*(D$4*Invoer!$B$10+D$5*Invoer!$B$12))*(Invoer!$B$29*Invoer!$B$30+Invoer!$B$31*Invoer!$B$32+Invoer!$B$33*Invoer!$B$34+Invoer!$B$35*Invoer!$B$36)*(1+Invoer!$B$37)^($A24-1))+IF($A24=20,Kasstromen!$V$27,0)</s:f>
        <s:v>51133.62987916578</s:v>
      </s:c>
    </s:row>
    <s:row r="25">
      <s:c r="A25" s="6" t="n">
        <s:v>8</s:v>
      </s:c>
      <s:c r="B25" s="12">
        <s:f>(Invoer!$B$5*B$4*Invoer!$B$10*Invoer!$B$6*(1+Invoer!$B$7)^($A25-1)+Invoer!$B$5*B$5*Invoer!$B$13*Invoer!$B$12*Invoer!$B$11*(1+Invoer!$B$14)^($A25-1)+(Invoer!$B$5*(B$4*Invoer!$B$10+B$5*Invoer!$B$12))*(Invoer!$B$29+Invoer!$B$31+Invoer!$B$33+Invoer!$B$35)*(1+Invoer!$B$37)^($A25-1))-((Invoer!$B$24+Invoer!$B$25+Invoer!$B$26+(Invoer!$B$5*B$5*Invoer!$B$13*Invoer!$B$12)/Invoer!$B$15*Invoer!$B$17 )*(1+Invoer!$B$28)^($A25-1)+(Invoer!$B$5*B$5*Invoer!$B$13*Invoer!$B$12*Invoer!$B$11*(1+Invoer!$B$14)^($A25-1))*Invoer!$B$16+(Invoer!$B$5*B$4*Invoer!$B$10*Invoer!$B$6*(1+Invoer!$B$7)^($A25-1)+Invoer!$B$5*B$5*Invoer!$B$13*Invoer!$B$12*Invoer!$B$11*(1+Invoer!$B$14)^($A25-1)+(Invoer!$B$5*(B$4*Invoer!$B$10+B$5*Invoer!$B$12))*(Invoer!$B$29+Invoer!$B$31+Invoer!$B$33+Invoer!$B$35)*(1+Invoer!$B$37)^($A25-1))*Invoer!$B$27+(Invoer!$B$5*(B$4*Invoer!$B$10+B$5*Invoer!$B$12))*(Invoer!$B$29*Invoer!$B$30+Invoer!$B$31*Invoer!$B$32+Invoer!$B$33*Invoer!$B$34+Invoer!$B$35*Invoer!$B$36)*(1+Invoer!$B$37)^($A25-1))+IF($A25=20,Kasstromen!$V$27,0)</s:f>
        <s:v>51130.985649805356</s:v>
      </s:c>
      <s:c r="C25" s="12">
        <s:f>(Invoer!$B$5*C$4*Invoer!$B$10*Invoer!$B$6*(1+Invoer!$B$7)^($A25-1)+Invoer!$B$5*C$5*Invoer!$B$13*Invoer!$B$12*Invoer!$B$11*(1+Invoer!$B$14)^($A25-1)+(Invoer!$B$5*(C$4*Invoer!$B$10+C$5*Invoer!$B$12))*(Invoer!$B$29+Invoer!$B$31+Invoer!$B$33+Invoer!$B$35)*(1+Invoer!$B$37)^($A25-1))-((Invoer!$B$24+Invoer!$B$25+Invoer!$B$26+(Invoer!$B$5*C$5*Invoer!$B$13*Invoer!$B$12)/Invoer!$B$15*Invoer!$B$17 )*(1+Invoer!$B$28)^($A25-1)+(Invoer!$B$5*C$5*Invoer!$B$13*Invoer!$B$12*Invoer!$B$11*(1+Invoer!$B$14)^($A25-1))*Invoer!$B$16+(Invoer!$B$5*C$4*Invoer!$B$10*Invoer!$B$6*(1+Invoer!$B$7)^($A25-1)+Invoer!$B$5*C$5*Invoer!$B$13*Invoer!$B$12*Invoer!$B$11*(1+Invoer!$B$14)^($A25-1)+(Invoer!$B$5*(C$4*Invoer!$B$10+C$5*Invoer!$B$12))*(Invoer!$B$29+Invoer!$B$31+Invoer!$B$33+Invoer!$B$35)*(1+Invoer!$B$37)^($A25-1))*Invoer!$B$27+(Invoer!$B$5*(C$4*Invoer!$B$10+C$5*Invoer!$B$12))*(Invoer!$B$29*Invoer!$B$30+Invoer!$B$31*Invoer!$B$32+Invoer!$B$33*Invoer!$B$34+Invoer!$B$35*Invoer!$B$36)*(1+Invoer!$B$37)^($A25-1))+IF($A25=20,Kasstromen!$V$27,0)</s:f>
        <s:v>52156.30247674908</s:v>
      </s:c>
      <s:c r="D25" s="12">
        <s:f>(Invoer!$B$5*D$4*Invoer!$B$10*Invoer!$B$6*(1+Invoer!$B$7)^($A25-1)+Invoer!$B$5*D$5*Invoer!$B$13*Invoer!$B$12*Invoer!$B$11*(1+Invoer!$B$14)^($A25-1)+(Invoer!$B$5*(D$4*Invoer!$B$10+D$5*Invoer!$B$12))*(Invoer!$B$29+Invoer!$B$31+Invoer!$B$33+Invoer!$B$35)*(1+Invoer!$B$37)^($A25-1))-((Invoer!$B$24+Invoer!$B$25+Invoer!$B$26+(Invoer!$B$5*D$5*Invoer!$B$13*Invoer!$B$12)/Invoer!$B$15*Invoer!$B$17 )*(1+Invoer!$B$28)^($A25-1)+(Invoer!$B$5*D$5*Invoer!$B$13*Invoer!$B$12*Invoer!$B$11*(1+Invoer!$B$14)^($A25-1))*Invoer!$B$16+(Invoer!$B$5*D$4*Invoer!$B$10*Invoer!$B$6*(1+Invoer!$B$7)^($A25-1)+Invoer!$B$5*D$5*Invoer!$B$13*Invoer!$B$12*Invoer!$B$11*(1+Invoer!$B$14)^($A25-1)+(Invoer!$B$5*(D$4*Invoer!$B$10+D$5*Invoer!$B$12))*(Invoer!$B$29+Invoer!$B$31+Invoer!$B$33+Invoer!$B$35)*(1+Invoer!$B$37)^($A25-1))*Invoer!$B$27+(Invoer!$B$5*(D$4*Invoer!$B$10+D$5*Invoer!$B$12))*(Invoer!$B$29*Invoer!$B$30+Invoer!$B$31*Invoer!$B$32+Invoer!$B$33*Invoer!$B$34+Invoer!$B$35*Invoer!$B$36)*(1+Invoer!$B$37)^($A25-1))+IF($A25=20,Kasstromen!$V$27,0)</s:f>
        <s:v>52156.30247674908</s:v>
      </s:c>
    </s:row>
    <s:row r="26">
      <s:c r="A26" s="8" t="n">
        <s:v>9</s:v>
      </s:c>
      <s:c r="B26" s="10">
        <s:f>(Invoer!$B$5*B$4*Invoer!$B$10*Invoer!$B$6*(1+Invoer!$B$7)^($A26-1)+Invoer!$B$5*B$5*Invoer!$B$13*Invoer!$B$12*Invoer!$B$11*(1+Invoer!$B$14)^($A26-1)+(Invoer!$B$5*(B$4*Invoer!$B$10+B$5*Invoer!$B$12))*(Invoer!$B$29+Invoer!$B$31+Invoer!$B$33+Invoer!$B$35)*(1+Invoer!$B$37)^($A26-1))-((Invoer!$B$24+Invoer!$B$25+Invoer!$B$26+(Invoer!$B$5*B$5*Invoer!$B$13*Invoer!$B$12)/Invoer!$B$15*Invoer!$B$17 )*(1+Invoer!$B$28)^($A26-1)+(Invoer!$B$5*B$5*Invoer!$B$13*Invoer!$B$12*Invoer!$B$11*(1+Invoer!$B$14)^($A26-1))*Invoer!$B$16+(Invoer!$B$5*B$4*Invoer!$B$10*Invoer!$B$6*(1+Invoer!$B$7)^($A26-1)+Invoer!$B$5*B$5*Invoer!$B$13*Invoer!$B$12*Invoer!$B$11*(1+Invoer!$B$14)^($A26-1)+(Invoer!$B$5*(B$4*Invoer!$B$10+B$5*Invoer!$B$12))*(Invoer!$B$29+Invoer!$B$31+Invoer!$B$33+Invoer!$B$35)*(1+Invoer!$B$37)^($A26-1))*Invoer!$B$27+(Invoer!$B$5*(B$4*Invoer!$B$10+B$5*Invoer!$B$12))*(Invoer!$B$29*Invoer!$B$30+Invoer!$B$31*Invoer!$B$32+Invoer!$B$33*Invoer!$B$34+Invoer!$B$35*Invoer!$B$36)*(1+Invoer!$B$37)^($A26-1))+IF($A26=20,Kasstromen!$V$27,0)</s:f>
        <s:v>52153.605362801456</s:v>
      </s:c>
      <s:c r="C26" s="10">
        <s:f>(Invoer!$B$5*C$4*Invoer!$B$10*Invoer!$B$6*(1+Invoer!$B$7)^($A26-1)+Invoer!$B$5*C$5*Invoer!$B$13*Invoer!$B$12*Invoer!$B$11*(1+Invoer!$B$14)^($A26-1)+(Invoer!$B$5*(C$4*Invoer!$B$10+C$5*Invoer!$B$12))*(Invoer!$B$29+Invoer!$B$31+Invoer!$B$33+Invoer!$B$35)*(1+Invoer!$B$37)^($A26-1))-((Invoer!$B$24+Invoer!$B$25+Invoer!$B$26+(Invoer!$B$5*C$5*Invoer!$B$13*Invoer!$B$12)/Invoer!$B$15*Invoer!$B$17 )*(1+Invoer!$B$28)^($A26-1)+(Invoer!$B$5*C$5*Invoer!$B$13*Invoer!$B$12*Invoer!$B$11*(1+Invoer!$B$14)^($A26-1))*Invoer!$B$16+(Invoer!$B$5*C$4*Invoer!$B$10*Invoer!$B$6*(1+Invoer!$B$7)^($A26-1)+Invoer!$B$5*C$5*Invoer!$B$13*Invoer!$B$12*Invoer!$B$11*(1+Invoer!$B$14)^($A26-1)+(Invoer!$B$5*(C$4*Invoer!$B$10+C$5*Invoer!$B$12))*(Invoer!$B$29+Invoer!$B$31+Invoer!$B$33+Invoer!$B$35)*(1+Invoer!$B$37)^($A26-1))*Invoer!$B$27+(Invoer!$B$5*(C$4*Invoer!$B$10+C$5*Invoer!$B$12))*(Invoer!$B$29*Invoer!$B$30+Invoer!$B$31*Invoer!$B$32+Invoer!$B$33*Invoer!$B$34+Invoer!$B$35*Invoer!$B$36)*(1+Invoer!$B$37)^($A26-1))+IF($A26=20,Kasstromen!$V$27,0)</s:f>
        <s:v>53199.42852628408</s:v>
      </s:c>
      <s:c r="D26" s="10">
        <s:f>(Invoer!$B$5*D$4*Invoer!$B$10*Invoer!$B$6*(1+Invoer!$B$7)^($A26-1)+Invoer!$B$5*D$5*Invoer!$B$13*Invoer!$B$12*Invoer!$B$11*(1+Invoer!$B$14)^($A26-1)+(Invoer!$B$5*(D$4*Invoer!$B$10+D$5*Invoer!$B$12))*(Invoer!$B$29+Invoer!$B$31+Invoer!$B$33+Invoer!$B$35)*(1+Invoer!$B$37)^($A26-1))-((Invoer!$B$24+Invoer!$B$25+Invoer!$B$26+(Invoer!$B$5*D$5*Invoer!$B$13*Invoer!$B$12)/Invoer!$B$15*Invoer!$B$17 )*(1+Invoer!$B$28)^($A26-1)+(Invoer!$B$5*D$5*Invoer!$B$13*Invoer!$B$12*Invoer!$B$11*(1+Invoer!$B$14)^($A26-1))*Invoer!$B$16+(Invoer!$B$5*D$4*Invoer!$B$10*Invoer!$B$6*(1+Invoer!$B$7)^($A26-1)+Invoer!$B$5*D$5*Invoer!$B$13*Invoer!$B$12*Invoer!$B$11*(1+Invoer!$B$14)^($A26-1)+(Invoer!$B$5*(D$4*Invoer!$B$10+D$5*Invoer!$B$12))*(Invoer!$B$29+Invoer!$B$31+Invoer!$B$33+Invoer!$B$35)*(1+Invoer!$B$37)^($A26-1))*Invoer!$B$27+(Invoer!$B$5*(D$4*Invoer!$B$10+D$5*Invoer!$B$12))*(Invoer!$B$29*Invoer!$B$30+Invoer!$B$31*Invoer!$B$32+Invoer!$B$33*Invoer!$B$34+Invoer!$B$35*Invoer!$B$36)*(1+Invoer!$B$37)^($A26-1))+IF($A26=20,Kasstromen!$V$27,0)</s:f>
        <s:v>53199.42852628408</s:v>
      </s:c>
    </s:row>
    <s:row r="27">
      <s:c r="A27" s="6" t="n">
        <s:v>10</s:v>
      </s:c>
      <s:c r="B27" s="12">
        <s:f>(Invoer!$B$5*B$4*Invoer!$B$10*Invoer!$B$6*(1+Invoer!$B$7)^($A27-1)+Invoer!$B$5*B$5*Invoer!$B$13*Invoer!$B$12*Invoer!$B$11*(1+Invoer!$B$14)^($A27-1)+(Invoer!$B$5*(B$4*Invoer!$B$10+B$5*Invoer!$B$12))*(Invoer!$B$29+Invoer!$B$31+Invoer!$B$33+Invoer!$B$35)*(1+Invoer!$B$37)^($A27-1))-((Invoer!$B$24+Invoer!$B$25+Invoer!$B$26+(Invoer!$B$5*B$5*Invoer!$B$13*Invoer!$B$12)/Invoer!$B$15*Invoer!$B$17 )*(1+Invoer!$B$28)^($A27-1)+(Invoer!$B$5*B$5*Invoer!$B$13*Invoer!$B$12*Invoer!$B$11*(1+Invoer!$B$14)^($A27-1))*Invoer!$B$16+(Invoer!$B$5*B$4*Invoer!$B$10*Invoer!$B$6*(1+Invoer!$B$7)^($A27-1)+Invoer!$B$5*B$5*Invoer!$B$13*Invoer!$B$12*Invoer!$B$11*(1+Invoer!$B$14)^($A27-1)+(Invoer!$B$5*(B$4*Invoer!$B$10+B$5*Invoer!$B$12))*(Invoer!$B$29+Invoer!$B$31+Invoer!$B$33+Invoer!$B$35)*(1+Invoer!$B$37)^($A27-1))*Invoer!$B$27+(Invoer!$B$5*(B$4*Invoer!$B$10+B$5*Invoer!$B$12))*(Invoer!$B$29*Invoer!$B$30+Invoer!$B$31*Invoer!$B$32+Invoer!$B$33*Invoer!$B$34+Invoer!$B$35*Invoer!$B$36)*(1+Invoer!$B$37)^($A27-1))+IF($A27=20,Kasstromen!$V$27,0)</s:f>
        <s:v>53196.677470057475</s:v>
      </s:c>
      <s:c r="C27" s="12">
        <s:f>(Invoer!$B$5*C$4*Invoer!$B$10*Invoer!$B$6*(1+Invoer!$B$7)^($A27-1)+Invoer!$B$5*C$5*Invoer!$B$13*Invoer!$B$12*Invoer!$B$11*(1+Invoer!$B$14)^($A27-1)+(Invoer!$B$5*(C$4*Invoer!$B$10+C$5*Invoer!$B$12))*(Invoer!$B$29+Invoer!$B$31+Invoer!$B$33+Invoer!$B$35)*(1+Invoer!$B$37)^($A27-1))-((Invoer!$B$24+Invoer!$B$25+Invoer!$B$26+(Invoer!$B$5*C$5*Invoer!$B$13*Invoer!$B$12)/Invoer!$B$15*Invoer!$B$17 )*(1+Invoer!$B$28)^($A27-1)+(Invoer!$B$5*C$5*Invoer!$B$13*Invoer!$B$12*Invoer!$B$11*(1+Invoer!$B$14)^($A27-1))*Invoer!$B$16+(Invoer!$B$5*C$4*Invoer!$B$10*Invoer!$B$6*(1+Invoer!$B$7)^($A27-1)+Invoer!$B$5*C$5*Invoer!$B$13*Invoer!$B$12*Invoer!$B$11*(1+Invoer!$B$14)^($A27-1)+(Invoer!$B$5*(C$4*Invoer!$B$10+C$5*Invoer!$B$12))*(Invoer!$B$29+Invoer!$B$31+Invoer!$B$33+Invoer!$B$35)*(1+Invoer!$B$37)^($A27-1))*Invoer!$B$27+(Invoer!$B$5*(C$4*Invoer!$B$10+C$5*Invoer!$B$12))*(Invoer!$B$29*Invoer!$B$30+Invoer!$B$31*Invoer!$B$32+Invoer!$B$33*Invoer!$B$34+Invoer!$B$35*Invoer!$B$36)*(1+Invoer!$B$37)^($A27-1))+IF($A27=20,Kasstromen!$V$27,0)</s:f>
        <s:v>54263.41709680976</s:v>
      </s:c>
      <s:c r="D27" s="12">
        <s:f>(Invoer!$B$5*D$4*Invoer!$B$10*Invoer!$B$6*(1+Invoer!$B$7)^($A27-1)+Invoer!$B$5*D$5*Invoer!$B$13*Invoer!$B$12*Invoer!$B$11*(1+Invoer!$B$14)^($A27-1)+(Invoer!$B$5*(D$4*Invoer!$B$10+D$5*Invoer!$B$12))*(Invoer!$B$29+Invoer!$B$31+Invoer!$B$33+Invoer!$B$35)*(1+Invoer!$B$37)^($A27-1))-((Invoer!$B$24+Invoer!$B$25+Invoer!$B$26+(Invoer!$B$5*D$5*Invoer!$B$13*Invoer!$B$12)/Invoer!$B$15*Invoer!$B$17 )*(1+Invoer!$B$28)^($A27-1)+(Invoer!$B$5*D$5*Invoer!$B$13*Invoer!$B$12*Invoer!$B$11*(1+Invoer!$B$14)^($A27-1))*Invoer!$B$16+(Invoer!$B$5*D$4*Invoer!$B$10*Invoer!$B$6*(1+Invoer!$B$7)^($A27-1)+Invoer!$B$5*D$5*Invoer!$B$13*Invoer!$B$12*Invoer!$B$11*(1+Invoer!$B$14)^($A27-1)+(Invoer!$B$5*(D$4*Invoer!$B$10+D$5*Invoer!$B$12))*(Invoer!$B$29+Invoer!$B$31+Invoer!$B$33+Invoer!$B$35)*(1+Invoer!$B$37)^($A27-1))*Invoer!$B$27+(Invoer!$B$5*(D$4*Invoer!$B$10+D$5*Invoer!$B$12))*(Invoer!$B$29*Invoer!$B$30+Invoer!$B$31*Invoer!$B$32+Invoer!$B$33*Invoer!$B$34+Invoer!$B$35*Invoer!$B$36)*(1+Invoer!$B$37)^($A27-1))+IF($A27=20,Kasstromen!$V$27,0)</s:f>
        <s:v>54263.41709680976</s:v>
      </s:c>
    </s:row>
    <s:row r="28">
      <s:c r="A28" s="8" t="n">
        <s:v>11</s:v>
      </s:c>
      <s:c r="B28" s="10">
        <s:f>(Invoer!$B$5*B$4*Invoer!$B$10*Invoer!$B$6*(1+Invoer!$B$7)^($A28-1)+Invoer!$B$5*B$5*Invoer!$B$13*Invoer!$B$12*Invoer!$B$11*(1+Invoer!$B$14)^($A28-1)+(Invoer!$B$5*(B$4*Invoer!$B$10+B$5*Invoer!$B$12))*(Invoer!$B$29+Invoer!$B$31+Invoer!$B$33+Invoer!$B$35)*(1+Invoer!$B$37)^($A28-1))-((Invoer!$B$24+Invoer!$B$25+Invoer!$B$26+(Invoer!$B$5*B$5*Invoer!$B$13*Invoer!$B$12)/Invoer!$B$15*Invoer!$B$17 )*(1+Invoer!$B$28)^($A28-1)+(Invoer!$B$5*B$5*Invoer!$B$13*Invoer!$B$12*Invoer!$B$11*(1+Invoer!$B$14)^($A28-1))*Invoer!$B$16+(Invoer!$B$5*B$4*Invoer!$B$10*Invoer!$B$6*(1+Invoer!$B$7)^($A28-1)+Invoer!$B$5*B$5*Invoer!$B$13*Invoer!$B$12*Invoer!$B$11*(1+Invoer!$B$14)^($A28-1)+(Invoer!$B$5*(B$4*Invoer!$B$10+B$5*Invoer!$B$12))*(Invoer!$B$29+Invoer!$B$31+Invoer!$B$33+Invoer!$B$35)*(1+Invoer!$B$37)^($A28-1))*Invoer!$B$27+(Invoer!$B$5*(B$4*Invoer!$B$10+B$5*Invoer!$B$12))*(Invoer!$B$29*Invoer!$B$30+Invoer!$B$31*Invoer!$B$32+Invoer!$B$33*Invoer!$B$34+Invoer!$B$35*Invoer!$B$36)*(1+Invoer!$B$37)^($A28-1))+IF($A28=20,Kasstromen!$V$27,0)</s:f>
        <s:v>54260.611019458636</s:v>
      </s:c>
      <s:c r="C28" s="10">
        <s:f>(Invoer!$B$5*C$4*Invoer!$B$10*Invoer!$B$6*(1+Invoer!$B$7)^($A28-1)+Invoer!$B$5*C$5*Invoer!$B$13*Invoer!$B$12*Invoer!$B$11*(1+Invoer!$B$14)^($A28-1)+(Invoer!$B$5*(C$4*Invoer!$B$10+C$5*Invoer!$B$12))*(Invoer!$B$29+Invoer!$B$31+Invoer!$B$33+Invoer!$B$35)*(1+Invoer!$B$37)^($A28-1))-((Invoer!$B$24+Invoer!$B$25+Invoer!$B$26+(Invoer!$B$5*C$5*Invoer!$B$13*Invoer!$B$12)/Invoer!$B$15*Invoer!$B$17 )*(1+Invoer!$B$28)^($A28-1)+(Invoer!$B$5*C$5*Invoer!$B$13*Invoer!$B$12*Invoer!$B$11*(1+Invoer!$B$14)^($A28-1))*Invoer!$B$16+(Invoer!$B$5*C$4*Invoer!$B$10*Invoer!$B$6*(1+Invoer!$B$7)^($A28-1)+Invoer!$B$5*C$5*Invoer!$B$13*Invoer!$B$12*Invoer!$B$11*(1+Invoer!$B$14)^($A28-1)+(Invoer!$B$5*(C$4*Invoer!$B$10+C$5*Invoer!$B$12))*(Invoer!$B$29+Invoer!$B$31+Invoer!$B$33+Invoer!$B$35)*(1+Invoer!$B$37)^($A28-1))*Invoer!$B$27+(Invoer!$B$5*(C$4*Invoer!$B$10+C$5*Invoer!$B$12))*(Invoer!$B$29*Invoer!$B$30+Invoer!$B$31*Invoer!$B$32+Invoer!$B$33*Invoer!$B$34+Invoer!$B$35*Invoer!$B$36)*(1+Invoer!$B$37)^($A28-1))+IF($A28=20,Kasstromen!$V$27,0)</s:f>
        <s:v>55348.68543874596</s:v>
      </s:c>
      <s:c r="D28" s="10">
        <s:f>(Invoer!$B$5*D$4*Invoer!$B$10*Invoer!$B$6*(1+Invoer!$B$7)^($A28-1)+Invoer!$B$5*D$5*Invoer!$B$13*Invoer!$B$12*Invoer!$B$11*(1+Invoer!$B$14)^($A28-1)+(Invoer!$B$5*(D$4*Invoer!$B$10+D$5*Invoer!$B$12))*(Invoer!$B$29+Invoer!$B$31+Invoer!$B$33+Invoer!$B$35)*(1+Invoer!$B$37)^($A28-1))-((Invoer!$B$24+Invoer!$B$25+Invoer!$B$26+(Invoer!$B$5*D$5*Invoer!$B$13*Invoer!$B$12)/Invoer!$B$15*Invoer!$B$17 )*(1+Invoer!$B$28)^($A28-1)+(Invoer!$B$5*D$5*Invoer!$B$13*Invoer!$B$12*Invoer!$B$11*(1+Invoer!$B$14)^($A28-1))*Invoer!$B$16+(Invoer!$B$5*D$4*Invoer!$B$10*Invoer!$B$6*(1+Invoer!$B$7)^($A28-1)+Invoer!$B$5*D$5*Invoer!$B$13*Invoer!$B$12*Invoer!$B$11*(1+Invoer!$B$14)^($A28-1)+(Invoer!$B$5*(D$4*Invoer!$B$10+D$5*Invoer!$B$12))*(Invoer!$B$29+Invoer!$B$31+Invoer!$B$33+Invoer!$B$35)*(1+Invoer!$B$37)^($A28-1))*Invoer!$B$27+(Invoer!$B$5*(D$4*Invoer!$B$10+D$5*Invoer!$B$12))*(Invoer!$B$29*Invoer!$B$30+Invoer!$B$31*Invoer!$B$32+Invoer!$B$33*Invoer!$B$34+Invoer!$B$35*Invoer!$B$36)*(1+Invoer!$B$37)^($A28-1))+IF($A28=20,Kasstromen!$V$27,0)</s:f>
        <s:v>55348.68543874596</s:v>
      </s:c>
    </s:row>
    <s:row r="29">
      <s:c r="A29" s="6" t="n">
        <s:v>12</s:v>
      </s:c>
      <s:c r="B29" s="12">
        <s:f>(Invoer!$B$5*B$4*Invoer!$B$10*Invoer!$B$6*(1+Invoer!$B$7)^($A29-1)+Invoer!$B$5*B$5*Invoer!$B$13*Invoer!$B$12*Invoer!$B$11*(1+Invoer!$B$14)^($A29-1)+(Invoer!$B$5*(B$4*Invoer!$B$10+B$5*Invoer!$B$12))*(Invoer!$B$29+Invoer!$B$31+Invoer!$B$33+Invoer!$B$35)*(1+Invoer!$B$37)^($A29-1))-((Invoer!$B$24+Invoer!$B$25+Invoer!$B$26+(Invoer!$B$5*B$5*Invoer!$B$13*Invoer!$B$12)/Invoer!$B$15*Invoer!$B$17 )*(1+Invoer!$B$28)^($A29-1)+(Invoer!$B$5*B$5*Invoer!$B$13*Invoer!$B$12*Invoer!$B$11*(1+Invoer!$B$14)^($A29-1))*Invoer!$B$16+(Invoer!$B$5*B$4*Invoer!$B$10*Invoer!$B$6*(1+Invoer!$B$7)^($A29-1)+Invoer!$B$5*B$5*Invoer!$B$13*Invoer!$B$12*Invoer!$B$11*(1+Invoer!$B$14)^($A29-1)+(Invoer!$B$5*(B$4*Invoer!$B$10+B$5*Invoer!$B$12))*(Invoer!$B$29+Invoer!$B$31+Invoer!$B$33+Invoer!$B$35)*(1+Invoer!$B$37)^($A29-1))*Invoer!$B$27+(Invoer!$B$5*(B$4*Invoer!$B$10+B$5*Invoer!$B$12))*(Invoer!$B$29*Invoer!$B$30+Invoer!$B$31*Invoer!$B$32+Invoer!$B$33*Invoer!$B$34+Invoer!$B$35*Invoer!$B$36)*(1+Invoer!$B$37)^($A29-1))+IF($A29=20,Kasstromen!$V$27,0)</s:f>
        <s:v>55345.8232398478</s:v>
      </s:c>
      <s:c r="C29" s="12">
        <s:f>(Invoer!$B$5*C$4*Invoer!$B$10*Invoer!$B$6*(1+Invoer!$B$7)^($A29-1)+Invoer!$B$5*C$5*Invoer!$B$13*Invoer!$B$12*Invoer!$B$11*(1+Invoer!$B$14)^($A29-1)+(Invoer!$B$5*(C$4*Invoer!$B$10+C$5*Invoer!$B$12))*(Invoer!$B$29+Invoer!$B$31+Invoer!$B$33+Invoer!$B$35)*(1+Invoer!$B$37)^($A29-1))-((Invoer!$B$24+Invoer!$B$25+Invoer!$B$26+(Invoer!$B$5*C$5*Invoer!$B$13*Invoer!$B$12)/Invoer!$B$15*Invoer!$B$17 )*(1+Invoer!$B$28)^($A29-1)+(Invoer!$B$5*C$5*Invoer!$B$13*Invoer!$B$12*Invoer!$B$11*(1+Invoer!$B$14)^($A29-1))*Invoer!$B$16+(Invoer!$B$5*C$4*Invoer!$B$10*Invoer!$B$6*(1+Invoer!$B$7)^($A29-1)+Invoer!$B$5*C$5*Invoer!$B$13*Invoer!$B$12*Invoer!$B$11*(1+Invoer!$B$14)^($A29-1)+(Invoer!$B$5*(C$4*Invoer!$B$10+C$5*Invoer!$B$12))*(Invoer!$B$29+Invoer!$B$31+Invoer!$B$33+Invoer!$B$35)*(1+Invoer!$B$37)^($A29-1))*Invoer!$B$27+(Invoer!$B$5*(C$4*Invoer!$B$10+C$5*Invoer!$B$12))*(Invoer!$B$29*Invoer!$B$30+Invoer!$B$31*Invoer!$B$32+Invoer!$B$33*Invoer!$B$34+Invoer!$B$35*Invoer!$B$36)*(1+Invoer!$B$37)^($A29-1))+IF($A29=20,Kasstromen!$V$27,0)</s:f>
        <s:v>56455.65914752088</s:v>
      </s:c>
      <s:c r="D29" s="12">
        <s:f>(Invoer!$B$5*D$4*Invoer!$B$10*Invoer!$B$6*(1+Invoer!$B$7)^($A29-1)+Invoer!$B$5*D$5*Invoer!$B$13*Invoer!$B$12*Invoer!$B$11*(1+Invoer!$B$14)^($A29-1)+(Invoer!$B$5*(D$4*Invoer!$B$10+D$5*Invoer!$B$12))*(Invoer!$B$29+Invoer!$B$31+Invoer!$B$33+Invoer!$B$35)*(1+Invoer!$B$37)^($A29-1))-((Invoer!$B$24+Invoer!$B$25+Invoer!$B$26+(Invoer!$B$5*D$5*Invoer!$B$13*Invoer!$B$12)/Invoer!$B$15*Invoer!$B$17 )*(1+Invoer!$B$28)^($A29-1)+(Invoer!$B$5*D$5*Invoer!$B$13*Invoer!$B$12*Invoer!$B$11*(1+Invoer!$B$14)^($A29-1))*Invoer!$B$16+(Invoer!$B$5*D$4*Invoer!$B$10*Invoer!$B$6*(1+Invoer!$B$7)^($A29-1)+Invoer!$B$5*D$5*Invoer!$B$13*Invoer!$B$12*Invoer!$B$11*(1+Invoer!$B$14)^($A29-1)+(Invoer!$B$5*(D$4*Invoer!$B$10+D$5*Invoer!$B$12))*(Invoer!$B$29+Invoer!$B$31+Invoer!$B$33+Invoer!$B$35)*(1+Invoer!$B$37)^($A29-1))*Invoer!$B$27+(Invoer!$B$5*(D$4*Invoer!$B$10+D$5*Invoer!$B$12))*(Invoer!$B$29*Invoer!$B$30+Invoer!$B$31*Invoer!$B$32+Invoer!$B$33*Invoer!$B$34+Invoer!$B$35*Invoer!$B$36)*(1+Invoer!$B$37)^($A29-1))+IF($A29=20,Kasstromen!$V$27,0)</s:f>
        <s:v>56455.65914752088</s:v>
      </s:c>
    </s:row>
    <s:row r="30">
      <s:c r="A30" s="8" t="n">
        <s:v>13</s:v>
      </s:c>
      <s:c r="B30" s="10">
        <s:f>(Invoer!$B$5*B$4*Invoer!$B$10*Invoer!$B$6*(1+Invoer!$B$7)^($A30-1)+Invoer!$B$5*B$5*Invoer!$B$13*Invoer!$B$12*Invoer!$B$11*(1+Invoer!$B$14)^($A30-1)+(Invoer!$B$5*(B$4*Invoer!$B$10+B$5*Invoer!$B$12))*(Invoer!$B$29+Invoer!$B$31+Invoer!$B$33+Invoer!$B$35)*(1+Invoer!$B$37)^($A30-1))-((Invoer!$B$24+Invoer!$B$25+Invoer!$B$26+(Invoer!$B$5*B$5*Invoer!$B$13*Invoer!$B$12)/Invoer!$B$15*Invoer!$B$17 )*(1+Invoer!$B$28)^($A30-1)+(Invoer!$B$5*B$5*Invoer!$B$13*Invoer!$B$12*Invoer!$B$11*(1+Invoer!$B$14)^($A30-1))*Invoer!$B$16+(Invoer!$B$5*B$4*Invoer!$B$10*Invoer!$B$6*(1+Invoer!$B$7)^($A30-1)+Invoer!$B$5*B$5*Invoer!$B$13*Invoer!$B$12*Invoer!$B$11*(1+Invoer!$B$14)^($A30-1)+(Invoer!$B$5*(B$4*Invoer!$B$10+B$5*Invoer!$B$12))*(Invoer!$B$29+Invoer!$B$31+Invoer!$B$33+Invoer!$B$35)*(1+Invoer!$B$37)^($A30-1))*Invoer!$B$27+(Invoer!$B$5*(B$4*Invoer!$B$10+B$5*Invoer!$B$12))*(Invoer!$B$29*Invoer!$B$30+Invoer!$B$31*Invoer!$B$32+Invoer!$B$33*Invoer!$B$34+Invoer!$B$35*Invoer!$B$36)*(1+Invoer!$B$37)^($A30-1))+IF($A30=20,Kasstromen!$V$27,0)</s:f>
        <s:v>56452.739704644766</s:v>
      </s:c>
      <s:c r="C30" s="10">
        <s:f>(Invoer!$B$5*C$4*Invoer!$B$10*Invoer!$B$6*(1+Invoer!$B$7)^($A30-1)+Invoer!$B$5*C$5*Invoer!$B$13*Invoer!$B$12*Invoer!$B$11*(1+Invoer!$B$14)^($A30-1)+(Invoer!$B$5*(C$4*Invoer!$B$10+C$5*Invoer!$B$12))*(Invoer!$B$29+Invoer!$B$31+Invoer!$B$33+Invoer!$B$35)*(1+Invoer!$B$37)^($A30-1))-((Invoer!$B$24+Invoer!$B$25+Invoer!$B$26+(Invoer!$B$5*C$5*Invoer!$B$13*Invoer!$B$12)/Invoer!$B$15*Invoer!$B$17 )*(1+Invoer!$B$28)^($A30-1)+(Invoer!$B$5*C$5*Invoer!$B$13*Invoer!$B$12*Invoer!$B$11*(1+Invoer!$B$14)^($A30-1))*Invoer!$B$16+(Invoer!$B$5*C$4*Invoer!$B$10*Invoer!$B$6*(1+Invoer!$B$7)^($A30-1)+Invoer!$B$5*C$5*Invoer!$B$13*Invoer!$B$12*Invoer!$B$11*(1+Invoer!$B$14)^($A30-1)+(Invoer!$B$5*(C$4*Invoer!$B$10+C$5*Invoer!$B$12))*(Invoer!$B$29+Invoer!$B$31+Invoer!$B$33+Invoer!$B$35)*(1+Invoer!$B$37)^($A30-1))*Invoer!$B$27+(Invoer!$B$5*(C$4*Invoer!$B$10+C$5*Invoer!$B$12))*(Invoer!$B$29*Invoer!$B$30+Invoer!$B$31*Invoer!$B$32+Invoer!$B$33*Invoer!$B$34+Invoer!$B$35*Invoer!$B$36)*(1+Invoer!$B$37)^($A30-1))+IF($A30=20,Kasstromen!$V$27,0)</s:f>
        <s:v>57584.7723304713</s:v>
      </s:c>
      <s:c r="D30" s="10">
        <s:f>(Invoer!$B$5*D$4*Invoer!$B$10*Invoer!$B$6*(1+Invoer!$B$7)^($A30-1)+Invoer!$B$5*D$5*Invoer!$B$13*Invoer!$B$12*Invoer!$B$11*(1+Invoer!$B$14)^($A30-1)+(Invoer!$B$5*(D$4*Invoer!$B$10+D$5*Invoer!$B$12))*(Invoer!$B$29+Invoer!$B$31+Invoer!$B$33+Invoer!$B$35)*(1+Invoer!$B$37)^($A30-1))-((Invoer!$B$24+Invoer!$B$25+Invoer!$B$26+(Invoer!$B$5*D$5*Invoer!$B$13*Invoer!$B$12)/Invoer!$B$15*Invoer!$B$17 )*(1+Invoer!$B$28)^($A30-1)+(Invoer!$B$5*D$5*Invoer!$B$13*Invoer!$B$12*Invoer!$B$11*(1+Invoer!$B$14)^($A30-1))*Invoer!$B$16+(Invoer!$B$5*D$4*Invoer!$B$10*Invoer!$B$6*(1+Invoer!$B$7)^($A30-1)+Invoer!$B$5*D$5*Invoer!$B$13*Invoer!$B$12*Invoer!$B$11*(1+Invoer!$B$14)^($A30-1)+(Invoer!$B$5*(D$4*Invoer!$B$10+D$5*Invoer!$B$12))*(Invoer!$B$29+Invoer!$B$31+Invoer!$B$33+Invoer!$B$35)*(1+Invoer!$B$37)^($A30-1))*Invoer!$B$27+(Invoer!$B$5*(D$4*Invoer!$B$10+D$5*Invoer!$B$12))*(Invoer!$B$29*Invoer!$B$30+Invoer!$B$31*Invoer!$B$32+Invoer!$B$33*Invoer!$B$34+Invoer!$B$35*Invoer!$B$36)*(1+Invoer!$B$37)^($A30-1))+IF($A30=20,Kasstromen!$V$27,0)</s:f>
        <s:v>57584.7723304713</s:v>
      </s:c>
    </s:row>
    <s:row r="31">
      <s:c r="A31" s="6" t="n">
        <s:v>14</s:v>
      </s:c>
      <s:c r="B31" s="12">
        <s:f>(Invoer!$B$5*B$4*Invoer!$B$10*Invoer!$B$6*(1+Invoer!$B$7)^($A31-1)+Invoer!$B$5*B$5*Invoer!$B$13*Invoer!$B$12*Invoer!$B$11*(1+Invoer!$B$14)^($A31-1)+(Invoer!$B$5*(B$4*Invoer!$B$10+B$5*Invoer!$B$12))*(Invoer!$B$29+Invoer!$B$31+Invoer!$B$33+Invoer!$B$35)*(1+Invoer!$B$37)^($A31-1))-((Invoer!$B$24+Invoer!$B$25+Invoer!$B$26+(Invoer!$B$5*B$5*Invoer!$B$13*Invoer!$B$12)/Invoer!$B$15*Invoer!$B$17 )*(1+Invoer!$B$28)^($A31-1)+(Invoer!$B$5*B$5*Invoer!$B$13*Invoer!$B$12*Invoer!$B$11*(1+Invoer!$B$14)^($A31-1))*Invoer!$B$16+(Invoer!$B$5*B$4*Invoer!$B$10*Invoer!$B$6*(1+Invoer!$B$7)^($A31-1)+Invoer!$B$5*B$5*Invoer!$B$13*Invoer!$B$12*Invoer!$B$11*(1+Invoer!$B$14)^($A31-1)+(Invoer!$B$5*(B$4*Invoer!$B$10+B$5*Invoer!$B$12))*(Invoer!$B$29+Invoer!$B$31+Invoer!$B$33+Invoer!$B$35)*(1+Invoer!$B$37)^($A31-1))*Invoer!$B$27+(Invoer!$B$5*(B$4*Invoer!$B$10+B$5*Invoer!$B$12))*(Invoer!$B$29*Invoer!$B$30+Invoer!$B$31*Invoer!$B$32+Invoer!$B$33*Invoer!$B$34+Invoer!$B$35*Invoer!$B$36)*(1+Invoer!$B$37)^($A31-1))+IF($A31=20,Kasstromen!$V$27,0)</s:f>
        <s:v>57581.794498737654</s:v>
      </s:c>
      <s:c r="C31" s="12">
        <s:f>(Invoer!$B$5*C$4*Invoer!$B$10*Invoer!$B$6*(1+Invoer!$B$7)^($A31-1)+Invoer!$B$5*C$5*Invoer!$B$13*Invoer!$B$12*Invoer!$B$11*(1+Invoer!$B$14)^($A31-1)+(Invoer!$B$5*(C$4*Invoer!$B$10+C$5*Invoer!$B$12))*(Invoer!$B$29+Invoer!$B$31+Invoer!$B$33+Invoer!$B$35)*(1+Invoer!$B$37)^($A31-1))-((Invoer!$B$24+Invoer!$B$25+Invoer!$B$26+(Invoer!$B$5*C$5*Invoer!$B$13*Invoer!$B$12)/Invoer!$B$15*Invoer!$B$17 )*(1+Invoer!$B$28)^($A31-1)+(Invoer!$B$5*C$5*Invoer!$B$13*Invoer!$B$12*Invoer!$B$11*(1+Invoer!$B$14)^($A31-1))*Invoer!$B$16+(Invoer!$B$5*C$4*Invoer!$B$10*Invoer!$B$6*(1+Invoer!$B$7)^($A31-1)+Invoer!$B$5*C$5*Invoer!$B$13*Invoer!$B$12*Invoer!$B$11*(1+Invoer!$B$14)^($A31-1)+(Invoer!$B$5*(C$4*Invoer!$B$10+C$5*Invoer!$B$12))*(Invoer!$B$29+Invoer!$B$31+Invoer!$B$33+Invoer!$B$35)*(1+Invoer!$B$37)^($A31-1))*Invoer!$B$27+(Invoer!$B$5*(C$4*Invoer!$B$10+C$5*Invoer!$B$12))*(Invoer!$B$29*Invoer!$B$30+Invoer!$B$31*Invoer!$B$32+Invoer!$B$33*Invoer!$B$34+Invoer!$B$35*Invoer!$B$36)*(1+Invoer!$B$37)^($A31-1))+IF($A31=20,Kasstromen!$V$27,0)</s:f>
        <s:v>58736.46777708072</s:v>
      </s:c>
      <s:c r="D31" s="12">
        <s:f>(Invoer!$B$5*D$4*Invoer!$B$10*Invoer!$B$6*(1+Invoer!$B$7)^($A31-1)+Invoer!$B$5*D$5*Invoer!$B$13*Invoer!$B$12*Invoer!$B$11*(1+Invoer!$B$14)^($A31-1)+(Invoer!$B$5*(D$4*Invoer!$B$10+D$5*Invoer!$B$12))*(Invoer!$B$29+Invoer!$B$31+Invoer!$B$33+Invoer!$B$35)*(1+Invoer!$B$37)^($A31-1))-((Invoer!$B$24+Invoer!$B$25+Invoer!$B$26+(Invoer!$B$5*D$5*Invoer!$B$13*Invoer!$B$12)/Invoer!$B$15*Invoer!$B$17 )*(1+Invoer!$B$28)^($A31-1)+(Invoer!$B$5*D$5*Invoer!$B$13*Invoer!$B$12*Invoer!$B$11*(1+Invoer!$B$14)^($A31-1))*Invoer!$B$16+(Invoer!$B$5*D$4*Invoer!$B$10*Invoer!$B$6*(1+Invoer!$B$7)^($A31-1)+Invoer!$B$5*D$5*Invoer!$B$13*Invoer!$B$12*Invoer!$B$11*(1+Invoer!$B$14)^($A31-1)+(Invoer!$B$5*(D$4*Invoer!$B$10+D$5*Invoer!$B$12))*(Invoer!$B$29+Invoer!$B$31+Invoer!$B$33+Invoer!$B$35)*(1+Invoer!$B$37)^($A31-1))*Invoer!$B$27+(Invoer!$B$5*(D$4*Invoer!$B$10+D$5*Invoer!$B$12))*(Invoer!$B$29*Invoer!$B$30+Invoer!$B$31*Invoer!$B$32+Invoer!$B$33*Invoer!$B$34+Invoer!$B$35*Invoer!$B$36)*(1+Invoer!$B$37)^($A31-1))+IF($A31=20,Kasstromen!$V$27,0)</s:f>
        <s:v>58736.46777708072</s:v>
      </s:c>
    </s:row>
    <s:row r="32">
      <s:c r="A32" s="8" t="n">
        <s:v>15</s:v>
      </s:c>
      <s:c r="B32" s="10">
        <s:f>(Invoer!$B$5*B$4*Invoer!$B$10*Invoer!$B$6*(1+Invoer!$B$7)^($A32-1)+Invoer!$B$5*B$5*Invoer!$B$13*Invoer!$B$12*Invoer!$B$11*(1+Invoer!$B$14)^($A32-1)+(Invoer!$B$5*(B$4*Invoer!$B$10+B$5*Invoer!$B$12))*(Invoer!$B$29+Invoer!$B$31+Invoer!$B$33+Invoer!$B$35)*(1+Invoer!$B$37)^($A32-1))-((Invoer!$B$24+Invoer!$B$25+Invoer!$B$26+(Invoer!$B$5*B$5*Invoer!$B$13*Invoer!$B$12)/Invoer!$B$15*Invoer!$B$17 )*(1+Invoer!$B$28)^($A32-1)+(Invoer!$B$5*B$5*Invoer!$B$13*Invoer!$B$12*Invoer!$B$11*(1+Invoer!$B$14)^($A32-1))*Invoer!$B$16+(Invoer!$B$5*B$4*Invoer!$B$10*Invoer!$B$6*(1+Invoer!$B$7)^($A32-1)+Invoer!$B$5*B$5*Invoer!$B$13*Invoer!$B$12*Invoer!$B$11*(1+Invoer!$B$14)^($A32-1)+(Invoer!$B$5*(B$4*Invoer!$B$10+B$5*Invoer!$B$12))*(Invoer!$B$29+Invoer!$B$31+Invoer!$B$33+Invoer!$B$35)*(1+Invoer!$B$37)^($A32-1))*Invoer!$B$27+(Invoer!$B$5*(B$4*Invoer!$B$10+B$5*Invoer!$B$12))*(Invoer!$B$29*Invoer!$B$30+Invoer!$B$31*Invoer!$B$32+Invoer!$B$33*Invoer!$B$34+Invoer!$B$35*Invoer!$B$36)*(1+Invoer!$B$37)^($A32-1))+IF($A32=20,Kasstromen!$V$27,0)</s:f>
        <s:v>58733.43038871241</s:v>
      </s:c>
      <s:c r="C32" s="10">
        <s:f>(Invoer!$B$5*C$4*Invoer!$B$10*Invoer!$B$6*(1+Invoer!$B$7)^($A32-1)+Invoer!$B$5*C$5*Invoer!$B$13*Invoer!$B$12*Invoer!$B$11*(1+Invoer!$B$14)^($A32-1)+(Invoer!$B$5*(C$4*Invoer!$B$10+C$5*Invoer!$B$12))*(Invoer!$B$29+Invoer!$B$31+Invoer!$B$33+Invoer!$B$35)*(1+Invoer!$B$37)^($A32-1))-((Invoer!$B$24+Invoer!$B$25+Invoer!$B$26+(Invoer!$B$5*C$5*Invoer!$B$13*Invoer!$B$12)/Invoer!$B$15*Invoer!$B$17 )*(1+Invoer!$B$28)^($A32-1)+(Invoer!$B$5*C$5*Invoer!$B$13*Invoer!$B$12*Invoer!$B$11*(1+Invoer!$B$14)^($A32-1))*Invoer!$B$16+(Invoer!$B$5*C$4*Invoer!$B$10*Invoer!$B$6*(1+Invoer!$B$7)^($A32-1)+Invoer!$B$5*C$5*Invoer!$B$13*Invoer!$B$12*Invoer!$B$11*(1+Invoer!$B$14)^($A32-1)+(Invoer!$B$5*(C$4*Invoer!$B$10+C$5*Invoer!$B$12))*(Invoer!$B$29+Invoer!$B$31+Invoer!$B$33+Invoer!$B$35)*(1+Invoer!$B$37)^($A32-1))*Invoer!$B$27+(Invoer!$B$5*(C$4*Invoer!$B$10+C$5*Invoer!$B$12))*(Invoer!$B$29*Invoer!$B$30+Invoer!$B$31*Invoer!$B$32+Invoer!$B$33*Invoer!$B$34+Invoer!$B$35*Invoer!$B$36)*(1+Invoer!$B$37)^($A32-1))+IF($A32=20,Kasstromen!$V$27,0)</s:f>
        <s:v>59911.19713262233</s:v>
      </s:c>
      <s:c r="D32" s="10">
        <s:f>(Invoer!$B$5*D$4*Invoer!$B$10*Invoer!$B$6*(1+Invoer!$B$7)^($A32-1)+Invoer!$B$5*D$5*Invoer!$B$13*Invoer!$B$12*Invoer!$B$11*(1+Invoer!$B$14)^($A32-1)+(Invoer!$B$5*(D$4*Invoer!$B$10+D$5*Invoer!$B$12))*(Invoer!$B$29+Invoer!$B$31+Invoer!$B$33+Invoer!$B$35)*(1+Invoer!$B$37)^($A32-1))-((Invoer!$B$24+Invoer!$B$25+Invoer!$B$26+(Invoer!$B$5*D$5*Invoer!$B$13*Invoer!$B$12)/Invoer!$B$15*Invoer!$B$17 )*(1+Invoer!$B$28)^($A32-1)+(Invoer!$B$5*D$5*Invoer!$B$13*Invoer!$B$12*Invoer!$B$11*(1+Invoer!$B$14)^($A32-1))*Invoer!$B$16+(Invoer!$B$5*D$4*Invoer!$B$10*Invoer!$B$6*(1+Invoer!$B$7)^($A32-1)+Invoer!$B$5*D$5*Invoer!$B$13*Invoer!$B$12*Invoer!$B$11*(1+Invoer!$B$14)^($A32-1)+(Invoer!$B$5*(D$4*Invoer!$B$10+D$5*Invoer!$B$12))*(Invoer!$B$29+Invoer!$B$31+Invoer!$B$33+Invoer!$B$35)*(1+Invoer!$B$37)^($A32-1))*Invoer!$B$27+(Invoer!$B$5*(D$4*Invoer!$B$10+D$5*Invoer!$B$12))*(Invoer!$B$29*Invoer!$B$30+Invoer!$B$31*Invoer!$B$32+Invoer!$B$33*Invoer!$B$34+Invoer!$B$35*Invoer!$B$36)*(1+Invoer!$B$37)^($A32-1))+IF($A32=20,Kasstromen!$V$27,0)</s:f>
        <s:v>59911.19713262233</s:v>
      </s:c>
    </s:row>
    <s:row r="33">
      <s:c r="A33" s="6" t="n">
        <s:v>16</s:v>
      </s:c>
      <s:c r="B33" s="12">
        <s:f>(Invoer!$B$5*B$4*Invoer!$B$10*Invoer!$B$6*(1+Invoer!$B$7)^($A33-1)+Invoer!$B$5*B$5*Invoer!$B$13*Invoer!$B$12*Invoer!$B$11*(1+Invoer!$B$14)^($A33-1)+(Invoer!$B$5*(B$4*Invoer!$B$10+B$5*Invoer!$B$12))*(Invoer!$B$29+Invoer!$B$31+Invoer!$B$33+Invoer!$B$35)*(1+Invoer!$B$37)^($A33-1))-((Invoer!$B$24+Invoer!$B$25+Invoer!$B$26+(Invoer!$B$5*B$5*Invoer!$B$13*Invoer!$B$12)/Invoer!$B$15*Invoer!$B$17 )*(1+Invoer!$B$28)^($A33-1)+(Invoer!$B$5*B$5*Invoer!$B$13*Invoer!$B$12*Invoer!$B$11*(1+Invoer!$B$14)^($A33-1))*Invoer!$B$16+(Invoer!$B$5*B$4*Invoer!$B$10*Invoer!$B$6*(1+Invoer!$B$7)^($A33-1)+Invoer!$B$5*B$5*Invoer!$B$13*Invoer!$B$12*Invoer!$B$11*(1+Invoer!$B$14)^($A33-1)+(Invoer!$B$5*(B$4*Invoer!$B$10+B$5*Invoer!$B$12))*(Invoer!$B$29+Invoer!$B$31+Invoer!$B$33+Invoer!$B$35)*(1+Invoer!$B$37)^($A33-1))*Invoer!$B$27+(Invoer!$B$5*(B$4*Invoer!$B$10+B$5*Invoer!$B$12))*(Invoer!$B$29*Invoer!$B$30+Invoer!$B$31*Invoer!$B$32+Invoer!$B$33*Invoer!$B$34+Invoer!$B$35*Invoer!$B$36)*(1+Invoer!$B$37)^($A33-1))+IF($A33=20,Kasstromen!$V$27,0)</s:f>
        <s:v>59908.09899648665</s:v>
      </s:c>
      <s:c r="C33" s="12">
        <s:f>(Invoer!$B$5*C$4*Invoer!$B$10*Invoer!$B$6*(1+Invoer!$B$7)^($A33-1)+Invoer!$B$5*C$5*Invoer!$B$13*Invoer!$B$12*Invoer!$B$11*(1+Invoer!$B$14)^($A33-1)+(Invoer!$B$5*(C$4*Invoer!$B$10+C$5*Invoer!$B$12))*(Invoer!$B$29+Invoer!$B$31+Invoer!$B$33+Invoer!$B$35)*(1+Invoer!$B$37)^($A33-1))-((Invoer!$B$24+Invoer!$B$25+Invoer!$B$26+(Invoer!$B$5*C$5*Invoer!$B$13*Invoer!$B$12)/Invoer!$B$15*Invoer!$B$17 )*(1+Invoer!$B$28)^($A33-1)+(Invoer!$B$5*C$5*Invoer!$B$13*Invoer!$B$12*Invoer!$B$11*(1+Invoer!$B$14)^($A33-1))*Invoer!$B$16+(Invoer!$B$5*C$4*Invoer!$B$10*Invoer!$B$6*(1+Invoer!$B$7)^($A33-1)+Invoer!$B$5*C$5*Invoer!$B$13*Invoer!$B$12*Invoer!$B$11*(1+Invoer!$B$14)^($A33-1)+(Invoer!$B$5*(C$4*Invoer!$B$10+C$5*Invoer!$B$12))*(Invoer!$B$29+Invoer!$B$31+Invoer!$B$33+Invoer!$B$35)*(1+Invoer!$B$37)^($A33-1))*Invoer!$B$27+(Invoer!$B$5*(C$4*Invoer!$B$10+C$5*Invoer!$B$12))*(Invoer!$B$29*Invoer!$B$30+Invoer!$B$31*Invoer!$B$32+Invoer!$B$33*Invoer!$B$34+Invoer!$B$35*Invoer!$B$36)*(1+Invoer!$B$37)^($A33-1))+IF($A33=20,Kasstromen!$V$27,0)</s:f>
        <s:v>61109.42107527478</s:v>
      </s:c>
      <s:c r="D33" s="12">
        <s:f>(Invoer!$B$5*D$4*Invoer!$B$10*Invoer!$B$6*(1+Invoer!$B$7)^($A33-1)+Invoer!$B$5*D$5*Invoer!$B$13*Invoer!$B$12*Invoer!$B$11*(1+Invoer!$B$14)^($A33-1)+(Invoer!$B$5*(D$4*Invoer!$B$10+D$5*Invoer!$B$12))*(Invoer!$B$29+Invoer!$B$31+Invoer!$B$33+Invoer!$B$35)*(1+Invoer!$B$37)^($A33-1))-((Invoer!$B$24+Invoer!$B$25+Invoer!$B$26+(Invoer!$B$5*D$5*Invoer!$B$13*Invoer!$B$12)/Invoer!$B$15*Invoer!$B$17 )*(1+Invoer!$B$28)^($A33-1)+(Invoer!$B$5*D$5*Invoer!$B$13*Invoer!$B$12*Invoer!$B$11*(1+Invoer!$B$14)^($A33-1))*Invoer!$B$16+(Invoer!$B$5*D$4*Invoer!$B$10*Invoer!$B$6*(1+Invoer!$B$7)^($A33-1)+Invoer!$B$5*D$5*Invoer!$B$13*Invoer!$B$12*Invoer!$B$11*(1+Invoer!$B$14)^($A33-1)+(Invoer!$B$5*(D$4*Invoer!$B$10+D$5*Invoer!$B$12))*(Invoer!$B$29+Invoer!$B$31+Invoer!$B$33+Invoer!$B$35)*(1+Invoer!$B$37)^($A33-1))*Invoer!$B$27+(Invoer!$B$5*(D$4*Invoer!$B$10+D$5*Invoer!$B$12))*(Invoer!$B$29*Invoer!$B$30+Invoer!$B$31*Invoer!$B$32+Invoer!$B$33*Invoer!$B$34+Invoer!$B$35*Invoer!$B$36)*(1+Invoer!$B$37)^($A33-1))+IF($A33=20,Kasstromen!$V$27,0)</s:f>
        <s:v>61109.42107527478</s:v>
      </s:c>
    </s:row>
    <s:row r="34">
      <s:c r="A34" s="8" t="n">
        <s:v>17</s:v>
      </s:c>
      <s:c r="B34" s="10">
        <s:f>(Invoer!$B$5*B$4*Invoer!$B$10*Invoer!$B$6*(1+Invoer!$B$7)^($A34-1)+Invoer!$B$5*B$5*Invoer!$B$13*Invoer!$B$12*Invoer!$B$11*(1+Invoer!$B$14)^($A34-1)+(Invoer!$B$5*(B$4*Invoer!$B$10+B$5*Invoer!$B$12))*(Invoer!$B$29+Invoer!$B$31+Invoer!$B$33+Invoer!$B$35)*(1+Invoer!$B$37)^($A34-1))-((Invoer!$B$24+Invoer!$B$25+Invoer!$B$26+(Invoer!$B$5*B$5*Invoer!$B$13*Invoer!$B$12)/Invoer!$B$15*Invoer!$B$17 )*(1+Invoer!$B$28)^($A34-1)+(Invoer!$B$5*B$5*Invoer!$B$13*Invoer!$B$12*Invoer!$B$11*(1+Invoer!$B$14)^($A34-1))*Invoer!$B$16+(Invoer!$B$5*B$4*Invoer!$B$10*Invoer!$B$6*(1+Invoer!$B$7)^($A34-1)+Invoer!$B$5*B$5*Invoer!$B$13*Invoer!$B$12*Invoer!$B$11*(1+Invoer!$B$14)^($A34-1)+(Invoer!$B$5*(B$4*Invoer!$B$10+B$5*Invoer!$B$12))*(Invoer!$B$29+Invoer!$B$31+Invoer!$B$33+Invoer!$B$35)*(1+Invoer!$B$37)^($A34-1))*Invoer!$B$27+(Invoer!$B$5*(B$4*Invoer!$B$10+B$5*Invoer!$B$12))*(Invoer!$B$29*Invoer!$B$30+Invoer!$B$31*Invoer!$B$32+Invoer!$B$33*Invoer!$B$34+Invoer!$B$35*Invoer!$B$36)*(1+Invoer!$B$37)^($A34-1))+IF($A34=20,Kasstromen!$V$27,0)</s:f>
        <s:v>61106.2609764164</s:v>
      </s:c>
      <s:c r="C34" s="10">
        <s:f>(Invoer!$B$5*C$4*Invoer!$B$10*Invoer!$B$6*(1+Invoer!$B$7)^($A34-1)+Invoer!$B$5*C$5*Invoer!$B$13*Invoer!$B$12*Invoer!$B$11*(1+Invoer!$B$14)^($A34-1)+(Invoer!$B$5*(C$4*Invoer!$B$10+C$5*Invoer!$B$12))*(Invoer!$B$29+Invoer!$B$31+Invoer!$B$33+Invoer!$B$35)*(1+Invoer!$B$37)^($A34-1))-((Invoer!$B$24+Invoer!$B$25+Invoer!$B$26+(Invoer!$B$5*C$5*Invoer!$B$13*Invoer!$B$12)/Invoer!$B$15*Invoer!$B$17 )*(1+Invoer!$B$28)^($A34-1)+(Invoer!$B$5*C$5*Invoer!$B$13*Invoer!$B$12*Invoer!$B$11*(1+Invoer!$B$14)^($A34-1))*Invoer!$B$16+(Invoer!$B$5*C$4*Invoer!$B$10*Invoer!$B$6*(1+Invoer!$B$7)^($A34-1)+Invoer!$B$5*C$5*Invoer!$B$13*Invoer!$B$12*Invoer!$B$11*(1+Invoer!$B$14)^($A34-1)+(Invoer!$B$5*(C$4*Invoer!$B$10+C$5*Invoer!$B$12))*(Invoer!$B$29+Invoer!$B$31+Invoer!$B$33+Invoer!$B$35)*(1+Invoer!$B$37)^($A34-1))*Invoer!$B$27+(Invoer!$B$5*(C$4*Invoer!$B$10+C$5*Invoer!$B$12))*(Invoer!$B$29*Invoer!$B$30+Invoer!$B$31*Invoer!$B$32+Invoer!$B$33*Invoer!$B$34+Invoer!$B$35*Invoer!$B$36)*(1+Invoer!$B$37)^($A34-1))+IF($A34=20,Kasstromen!$V$27,0)</s:f>
        <s:v>62331.60949678028</s:v>
      </s:c>
      <s:c r="D34" s="10">
        <s:f>(Invoer!$B$5*D$4*Invoer!$B$10*Invoer!$B$6*(1+Invoer!$B$7)^($A34-1)+Invoer!$B$5*D$5*Invoer!$B$13*Invoer!$B$12*Invoer!$B$11*(1+Invoer!$B$14)^($A34-1)+(Invoer!$B$5*(D$4*Invoer!$B$10+D$5*Invoer!$B$12))*(Invoer!$B$29+Invoer!$B$31+Invoer!$B$33+Invoer!$B$35)*(1+Invoer!$B$37)^($A34-1))-((Invoer!$B$24+Invoer!$B$25+Invoer!$B$26+(Invoer!$B$5*D$5*Invoer!$B$13*Invoer!$B$12)/Invoer!$B$15*Invoer!$B$17 )*(1+Invoer!$B$28)^($A34-1)+(Invoer!$B$5*D$5*Invoer!$B$13*Invoer!$B$12*Invoer!$B$11*(1+Invoer!$B$14)^($A34-1))*Invoer!$B$16+(Invoer!$B$5*D$4*Invoer!$B$10*Invoer!$B$6*(1+Invoer!$B$7)^($A34-1)+Invoer!$B$5*D$5*Invoer!$B$13*Invoer!$B$12*Invoer!$B$11*(1+Invoer!$B$14)^($A34-1)+(Invoer!$B$5*(D$4*Invoer!$B$10+D$5*Invoer!$B$12))*(Invoer!$B$29+Invoer!$B$31+Invoer!$B$33+Invoer!$B$35)*(1+Invoer!$B$37)^($A34-1))*Invoer!$B$27+(Invoer!$B$5*(D$4*Invoer!$B$10+D$5*Invoer!$B$12))*(Invoer!$B$29*Invoer!$B$30+Invoer!$B$31*Invoer!$B$32+Invoer!$B$33*Invoer!$B$34+Invoer!$B$35*Invoer!$B$36)*(1+Invoer!$B$37)^($A34-1))+IF($A34=20,Kasstromen!$V$27,0)</s:f>
        <s:v>62331.60949678028</s:v>
      </s:c>
    </s:row>
    <s:row r="35">
      <s:c r="A35" s="6" t="n">
        <s:v>18</s:v>
      </s:c>
      <s:c r="B35" s="12">
        <s:f>(Invoer!$B$5*B$4*Invoer!$B$10*Invoer!$B$6*(1+Invoer!$B$7)^($A35-1)+Invoer!$B$5*B$5*Invoer!$B$13*Invoer!$B$12*Invoer!$B$11*(1+Invoer!$B$14)^($A35-1)+(Invoer!$B$5*(B$4*Invoer!$B$10+B$5*Invoer!$B$12))*(Invoer!$B$29+Invoer!$B$31+Invoer!$B$33+Invoer!$B$35)*(1+Invoer!$B$37)^($A35-1))-((Invoer!$B$24+Invoer!$B$25+Invoer!$B$26+(Invoer!$B$5*B$5*Invoer!$B$13*Invoer!$B$12)/Invoer!$B$15*Invoer!$B$17 )*(1+Invoer!$B$28)^($A35-1)+(Invoer!$B$5*B$5*Invoer!$B$13*Invoer!$B$12*Invoer!$B$11*(1+Invoer!$B$14)^($A35-1))*Invoer!$B$16+(Invoer!$B$5*B$4*Invoer!$B$10*Invoer!$B$6*(1+Invoer!$B$7)^($A35-1)+Invoer!$B$5*B$5*Invoer!$B$13*Invoer!$B$12*Invoer!$B$11*(1+Invoer!$B$14)^($A35-1)+(Invoer!$B$5*(B$4*Invoer!$B$10+B$5*Invoer!$B$12))*(Invoer!$B$29+Invoer!$B$31+Invoer!$B$33+Invoer!$B$35)*(1+Invoer!$B$37)^($A35-1))*Invoer!$B$27+(Invoer!$B$5*(B$4*Invoer!$B$10+B$5*Invoer!$B$12))*(Invoer!$B$29*Invoer!$B$30+Invoer!$B$31*Invoer!$B$32+Invoer!$B$33*Invoer!$B$34+Invoer!$B$35*Invoer!$B$36)*(1+Invoer!$B$37)^($A35-1))+IF($A35=20,Kasstromen!$V$27,0)</s:f>
        <s:v>62328.386195944724</s:v>
      </s:c>
      <s:c r="C35" s="12">
        <s:f>(Invoer!$B$5*C$4*Invoer!$B$10*Invoer!$B$6*(1+Invoer!$B$7)^($A35-1)+Invoer!$B$5*C$5*Invoer!$B$13*Invoer!$B$12*Invoer!$B$11*(1+Invoer!$B$14)^($A35-1)+(Invoer!$B$5*(C$4*Invoer!$B$10+C$5*Invoer!$B$12))*(Invoer!$B$29+Invoer!$B$31+Invoer!$B$33+Invoer!$B$35)*(1+Invoer!$B$37)^($A35-1))-((Invoer!$B$24+Invoer!$B$25+Invoer!$B$26+(Invoer!$B$5*C$5*Invoer!$B$13*Invoer!$B$12)/Invoer!$B$15*Invoer!$B$17 )*(1+Invoer!$B$28)^($A35-1)+(Invoer!$B$5*C$5*Invoer!$B$13*Invoer!$B$12*Invoer!$B$11*(1+Invoer!$B$14)^($A35-1))*Invoer!$B$16+(Invoer!$B$5*C$4*Invoer!$B$10*Invoer!$B$6*(1+Invoer!$B$7)^($A35-1)+Invoer!$B$5*C$5*Invoer!$B$13*Invoer!$B$12*Invoer!$B$11*(1+Invoer!$B$14)^($A35-1)+(Invoer!$B$5*(C$4*Invoer!$B$10+C$5*Invoer!$B$12))*(Invoer!$B$29+Invoer!$B$31+Invoer!$B$33+Invoer!$B$35)*(1+Invoer!$B$37)^($A35-1))*Invoer!$B$27+(Invoer!$B$5*(C$4*Invoer!$B$10+C$5*Invoer!$B$12))*(Invoer!$B$29*Invoer!$B$30+Invoer!$B$31*Invoer!$B$32+Invoer!$B$33*Invoer!$B$34+Invoer!$B$35*Invoer!$B$36)*(1+Invoer!$B$37)^($A35-1))+IF($A35=20,Kasstromen!$V$27,0)</s:f>
        <s:v>63578.24168671588</s:v>
      </s:c>
      <s:c r="D35" s="12">
        <s:f>(Invoer!$B$5*D$4*Invoer!$B$10*Invoer!$B$6*(1+Invoer!$B$7)^($A35-1)+Invoer!$B$5*D$5*Invoer!$B$13*Invoer!$B$12*Invoer!$B$11*(1+Invoer!$B$14)^($A35-1)+(Invoer!$B$5*(D$4*Invoer!$B$10+D$5*Invoer!$B$12))*(Invoer!$B$29+Invoer!$B$31+Invoer!$B$33+Invoer!$B$35)*(1+Invoer!$B$37)^($A35-1))-((Invoer!$B$24+Invoer!$B$25+Invoer!$B$26+(Invoer!$B$5*D$5*Invoer!$B$13*Invoer!$B$12)/Invoer!$B$15*Invoer!$B$17 )*(1+Invoer!$B$28)^($A35-1)+(Invoer!$B$5*D$5*Invoer!$B$13*Invoer!$B$12*Invoer!$B$11*(1+Invoer!$B$14)^($A35-1))*Invoer!$B$16+(Invoer!$B$5*D$4*Invoer!$B$10*Invoer!$B$6*(1+Invoer!$B$7)^($A35-1)+Invoer!$B$5*D$5*Invoer!$B$13*Invoer!$B$12*Invoer!$B$11*(1+Invoer!$B$14)^($A35-1)+(Invoer!$B$5*(D$4*Invoer!$B$10+D$5*Invoer!$B$12))*(Invoer!$B$29+Invoer!$B$31+Invoer!$B$33+Invoer!$B$35)*(1+Invoer!$B$37)^($A35-1))*Invoer!$B$27+(Invoer!$B$5*(D$4*Invoer!$B$10+D$5*Invoer!$B$12))*(Invoer!$B$29*Invoer!$B$30+Invoer!$B$31*Invoer!$B$32+Invoer!$B$33*Invoer!$B$34+Invoer!$B$35*Invoer!$B$36)*(1+Invoer!$B$37)^($A35-1))+IF($A35=20,Kasstromen!$V$27,0)</s:f>
        <s:v>63578.24168671588</s:v>
      </s:c>
    </s:row>
    <s:row r="36">
      <s:c r="A36" s="8" t="n">
        <s:v>19</s:v>
      </s:c>
      <s:c r="B36" s="10">
        <s:f>(Invoer!$B$5*B$4*Invoer!$B$10*Invoer!$B$6*(1+Invoer!$B$7)^($A36-1)+Invoer!$B$5*B$5*Invoer!$B$13*Invoer!$B$12*Invoer!$B$11*(1+Invoer!$B$14)^($A36-1)+(Invoer!$B$5*(B$4*Invoer!$B$10+B$5*Invoer!$B$12))*(Invoer!$B$29+Invoer!$B$31+Invoer!$B$33+Invoer!$B$35)*(1+Invoer!$B$37)^($A36-1))-((Invoer!$B$24+Invoer!$B$25+Invoer!$B$26+(Invoer!$B$5*B$5*Invoer!$B$13*Invoer!$B$12)/Invoer!$B$15*Invoer!$B$17 )*(1+Invoer!$B$28)^($A36-1)+(Invoer!$B$5*B$5*Invoer!$B$13*Invoer!$B$12*Invoer!$B$11*(1+Invoer!$B$14)^($A36-1))*Invoer!$B$16+(Invoer!$B$5*B$4*Invoer!$B$10*Invoer!$B$6*(1+Invoer!$B$7)^($A36-1)+Invoer!$B$5*B$5*Invoer!$B$13*Invoer!$B$12*Invoer!$B$11*(1+Invoer!$B$14)^($A36-1)+(Invoer!$B$5*(B$4*Invoer!$B$10+B$5*Invoer!$B$12))*(Invoer!$B$29+Invoer!$B$31+Invoer!$B$33+Invoer!$B$35)*(1+Invoer!$B$37)^($A36-1))*Invoer!$B$27+(Invoer!$B$5*(B$4*Invoer!$B$10+B$5*Invoer!$B$12))*(Invoer!$B$29*Invoer!$B$30+Invoer!$B$31*Invoer!$B$32+Invoer!$B$33*Invoer!$B$34+Invoer!$B$35*Invoer!$B$36)*(1+Invoer!$B$37)^($A36-1))+IF($A36=20,Kasstromen!$V$27,0)</s:f>
        <s:v>63574.953919863634</s:v>
      </s:c>
      <s:c r="C36" s="10">
        <s:f>(Invoer!$B$5*C$4*Invoer!$B$10*Invoer!$B$6*(1+Invoer!$B$7)^($A36-1)+Invoer!$B$5*C$5*Invoer!$B$13*Invoer!$B$12*Invoer!$B$11*(1+Invoer!$B$14)^($A36-1)+(Invoer!$B$5*(C$4*Invoer!$B$10+C$5*Invoer!$B$12))*(Invoer!$B$29+Invoer!$B$31+Invoer!$B$33+Invoer!$B$35)*(1+Invoer!$B$37)^($A36-1))-((Invoer!$B$24+Invoer!$B$25+Invoer!$B$26+(Invoer!$B$5*C$5*Invoer!$B$13*Invoer!$B$12)/Invoer!$B$15*Invoer!$B$17 )*(1+Invoer!$B$28)^($A36-1)+(Invoer!$B$5*C$5*Invoer!$B$13*Invoer!$B$12*Invoer!$B$11*(1+Invoer!$B$14)^($A36-1))*Invoer!$B$16+(Invoer!$B$5*C$4*Invoer!$B$10*Invoer!$B$6*(1+Invoer!$B$7)^($A36-1)+Invoer!$B$5*C$5*Invoer!$B$13*Invoer!$B$12*Invoer!$B$11*(1+Invoer!$B$14)^($A36-1)+(Invoer!$B$5*(C$4*Invoer!$B$10+C$5*Invoer!$B$12))*(Invoer!$B$29+Invoer!$B$31+Invoer!$B$33+Invoer!$B$35)*(1+Invoer!$B$37)^($A36-1))*Invoer!$B$27+(Invoer!$B$5*(C$4*Invoer!$B$10+C$5*Invoer!$B$12))*(Invoer!$B$29*Invoer!$B$30+Invoer!$B$31*Invoer!$B$32+Invoer!$B$33*Invoer!$B$34+Invoer!$B$35*Invoer!$B$36)*(1+Invoer!$B$37)^($A36-1))+IF($A36=20,Kasstromen!$V$27,0)</s:f>
        <s:v>64849.80652045021</s:v>
      </s:c>
      <s:c r="D36" s="10">
        <s:f>(Invoer!$B$5*D$4*Invoer!$B$10*Invoer!$B$6*(1+Invoer!$B$7)^($A36-1)+Invoer!$B$5*D$5*Invoer!$B$13*Invoer!$B$12*Invoer!$B$11*(1+Invoer!$B$14)^($A36-1)+(Invoer!$B$5*(D$4*Invoer!$B$10+D$5*Invoer!$B$12))*(Invoer!$B$29+Invoer!$B$31+Invoer!$B$33+Invoer!$B$35)*(1+Invoer!$B$37)^($A36-1))-((Invoer!$B$24+Invoer!$B$25+Invoer!$B$26+(Invoer!$B$5*D$5*Invoer!$B$13*Invoer!$B$12)/Invoer!$B$15*Invoer!$B$17 )*(1+Invoer!$B$28)^($A36-1)+(Invoer!$B$5*D$5*Invoer!$B$13*Invoer!$B$12*Invoer!$B$11*(1+Invoer!$B$14)^($A36-1))*Invoer!$B$16+(Invoer!$B$5*D$4*Invoer!$B$10*Invoer!$B$6*(1+Invoer!$B$7)^($A36-1)+Invoer!$B$5*D$5*Invoer!$B$13*Invoer!$B$12*Invoer!$B$11*(1+Invoer!$B$14)^($A36-1)+(Invoer!$B$5*(D$4*Invoer!$B$10+D$5*Invoer!$B$12))*(Invoer!$B$29+Invoer!$B$31+Invoer!$B$33+Invoer!$B$35)*(1+Invoer!$B$37)^($A36-1))*Invoer!$B$27+(Invoer!$B$5*(D$4*Invoer!$B$10+D$5*Invoer!$B$12))*(Invoer!$B$29*Invoer!$B$30+Invoer!$B$31*Invoer!$B$32+Invoer!$B$33*Invoer!$B$34+Invoer!$B$35*Invoer!$B$36)*(1+Invoer!$B$37)^($A36-1))+IF($A36=20,Kasstromen!$V$27,0)</s:f>
        <s:v>64849.80652045021</s:v>
      </s:c>
    </s:row>
    <s:row r="37">
      <s:c r="A37" s="6" t="n">
        <s:v>20</s:v>
      </s:c>
      <s:c r="B37" s="12">
        <s:f>(Invoer!$B$5*B$4*Invoer!$B$10*Invoer!$B$6*(1+Invoer!$B$7)^($A37-1)+Invoer!$B$5*B$5*Invoer!$B$13*Invoer!$B$12*Invoer!$B$11*(1+Invoer!$B$14)^($A37-1)+(Invoer!$B$5*(B$4*Invoer!$B$10+B$5*Invoer!$B$12))*(Invoer!$B$29+Invoer!$B$31+Invoer!$B$33+Invoer!$B$35)*(1+Invoer!$B$37)^($A37-1))-((Invoer!$B$24+Invoer!$B$25+Invoer!$B$26+(Invoer!$B$5*B$5*Invoer!$B$13*Invoer!$B$12)/Invoer!$B$15*Invoer!$B$17 )*(1+Invoer!$B$28)^($A37-1)+(Invoer!$B$5*B$5*Invoer!$B$13*Invoer!$B$12*Invoer!$B$11*(1+Invoer!$B$14)^($A37-1))*Invoer!$B$16+(Invoer!$B$5*B$4*Invoer!$B$10*Invoer!$B$6*(1+Invoer!$B$7)^($A37-1)+Invoer!$B$5*B$5*Invoer!$B$13*Invoer!$B$12*Invoer!$B$11*(1+Invoer!$B$14)^($A37-1)+(Invoer!$B$5*(B$4*Invoer!$B$10+B$5*Invoer!$B$12))*(Invoer!$B$29+Invoer!$B$31+Invoer!$B$33+Invoer!$B$35)*(1+Invoer!$B$37)^($A37-1))*Invoer!$B$27+(Invoer!$B$5*(B$4*Invoer!$B$10+B$5*Invoer!$B$12))*(Invoer!$B$29*Invoer!$B$30+Invoer!$B$31*Invoer!$B$32+Invoer!$B$33*Invoer!$B$34+Invoer!$B$35*Invoer!$B$36)*(1+Invoer!$B$37)^($A37-1))+IF($A37=20,Kasstromen!$V$27,0)</s:f>
        <s:v>774997.0562479777</s:v>
      </s:c>
      <s:c r="C37" s="12">
        <s:f>(Invoer!$B$5*C$4*Invoer!$B$10*Invoer!$B$6*(1+Invoer!$B$7)^($A37-1)+Invoer!$B$5*C$5*Invoer!$B$13*Invoer!$B$12*Invoer!$B$11*(1+Invoer!$B$14)^($A37-1)+(Invoer!$B$5*(C$4*Invoer!$B$10+C$5*Invoer!$B$12))*(Invoer!$B$29+Invoer!$B$31+Invoer!$B$33+Invoer!$B$35)*(1+Invoer!$B$37)^($A37-1))-((Invoer!$B$24+Invoer!$B$25+Invoer!$B$26+(Invoer!$B$5*C$5*Invoer!$B$13*Invoer!$B$12)/Invoer!$B$15*Invoer!$B$17 )*(1+Invoer!$B$28)^($A37-1)+(Invoer!$B$5*C$5*Invoer!$B$13*Invoer!$B$12*Invoer!$B$11*(1+Invoer!$B$14)^($A37-1))*Invoer!$B$16+(Invoer!$B$5*C$4*Invoer!$B$10*Invoer!$B$6*(1+Invoer!$B$7)^($A37-1)+Invoer!$B$5*C$5*Invoer!$B$13*Invoer!$B$12*Invoer!$B$11*(1+Invoer!$B$14)^($A37-1)+(Invoer!$B$5*(C$4*Invoer!$B$10+C$5*Invoer!$B$12))*(Invoer!$B$29+Invoer!$B$31+Invoer!$B$33+Invoer!$B$35)*(1+Invoer!$B$37)^($A37-1))*Invoer!$B$27+(Invoer!$B$5*(C$4*Invoer!$B$10+C$5*Invoer!$B$12))*(Invoer!$B$29*Invoer!$B$30+Invoer!$B$31*Invoer!$B$32+Invoer!$B$33*Invoer!$B$34+Invoer!$B$35*Invoer!$B$36)*(1+Invoer!$B$37)^($A37-1))+IF($A37=20,Kasstromen!$V$27,0)</s:f>
        <s:v>776297.405900576</s:v>
      </s:c>
      <s:c r="D37" s="12">
        <s:f>(Invoer!$B$5*D$4*Invoer!$B$10*Invoer!$B$6*(1+Invoer!$B$7)^($A37-1)+Invoer!$B$5*D$5*Invoer!$B$13*Invoer!$B$12*Invoer!$B$11*(1+Invoer!$B$14)^($A37-1)+(Invoer!$B$5*(D$4*Invoer!$B$10+D$5*Invoer!$B$12))*(Invoer!$B$29+Invoer!$B$31+Invoer!$B$33+Invoer!$B$35)*(1+Invoer!$B$37)^($A37-1))-((Invoer!$B$24+Invoer!$B$25+Invoer!$B$26+(Invoer!$B$5*D$5*Invoer!$B$13*Invoer!$B$12)/Invoer!$B$15*Invoer!$B$17 )*(1+Invoer!$B$28)^($A37-1)+(Invoer!$B$5*D$5*Invoer!$B$13*Invoer!$B$12*Invoer!$B$11*(1+Invoer!$B$14)^($A37-1))*Invoer!$B$16+(Invoer!$B$5*D$4*Invoer!$B$10*Invoer!$B$6*(1+Invoer!$B$7)^($A37-1)+Invoer!$B$5*D$5*Invoer!$B$13*Invoer!$B$12*Invoer!$B$11*(1+Invoer!$B$14)^($A37-1)+(Invoer!$B$5*(D$4*Invoer!$B$10+D$5*Invoer!$B$12))*(Invoer!$B$29+Invoer!$B$31+Invoer!$B$33+Invoer!$B$35)*(1+Invoer!$B$37)^($A37-1))*Invoer!$B$27+(Invoer!$B$5*(D$4*Invoer!$B$10+D$5*Invoer!$B$12))*(Invoer!$B$29*Invoer!$B$30+Invoer!$B$31*Invoer!$B$32+Invoer!$B$33*Invoer!$B$34+Invoer!$B$35*Invoer!$B$36)*(1+Invoer!$B$37)^($A37-1))+IF($A37=20,Kasstromen!$V$27,0)</s:f>
        <s:v>776297.405900576</s:v>
      </s:c>
    </s:row>
    <s:row r="38">
      <s:c r="A38" s="8" t="n"/>
      <s:c r="B38" s="10" t="n"/>
      <s:c r="C38" s="10" t="n"/>
      <s:c r="D38" s="10" t="n"/>
    </s:row>
    <s:row r="39">
      <s:c r="A39" s="6" t="n"/>
      <s:c r="B39" s="12" t="n"/>
      <s:c r="C39" s="12" t="n"/>
      <s:c r="D39" s="12" t="n"/>
    </s:row>
    <s:row r="40">
      <s:c r="A40" s="8" t="inlineStr">
        <s:is>
          <s:t>Jaar / cumulatieve kasstroom</s:t>
        </s:is>
      </s:c>
      <s:c r="B40" s="10" t="n"/>
      <s:c r="C40" s="10" t="n"/>
      <s:c r="D40" s="10" t="n"/>
    </s:row>
    <s:row r="41">
      <s:c r="A41" s="6" t="n">
        <s:v>0</s:v>
      </s:c>
      <s:c r="B41" s="12">
        <s:f>SUM(B$17:B17)</s:f>
        <s:v>-635000</s:v>
      </s:c>
      <s:c r="C41" s="12">
        <s:f>SUM(C$17:C17)</s:f>
        <s:v>-635000</s:v>
      </s:c>
      <s:c r="D41" s="12">
        <s:f>SUM(D$17:D17)</s:f>
        <s:v>-635000</s:v>
      </s:c>
    </s:row>
    <s:row r="42">
      <s:c r="A42" s="8" t="n">
        <s:v>1</s:v>
      </s:c>
      <s:c r="B42" s="10">
        <s:f>SUM(B$17:B18)</s:f>
        <s:v>-590487.4</s:v>
      </s:c>
      <s:c r="C42" s="10">
        <s:f>SUM(C$17:C18)</s:f>
        <s:v>-589594.8</s:v>
      </s:c>
      <s:c r="D42" s="10">
        <s:f>SUM(D$17:D18)</s:f>
        <s:v>-589594.8</s:v>
      </s:c>
    </s:row>
    <s:row r="43">
      <s:c r="A43" s="6" t="n">
        <s:v>2</s:v>
      </s:c>
      <s:c r="B43" s="12">
        <s:f>SUM(B$17:B19)</s:f>
        <s:v>-545084.5480000001</s:v>
      </s:c>
      <s:c r="C43" s="12">
        <s:f>SUM(C$17:C19)</s:f>
        <s:v>-543281.496</s:v>
      </s:c>
      <s:c r="D43" s="12">
        <s:f>SUM(D$17:D19)</s:f>
        <s:v>-543281.496</s:v>
      </s:c>
    </s:row>
    <s:row r="44">
      <s:c r="A44" s="8" t="n">
        <s:v>3</s:v>
      </s:c>
      <s:c r="B44" s="10">
        <s:f>SUM(B$17:B20)</s:f>
        <s:v>-498773.63896000007</s:v>
      </s:c>
      <s:c r="C44" s="10">
        <s:f>SUM(C$17:C20)</s:f>
        <s:v>-496041.92592000007</s:v>
      </s:c>
      <s:c r="D44" s="10">
        <s:f>SUM(D$17:D20)</s:f>
        <s:v>-496041.92592000007</s:v>
      </s:c>
    </s:row>
    <s:row r="45">
      <s:c r="A45" s="6" t="n">
        <s:v>4</s:v>
      </s:c>
      <s:c r="B45" s="12">
        <s:f>SUM(B$17:B21)</s:f>
        <s:v>-451536.51173920004</s:v>
      </s:c>
      <s:c r="C45" s="12">
        <s:f>SUM(C$17:C21)</s:f>
        <s:v>-447857.5644384001</s:v>
      </s:c>
      <s:c r="D45" s="12">
        <s:f>SUM(D$17:D21)</s:f>
        <s:v>-447857.5644384001</s:v>
      </s:c>
    </s:row>
    <s:row r="46">
      <s:c r="A46" s="8" t="n">
        <s:v>5</s:v>
      </s:c>
      <s:c r="B46" s="10">
        <s:f>SUM(B$17:B22)</s:f>
        <s:v>-403354.641973984</s:v>
      </s:c>
      <s:c r="C46" s="10">
        <s:f>SUM(C$17:C22)</s:f>
        <s:v>-398709.51572716807</s:v>
      </s:c>
      <s:c r="D46" s="10">
        <s:f>SUM(D$17:D22)</s:f>
        <s:v>-398709.51572716807</s:v>
      </s:c>
    </s:row>
    <s:row r="47">
      <s:c r="A47" s="6" t="n">
        <s:v>6</s:v>
      </s:c>
      <s:c r="B47" s="12">
        <s:f>SUM(B$17:B23)</s:f>
        <s:v>-354209.1348134637</s:v>
      </s:c>
      <s:c r="C47" s="12">
        <s:f>SUM(C$17:C23)</s:f>
        <s:v>-348578.50604171143</s:v>
      </s:c>
      <s:c r="D47" s="12">
        <s:f>SUM(D$17:D23)</s:f>
        <s:v>-348578.50604171143</s:v>
      </s:c>
    </s:row>
    <s:row r="48">
      <s:c r="A48" s="8" t="n">
        <s:v>7</s:v>
      </s:c>
      <s:c r="B48" s="10">
        <s:f>SUM(B$17:B24)</s:f>
        <s:v>-304080.717509733</s:v>
      </s:c>
      <s:c r="C48" s="10">
        <s:f>SUM(C$17:C24)</s:f>
        <s:v>-297444.87616254564</s:v>
      </s:c>
      <s:c r="D48" s="10">
        <s:f>SUM(D$17:D24)</s:f>
        <s:v>-297444.87616254564</s:v>
      </s:c>
    </s:row>
    <s:row r="49">
      <s:c r="A49" s="6" t="n">
        <s:v>8</s:v>
      </s:c>
      <s:c r="B49" s="12">
        <s:f>SUM(B$17:B25)</s:f>
        <s:v>-252949.73185992765</s:v>
      </s:c>
      <s:c r="C49" s="12">
        <s:f>SUM(C$17:C25)</s:f>
        <s:v>-245288.57368579655</s:v>
      </s:c>
      <s:c r="D49" s="12">
        <s:f>SUM(D$17:D25)</s:f>
        <s:v>-245288.57368579655</s:v>
      </s:c>
    </s:row>
    <s:row r="50">
      <s:c r="A50" s="8" t="n">
        <s:v>9</s:v>
      </s:c>
      <s:c r="B50" s="10">
        <s:f>SUM(B$17:B26)</s:f>
        <s:v>-200796.12649712618</s:v>
      </s:c>
      <s:c r="C50" s="10">
        <s:f>SUM(C$17:C26)</s:f>
        <s:v>-192089.14515951247</s:v>
      </s:c>
      <s:c r="D50" s="10">
        <s:f>SUM(D$17:D26)</s:f>
        <s:v>-192089.14515951247</s:v>
      </s:c>
    </s:row>
    <s:row r="51">
      <s:c r="A51" s="6" t="n">
        <s:v>10</s:v>
      </s:c>
      <s:c r="B51" s="12">
        <s:f>SUM(B$17:B27)</s:f>
        <s:v>-147599.4490270687</s:v>
      </s:c>
      <s:c r="C51" s="12">
        <s:f>SUM(C$17:C27)</s:f>
        <s:v>-137825.7280627027</s:v>
      </s:c>
      <s:c r="D51" s="12">
        <s:f>SUM(D$17:D27)</s:f>
        <s:v>-137825.7280627027</s:v>
      </s:c>
    </s:row>
    <s:row r="52">
      <s:c r="A52" s="8" t="n">
        <s:v>11</s:v>
      </s:c>
      <s:c r="B52" s="10">
        <s:f>SUM(B$17:B28)</s:f>
        <s:v>-93338.83800761007</s:v>
      </s:c>
      <s:c r="C52" s="10">
        <s:f>SUM(C$17:C28)</s:f>
        <s:v>-82477.04262395673</s:v>
      </s:c>
      <s:c r="D52" s="10">
        <s:f>SUM(D$17:D28)</s:f>
        <s:v>-82477.04262395673</s:v>
      </s:c>
    </s:row>
    <s:row r="53">
      <s:c r="A53" s="6" t="n">
        <s:v>12</s:v>
      </s:c>
      <s:c r="B53" s="12">
        <s:f>SUM(B$17:B29)</s:f>
        <s:v>-37993.01476776227</s:v>
      </s:c>
      <s:c r="C53" s="12">
        <s:f>SUM(C$17:C29)</s:f>
        <s:v>-26021.383476435854</s:v>
      </s:c>
      <s:c r="D53" s="12">
        <s:f>SUM(D$17:D29)</s:f>
        <s:v>-26021.383476435854</s:v>
      </s:c>
    </s:row>
    <s:row r="54">
      <s:c r="A54" s="8" t="n">
        <s:v>13</s:v>
      </s:c>
      <s:c r="B54" s="10">
        <s:f>SUM(B$17:B30)</s:f>
        <s:v>18459.724936882492</s:v>
      </s:c>
      <s:c r="C54" s="10">
        <s:f>SUM(C$17:C30)</s:f>
        <s:v>31563.388854035446</s:v>
      </s:c>
      <s:c r="D54" s="10">
        <s:f>SUM(D$17:D30)</s:f>
        <s:v>31563.388854035446</s:v>
      </s:c>
    </s:row>
    <s:row r="55">
      <s:c r="A55" s="6" t="n">
        <s:v>14</s:v>
      </s:c>
      <s:c r="B55" s="12">
        <s:f>SUM(B$17:B31)</s:f>
        <s:v>76041.51943562014</s:v>
      </s:c>
      <s:c r="C55" s="12">
        <s:f>SUM(C$17:C31)</s:f>
        <s:v>90299.85663111616</s:v>
      </s:c>
      <s:c r="D55" s="12">
        <s:f>SUM(D$17:D31)</s:f>
        <s:v>90299.85663111616</s:v>
      </s:c>
    </s:row>
    <s:row r="56">
      <s:c r="A56" s="8" t="n">
        <s:v>15</s:v>
      </s:c>
      <s:c r="B56" s="10">
        <s:f>SUM(B$17:B32)</s:f>
        <s:v>134774.94982433255</s:v>
      </s:c>
      <s:c r="C56" s="10">
        <s:f>SUM(C$17:C32)</s:f>
        <s:v>150211.05376373848</s:v>
      </s:c>
      <s:c r="D56" s="10">
        <s:f>SUM(D$17:D32)</s:f>
        <s:v>150211.05376373848</s:v>
      </s:c>
    </s:row>
    <s:row r="57">
      <s:c r="A57" s="6" t="n">
        <s:v>16</s:v>
      </s:c>
      <s:c r="B57" s="12">
        <s:f>SUM(B$17:B33)</s:f>
        <s:v>194683.0488208192</s:v>
      </s:c>
      <s:c r="C57" s="12">
        <s:f>SUM(C$17:C33)</s:f>
        <s:v>211320.47483901327</s:v>
      </s:c>
      <s:c r="D57" s="12">
        <s:f>SUM(D$17:D33)</s:f>
        <s:v>211320.47483901327</s:v>
      </s:c>
    </s:row>
    <s:row r="58">
      <s:c r="A58" s="8" t="n">
        <s:v>17</s:v>
      </s:c>
      <s:c r="B58" s="10">
        <s:f>SUM(B$17:B34)</s:f>
        <s:v>255789.30979723562</s:v>
      </s:c>
      <s:c r="C58" s="10">
        <s:f>SUM(C$17:C34)</s:f>
        <s:v>273652.08433579357</s:v>
      </s:c>
      <s:c r="D58" s="10">
        <s:f>SUM(D$17:D34)</s:f>
        <s:v>273652.08433579357</s:v>
      </s:c>
    </s:row>
    <s:row r="59">
      <s:c r="A59" s="6" t="n">
        <s:v>18</s:v>
      </s:c>
      <s:c r="B59" s="12">
        <s:f>SUM(B$17:B35)</s:f>
        <s:v>318117.6959931803</s:v>
      </s:c>
      <s:c r="C59" s="12">
        <s:f>SUM(C$17:C35)</s:f>
        <s:v>337230.3260225094</s:v>
      </s:c>
      <s:c r="D59" s="12">
        <s:f>SUM(D$17:D35)</s:f>
        <s:v>337230.3260225094</s:v>
      </s:c>
    </s:row>
    <s:row r="60">
      <s:c r="A60" s="8" t="n">
        <s:v>19</s:v>
      </s:c>
      <s:c r="B60" s="10">
        <s:f>SUM(B$17:B36)</s:f>
        <s:v>381692.64991304395</s:v>
      </s:c>
      <s:c r="C60" s="10">
        <s:f>SUM(C$17:C36)</s:f>
        <s:v>402080.13254295965</s:v>
      </s:c>
      <s:c r="D60" s="10">
        <s:f>SUM(D$17:D36)</s:f>
        <s:v>402080.13254295965</s:v>
      </s:c>
    </s:row>
    <s:row r="61">
      <s:c r="A61" s="6" t="n">
        <s:v>20</s:v>
      </s:c>
      <s:c r="B61" s="12">
        <s:f>SUM(B$17:B37)</s:f>
        <s:v>1156689.7061610217</s:v>
      </s:c>
      <s:c r="C61" s="12">
        <s:f>SUM(C$17:C37)</s:f>
        <s:v>1178377.5384435356</s:v>
      </s:c>
      <s:c r="D61" s="12">
        <s:f>SUM(D$17:D37)</s:f>
        <s:v>1178377.5384435356</s:v>
      </s:c>
    </s:row>
  </s:sheetData>
  <s:printOptions horizontalCentered="1"/>
  <s:pageMargins left="0.75" right="0.75" top="1" bottom="1" header="0.5" footer="0.5"/>
  <s:pageSetup orientation="landscape" paperSize="8" fitToHeight="0" fitToWidth="1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2026-10-14T19:06:17Z</dcterms:created>
  <dcterms:modified xsi:type="dcterms:W3CDTF">2026-10-14T19:06:17Z</dcterms:modified>
</cp:coreProperties>
</file>