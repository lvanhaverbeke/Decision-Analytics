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Report" sheetId="1" state="visible" r:id="rId1"/>
    <sheet name="Inputs" sheetId="2" state="visible" r:id="rId2"/>
    <sheet name="Cash Flow" sheetId="3" state="visible" r:id="rId3"/>
    <sheet name="Scenarios" sheetId="4" state="visible" r:id="rId4"/>
    <sheet name="Sensitivity" sheetId="5" state="visible" r:id="rId5"/>
    <sheet name="Sources &amp; Method" sheetId="6" state="visible" r:id="rId6"/>
  </sheets>
  <definedNames>
    <definedName name="_xlnm._FilterDatabase" localSheetId="0" hidden="1">'Executive Report'!$A$1:$C$24</definedName>
    <definedName name="_xlnm.Print_Area" localSheetId="0">'Executive Report'!$A$1:$C$47</definedName>
    <definedName name="_xlnm._FilterDatabase" localSheetId="1" hidden="1">'Inputs'!$A$1:$C$19</definedName>
    <definedName name="_xlnm.Print_Area" localSheetId="1">'Inputs'!$A$1:$C$19</definedName>
    <definedName name="_xlnm._FilterDatabase" localSheetId="2" hidden="1">'Cash Flow'!$A$1:$P$62</definedName>
    <definedName name="_xlnm.Print_Area" localSheetId="2">'Cash Flow'!$A$1:$P$34</definedName>
    <definedName name="_xlnm._FilterDatabase" localSheetId="3" hidden="1">'Scenarios'!$A$1:$K$7</definedName>
    <definedName name="_xlnm.Print_Area" localSheetId="3">'Scenarios'!$A$1:$K$10</definedName>
    <definedName name="_xlnm._FilterDatabase" localSheetId="4" hidden="1">'Sensitivity'!$A$1:$E$9</definedName>
    <definedName name="_xlnm.Print_Area" localSheetId="4">'Sensitivity'!$A$1:$E$9</definedName>
    <definedName name="_xlnm._FilterDatabase" localSheetId="5" hidden="1">'Sources &amp; Method'!$A$1:$C$10</definedName>
    <definedName name="_xlnm.Print_Area" localSheetId="5">'Sources &amp; Method'!$A$1:$C$10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[Red](#,##0)"/>
    <numFmt numFmtId="166" formatCode="0.0000"/>
  </numFmts>
  <fonts count="3">
    <font>
      <name val="Calibri"/>
      <family val="2"/>
      <color theme="1"/>
      <sz val="11"/>
      <scheme val="minor"/>
    </font>
    <font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recovery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Flow'!$A$2:$A$34</f>
            </numRef>
          </cat>
          <val>
            <numRef>
              <f>'Cash Flow'!$M$2:$M$34</f>
            </numRef>
          </val>
        </ser>
        <ser>
          <idx val="1"/>
          <order val="1"/>
          <tx>
            <strRef>
              <f>'Cash Flow'!N1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Flow'!$A$2:$A$34</f>
            </numRef>
          </cat>
          <val>
            <numRef>
              <f>'Cash Flow'!$N$2:$N$34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 from investment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90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C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2" customWidth="1" min="2" max="2"/>
    <col width="49" customWidth="1" min="3" max="3"/>
  </cols>
  <sheetData>
    <row r="1" ht="35" customHeight="1">
      <c r="A1" s="1" t="inlineStr">
        <is>
          <t>BRUSSELS | EXECUTIVE INVESTMENT REPORT</t>
        </is>
      </c>
      <c r="B1" s="1" t="inlineStr">
        <is>
          <t>Result / decision</t>
        </is>
      </c>
      <c r="C1" s="1" t="inlineStr">
        <is>
          <t>Criterion / explanation</t>
        </is>
      </c>
    </row>
    <row r="2" ht="38" customHeight="1">
      <c r="A2" s="2" t="inlineStr">
        <is>
          <t>Net present value EUR</t>
        </is>
      </c>
      <c r="B2" s="3">
        <f>SUM('Cash Flow'!L2:L62)</f>
        <v>179925425.7460371</v>
      </c>
      <c r="C2" s="2" t="inlineStr">
        <is>
          <t>Must be strictly positive</t>
        </is>
      </c>
    </row>
    <row r="3" ht="38" customHeight="1">
      <c r="A3" s="4" t="inlineStr">
        <is>
          <t>Unlevered project IRR</t>
        </is>
      </c>
      <c r="B3" s="5">
        <f>IFERROR(IRR('Cash Flow'!J2:J62),"Not defined")</f>
        <v>0.33503129257441</v>
      </c>
      <c r="C3" s="4" t="inlineStr">
        <is>
          <t>Must exceed effective nominal discount rate</t>
        </is>
      </c>
    </row>
    <row r="4" ht="38" customHeight="1">
      <c r="A4" s="2" t="inlineStr">
        <is>
          <t>Simple payback years from t=0</t>
        </is>
      </c>
      <c r="B4" s="6">
        <f>IF(MAX('Cash Flow'!O2:O62)&gt;0,MAX('Cash Flow'!O2:O62),"Not reached")</f>
        <v>4.180691859889855</v>
      </c>
      <c r="C4" s="2" t="inlineStr">
        <is>
          <t>Maximum 10 years; fractional year interpolation</t>
        </is>
      </c>
    </row>
    <row r="5" ht="38" customHeight="1">
      <c r="A5" s="4" t="inlineStr">
        <is>
          <t>Discounted payback years from t=0</t>
        </is>
      </c>
      <c r="B5" s="7">
        <f>IF(MAX('Cash Flow'!P2:P62)&gt;0,MAX('Cash Flow'!P2:P62),"Not reached")</f>
        <v>4.486151323582096</v>
      </c>
      <c r="C5" s="4" t="inlineStr">
        <is>
          <t>Supplementary conservative cash-recovery measure</t>
        </is>
      </c>
    </row>
    <row r="6" ht="38" customHeight="1">
      <c r="A6" s="2" t="inlineStr">
        <is>
          <t>Effective discount rate</t>
        </is>
      </c>
      <c r="B6" s="8">
        <f>Inputs!B17</f>
        <v>0.043</v>
      </c>
      <c r="C6" s="2" t="inlineStr">
        <is>
          <t>Official Belgian reference + editable project risk premium</t>
        </is>
      </c>
    </row>
    <row r="7" ht="38" customHeight="1">
      <c r="A7" s="4" t="inlineStr">
        <is>
          <t>Construction budget per room EUR</t>
        </is>
      </c>
      <c r="B7" s="9">
        <f>Inputs!B19</f>
        <v>7500</v>
      </c>
      <c r="C7" s="4" t="inlineStr">
        <is>
          <t>EUR 15 million / 2,000 rooms</t>
        </is>
      </c>
    </row>
    <row r="8" ht="38" customHeight="1">
      <c r="A8" s="2" t="inlineStr">
        <is>
          <t>First operating year collected rent EUR</t>
        </is>
      </c>
      <c r="B8" s="3">
        <f>INDEX('Cash Flow'!E2:E62,Inputs!B6+2)</f>
        <v>10260000</v>
      </c>
      <c r="C8" s="2" t="inlineStr">
        <is>
          <t>95% occupancy assumption</t>
        </is>
      </c>
    </row>
    <row r="9" ht="38" customHeight="1">
      <c r="A9" s="4" t="inlineStr">
        <is>
          <t>First operating year net cash flow EUR</t>
        </is>
      </c>
      <c r="B9" s="9">
        <f>INDEX('Cash Flow'!J2:J62,Inputs!B6+2)</f>
        <v>6669000</v>
      </c>
      <c r="C9" s="4" t="inlineStr">
        <is>
          <t>After 30% operating costs and 5% maintenance reserve</t>
        </is>
      </c>
    </row>
    <row r="10" ht="38" customHeight="1">
      <c r="A10" s="2" t="inlineStr">
        <is>
          <t>Financial tests</t>
        </is>
      </c>
      <c r="B10" s="3" t="str">
        <f>IF(AND(B2&gt;0,ISNUMBER(B3),B3&gt;B6,ISNUMBER(B4),B4&lt;=Inputs!B12),"PASS","FAIL")</f>
        <v>PASS</v>
      </c>
      <c r="C10" s="2" t="inlineStr">
        <is>
          <t>NPV, IRR and simple payback; excludes validation of physical feasibility</t>
        </is>
      </c>
    </row>
    <row r="11" ht="38" customHeight="1">
      <c r="A11" s="4" t="inlineStr">
        <is>
          <t>Construction spending within budget</t>
        </is>
      </c>
      <c r="B11" s="9" t="str">
        <f>IF(SUM('Cash Flow'!H2:H62)-Inputs!B13&lt;=Inputs!B5,"PASS","FAIL")</f>
        <v>PASS</v>
      </c>
      <c r="C11" s="4" t="inlineStr">
        <is>
          <t>Cost is entered as budget, not independently estimated; this check is mechanical</t>
        </is>
      </c>
    </row>
    <row r="12" ht="38" customHeight="1">
      <c r="A12" s="2" t="inlineStr">
        <is>
          <t>Input consistency</t>
        </is>
      </c>
      <c r="B12" s="3" t="str">
        <f>IF(AND(Inputs!B3&lt;=450,Inputs!B3&gt;0,Inputs!B9+Inputs!B10&lt;1,Inputs!B6+Inputs!B7&lt;=60,Inputs!B8&gt;0),"PASS","REVIEW INPUTS")</f>
        <v>PASS</v>
      </c>
      <c r="C12" s="2" t="inlineStr">
        <is>
          <t>Rent cap, positive occupancy, expense ratios, supported horizon</t>
        </is>
      </c>
    </row>
    <row r="13">
      <c r="A13" s="4" t="inlineStr">
        <is>
          <t>Recommendation</t>
        </is>
      </c>
      <c r="B13" s="4" t="inlineStr">
        <is>
          <t>Proceed only to feasibility and cost validation. Financial screening passes, but do not approve construction on these assumptions.</t>
        </is>
      </c>
      <c r="C13" s="4" t="n"/>
    </row>
    <row r="14" ht="52" customHeight="1">
      <c r="A14" s="2" t="inlineStr">
        <is>
          <t>Budget feasibility</t>
        </is>
      </c>
      <c r="B14" s="2" t="inlineStr">
        <is>
          <t>EUR 7,500 per room is the stated budget implication, not a verified Brussels construction estimate. Confirm whether EUR 15m or 2,000 rooms needs revision.</t>
        </is>
      </c>
      <c r="C14" s="2" t="n"/>
    </row>
    <row r="15" ht="52" customHeight="1">
      <c r="A15" s="4" t="inlineStr">
        <is>
          <t>Construction and timing</t>
        </is>
      </c>
      <c r="B15" s="4" t="inlineStr">
        <is>
          <t>Build during t=0 to t=2; equal construction payments at t=0 and t=1. Opening at t=2; annual operating receipts at t=3 onward. No income during construction.</t>
        </is>
      </c>
      <c r="C15" s="4" t="n"/>
    </row>
    <row r="16" ht="52" customHeight="1">
      <c r="A16" s="2" t="inlineStr">
        <is>
          <t>Rent interpretation</t>
        </is>
      </c>
      <c r="B16" s="2" t="inlineStr">
        <is>
          <t>EUR 450 applies at opening; 5% growth begins in operating year 2. Year 30 rent is about EUR 1,852 per month; the affordability cap grows with the assumed inflation.</t>
        </is>
      </c>
      <c r="C16" s="2" t="n"/>
    </row>
    <row r="17" ht="52" customHeight="1">
      <c r="A17" s="4" t="inlineStr">
        <is>
          <t>Belgian rate</t>
        </is>
      </c>
      <c r="B17" s="4" t="inlineStr">
        <is>
          <t>4.30% is the Belgian Federal Debt Agency 10-year sovereign yield dated 14 October 2026, used as an official benchmark. It is not an authority-prescribed property discount rate.</t>
        </is>
      </c>
      <c r="C17" s="4" t="n"/>
    </row>
    <row r="18" ht="52" customHeight="1">
      <c r="A18" s="2" t="inlineStr">
        <is>
          <t>Project risk</t>
        </is>
      </c>
      <c r="B18" s="2" t="inlineStr">
        <is>
          <t>A zero premium is used to match the requested official benchmark. Add a lender/investor-approved risk premium before investment approval; see stress scenarios.</t>
        </is>
      </c>
      <c r="C18" s="2" t="n"/>
    </row>
    <row r="19" ht="52" customHeight="1">
      <c r="A19" s="4" t="inlineStr">
        <is>
          <t>Indexation</t>
        </is>
      </c>
      <c r="B19" s="4" t="inlineStr">
        <is>
          <t>Brussels residential indexation follows the health index and applicable lease requirements. Fixed 5% annual growth is a financial scenario, not an automatic contractual entitlement.</t>
        </is>
      </c>
      <c r="C19" s="4" t="n"/>
    </row>
    <row r="20" ht="52" customHeight="1">
      <c r="A20" s="2" t="inlineStr">
        <is>
          <t>Operating assumptions</t>
        </is>
      </c>
      <c r="B20" s="2" t="inlineStr">
        <is>
          <t>95% occupancy, 30% operating costs and 5% maintenance reserve are unverified assumptions. Occupancy is applied to all 12 months; no leasing ramp is assumed.</t>
        </is>
      </c>
      <c r="C20" s="2" t="n"/>
    </row>
    <row r="21" ht="52" customHeight="1">
      <c r="A21" s="4" t="inlineStr">
        <is>
          <t>Model scope</t>
        </is>
      </c>
      <c r="B21" s="4" t="inlineStr">
        <is>
          <t>Unlevered nominal pre-tax cash flows; no borrowing, income tax, or separately estimated land/VAT/professional costs. Enter omitted upfront costs in Inputs B13. Zero terminal value.</t>
        </is>
      </c>
      <c r="C21" s="4" t="n"/>
    </row>
    <row r="22" ht="52" customHeight="1">
      <c r="A22" s="2" t="inlineStr">
        <is>
          <t>Payback method</t>
        </is>
      </c>
      <c r="B22" s="2" t="inlineStr">
        <is>
          <t>Measured from t=0 including two construction years. Simple and discounted recovery use interpolation inside the crossing year; NPV uses end-of-year operating receipts.</t>
        </is>
      </c>
      <c r="C22" s="2" t="n"/>
    </row>
    <row r="23" ht="52" customHeight="1">
      <c r="A23" s="4" t="inlineStr">
        <is>
          <t>Action before commitment</t>
        </is>
      </c>
      <c r="B23" s="4" t="inlineStr">
        <is>
          <t>Validate land and planning capacity for 2,000 rooms, gross floor area, permits, procurement costs, VAT, financing, legal rent indexation and operating contracts.</t>
        </is>
      </c>
      <c r="C23" s="4" t="n"/>
    </row>
    <row r="24" ht="52" customHeight="1">
      <c r="A24" s="2" t="inlineStr">
        <is>
          <t>Use and reproduction</t>
        </is>
      </c>
      <c r="B24" s="2" t="inlineStr">
        <is>
          <t>Edit blue Inputs cells; Excel recalculates formulas. Supported range: up to 10 construction years and 50 operating years. Scenarios are explicit stresses, not forecasts. Code: build_model.py.</t>
        </is>
      </c>
      <c r="C24" s="2" t="n"/>
    </row>
    <row r="25" ht="52" customHeight="1"/>
  </sheetData>
  <autoFilter ref="A1:C24"/>
  <conditionalFormatting sqref="B10:B12">
    <cfRule type="cellIs" priority="1" operator="equal" dxfId="0">
      <formula>"FAIL"</formula>
    </cfRule>
  </conditionalFormatting>
  <pageMargins left="0.75" right="0.75" top="1" bottom="1" header="0.5" footer="0.5"/>
  <pageSetup orientation="landscape" paperSize="9" fitToHeight="0" fitToWidth="1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94" customWidth="1" min="3" max="3"/>
  </cols>
  <sheetData>
    <row r="1" ht="35" customHeight="1">
      <c r="A1" s="1" t="inlineStr">
        <is>
          <t>BRUSSELS INVESTMENT | editable blue cells</t>
        </is>
      </c>
      <c r="B1" s="1" t="inlineStr">
        <is>
          <t>Value</t>
        </is>
      </c>
      <c r="C1" s="1" t="inlineStr">
        <is>
          <t>Basis / interpretation</t>
        </is>
      </c>
    </row>
    <row r="2" ht="44" customHeight="1">
      <c r="A2" s="2" t="inlineStr">
        <is>
          <t>Rooms</t>
        </is>
      </c>
      <c r="B2" s="10" t="n">
        <v>2000</v>
      </c>
      <c r="C2" s="2" t="inlineStr">
        <is>
          <t>User requirement</t>
        </is>
      </c>
    </row>
    <row r="3" ht="44" customHeight="1">
      <c r="A3" s="4" t="inlineStr">
        <is>
          <t>Opening monthly rent EUR</t>
        </is>
      </c>
      <c r="B3" s="11" t="n">
        <v>450</v>
      </c>
      <c r="C3" s="4" t="inlineStr">
        <is>
          <t>Maximum rent at opening; assumed exclusive of charges</t>
        </is>
      </c>
    </row>
    <row r="4" ht="44" customHeight="1">
      <c r="A4" s="2" t="inlineStr">
        <is>
          <t>Annual rent escalation</t>
        </is>
      </c>
      <c r="B4" s="12" t="n">
        <v>0.05</v>
      </c>
      <c r="C4" s="2" t="inlineStr">
        <is>
          <t>User scenario; not a guarantee of legally permitted indexation</t>
        </is>
      </c>
    </row>
    <row r="5" ht="44" customHeight="1">
      <c r="A5" s="4" t="inlineStr">
        <is>
          <t>Construction budget EUR</t>
        </is>
      </c>
      <c r="B5" s="11" t="n">
        <v>15000000</v>
      </c>
      <c r="C5" s="4" t="inlineStr">
        <is>
          <t>User construction budget; excludes extra costs entered below</t>
        </is>
      </c>
    </row>
    <row r="6" ht="44" customHeight="1">
      <c r="A6" s="2" t="inlineStr">
        <is>
          <t>Construction years</t>
        </is>
      </c>
      <c r="B6" s="10" t="n">
        <v>2</v>
      </c>
      <c r="C6" s="2" t="inlineStr">
        <is>
          <t>User requirement; opening at t=2, first annual receipt t=3</t>
        </is>
      </c>
    </row>
    <row r="7" ht="44" customHeight="1">
      <c r="A7" s="4" t="inlineStr">
        <is>
          <t>Operating years</t>
        </is>
      </c>
      <c r="B7" s="11" t="n">
        <v>30</v>
      </c>
      <c r="C7" s="4" t="inlineStr">
        <is>
          <t>Assumption; no terminal resale value in base case</t>
        </is>
      </c>
    </row>
    <row r="8" ht="44" customHeight="1">
      <c r="A8" s="2" t="inlineStr">
        <is>
          <t>Occupancy</t>
        </is>
      </c>
      <c r="B8" s="12" t="n">
        <v>0.95</v>
      </c>
      <c r="C8" s="2" t="inlineStr">
        <is>
          <t>Assumption; constant stabilized occupancy from opening</t>
        </is>
      </c>
    </row>
    <row r="9" ht="44" customHeight="1">
      <c r="A9" s="4" t="inlineStr">
        <is>
          <t>Operating costs / collected rent</t>
        </is>
      </c>
      <c r="B9" s="13" t="n">
        <v>0.3</v>
      </c>
      <c r="C9" s="4" t="inlineStr">
        <is>
          <t>Assumption: management, utilities paid by owner, insurance, local property costs</t>
        </is>
      </c>
    </row>
    <row r="10" ht="44" customHeight="1">
      <c r="A10" s="2" t="inlineStr">
        <is>
          <t>Maintenance reserve / collected rent</t>
        </is>
      </c>
      <c r="B10" s="12" t="n">
        <v>0.05</v>
      </c>
      <c r="C10" s="2" t="inlineStr">
        <is>
          <t>Assumption; additional reserve, treated as a cash outflow</t>
        </is>
      </c>
    </row>
    <row r="11" ht="44" customHeight="1">
      <c r="A11" s="4" t="inlineStr">
        <is>
          <t>Belgian official reference yield</t>
        </is>
      </c>
      <c r="B11" s="13" t="n">
        <v>0.043</v>
      </c>
      <c r="C11" s="4" t="inlineStr">
        <is>
          <t>Belgian Federal Debt Agency: 10-year rate 4.30%, dated 14 October 2026</t>
        </is>
      </c>
    </row>
    <row r="12" ht="44" customHeight="1">
      <c r="A12" s="2" t="inlineStr">
        <is>
          <t>Maximum payback years from investment</t>
        </is>
      </c>
      <c r="B12" s="10" t="n">
        <v>10</v>
      </c>
      <c r="C12" s="2" t="inlineStr">
        <is>
          <t>User limit; measured from t=0 commitment</t>
        </is>
      </c>
    </row>
    <row r="13" ht="44" customHeight="1">
      <c r="A13" s="4" t="inlineStr">
        <is>
          <t>Extra upfront costs EUR</t>
        </is>
      </c>
      <c r="B13" s="11" t="n">
        <v>0</v>
      </c>
      <c r="C13" s="4" t="inlineStr">
        <is>
          <t>Enter land, acquisition, professional fees, VAT or other costs not in construction budget</t>
        </is>
      </c>
    </row>
    <row r="14" ht="44" customHeight="1">
      <c r="A14" s="2" t="inlineStr">
        <is>
          <t>Terminal value EUR</t>
        </is>
      </c>
      <c r="B14" s="10" t="n">
        <v>0</v>
      </c>
      <c r="C14" s="2" t="inlineStr">
        <is>
          <t>Assumption; exclude speculative disposal proceeds</t>
        </is>
      </c>
    </row>
    <row r="15" ht="44" customHeight="1">
      <c r="A15" s="4" t="inlineStr">
        <is>
          <t>Project risk premium</t>
        </is>
      </c>
      <c r="B15" s="11" t="n">
        <v>0</v>
      </c>
      <c r="C15" s="4" t="inlineStr">
        <is>
          <t>Assumption; 0% for requested official-rate test. Stress case adds 4 percentage points.</t>
        </is>
      </c>
    </row>
    <row r="16" ht="44" customHeight="1">
      <c r="A16" s="2" t="inlineStr">
        <is>
          <t>Effective nominal discount rate</t>
        </is>
      </c>
      <c r="B16" s="8" t="n"/>
      <c r="C16" s="2" t="inlineStr">
        <is>
          <t>Official reference yield + project risk premium; sovereign yield is not property WACC</t>
        </is>
      </c>
    </row>
    <row r="17" ht="44" customHeight="1">
      <c r="A17" s="4" t="inlineStr">
        <is>
          <t>Total modeled funding EUR</t>
        </is>
      </c>
      <c r="B17" s="5">
        <f>B11+B16</f>
        <v>0.043</v>
      </c>
      <c r="C17" s="4" t="inlineStr">
        <is>
          <t>Construction + additional upfront costs</t>
        </is>
      </c>
    </row>
    <row r="18" ht="44" customHeight="1">
      <c r="A18" s="2" t="inlineStr">
        <is>
          <t>Construction budget per room EUR</t>
        </is>
      </c>
      <c r="B18" s="3">
        <f>B5+B13</f>
        <v>15000000</v>
      </c>
      <c r="C18" s="2" t="inlineStr">
        <is>
          <t>Construction cost only; requires independent contractor validation</t>
        </is>
      </c>
    </row>
    <row r="19" ht="44" customHeight="1">
      <c r="A19" s="4" t="n"/>
      <c r="B19" s="9">
        <f>B5/B2</f>
        <v>7500</v>
      </c>
      <c r="C19" s="4" t="n"/>
    </row>
  </sheetData>
  <autoFilter ref="A1:C19"/>
  <dataValidations count="14">
    <dataValidation sqref="B2" showDropDown="0" showInputMessage="0" showErrorMessage="1" allowBlank="0" errorTitle="Input outside supported range" error="Use a value within the specified bounds." type="whole" operator="between">
      <formula1>1</formula1>
      <formula2>100000</formula2>
    </dataValidation>
    <dataValidation sqref="B3" showDropDown="0" showInputMessage="0" showErrorMessage="1" allowBlank="0" errorTitle="Input outside supported range" error="Use a value within the specified bounds." type="decimal" operator="between">
      <formula1>0</formula1>
      <formula2>450</formula2>
    </dataValidation>
    <dataValidation sqref="B4" showDropDown="0" showInputMessage="0" showErrorMessage="1" allowBlank="0" errorTitle="Input outside supported range" error="Use a value within the specified bounds." type="decimal" operator="between">
      <formula1>0</formula1>
      <formula2>0.2</formula2>
    </dataValidation>
    <dataValidation sqref="B5" showDropDown="0" showInputMessage="0" showErrorMessage="1" allowBlank="0" errorTitle="Input outside supported range" error="Use a value within the specified bounds." type="decimal" operator="between">
      <formula1>1</formula1>
      <formula2>1000000000</formula2>
    </dataValidation>
    <dataValidation sqref="B6" showDropDown="0" showInputMessage="0" showErrorMessage="1" allowBlank="0" errorTitle="Input outside supported range" error="Use a value within the specified bounds." type="whole" operator="between">
      <formula1>1</formula1>
      <formula2>10</formula2>
    </dataValidation>
    <dataValidation sqref="B7" showDropDown="0" showInputMessage="0" showErrorMessage="1" allowBlank="0" errorTitle="Input outside supported range" error="Use a value within the specified bounds." type="whole" operator="between">
      <formula1>1</formula1>
      <formula2>50</formula2>
    </dataValidation>
    <dataValidation sqref="B8" showDropDown="0" showInputMessage="0" showErrorMessage="1" allowBlank="0" errorTitle="Input outside supported range" error="Use a value within the specified bounds." type="decimal" operator="between">
      <formula1>0</formula1>
      <formula2>1</formula2>
    </dataValidation>
    <dataValidation sqref="B9" showDropDown="0" showInputMessage="0" showErrorMessage="1" allowBlank="0" errorTitle="Input outside supported range" error="Use a value within the specified bounds." type="decimal" operator="between">
      <formula1>0</formula1>
      <formula2>0.95</formula2>
    </dataValidation>
    <dataValidation sqref="B10" showDropDown="0" showInputMessage="0" showErrorMessage="1" allowBlank="0" errorTitle="Input outside supported range" error="Use a value within the specified bounds." type="decimal" operator="between">
      <formula1>0</formula1>
      <formula2>0.95</formula2>
    </dataValidation>
    <dataValidation sqref="B11" showDropDown="0" showInputMessage="0" showErrorMessage="1" allowBlank="0" errorTitle="Input outside supported range" error="Use a value within the specified bounds." type="decimal" operator="between">
      <formula1>0</formula1>
      <formula2>0.5</formula2>
    </dataValidation>
    <dataValidation sqref="B12" showDropDown="0" showInputMessage="0" showErrorMessage="1" allowBlank="0" errorTitle="Input outside supported range" error="Use a value within the specified bounds." type="decimal" operator="between">
      <formula1>1</formula1>
      <formula2>60</formula2>
    </dataValidation>
    <dataValidation sqref="B13" showDropDown="0" showInputMessage="0" showErrorMessage="1" allowBlank="0" errorTitle="Input outside supported range" error="Use a value within the specified bounds." type="decimal" operator="between">
      <formula1>0</formula1>
      <formula2>1000000000</formula2>
    </dataValidation>
    <dataValidation sqref="B14" showDropDown="0" showInputMessage="0" showErrorMessage="1" allowBlank="0" errorTitle="Input outside supported range" error="Use a value within the specified bounds." type="decimal" operator="between">
      <formula1>0</formula1>
      <formula2>1000000000</formula2>
    </dataValidation>
    <dataValidation sqref="B16" showDropDown="0" showInputMessage="0" showErrorMessage="1" allowBlank="0" errorTitle="Input outside supported range" error="Use a value within the specified bounds." type="decimal" operator="between">
      <formula1>0</formula1>
      <formula2>0.5</formula2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 ht="35" customHeight="1">
      <c r="A1" s="1" t="inlineStr">
        <is>
          <t>Year t</t>
        </is>
      </c>
      <c r="B1" s="1" t="inlineStr">
        <is>
          <t>Phase</t>
        </is>
      </c>
      <c r="C1" s="1" t="inlineStr">
        <is>
          <t>Operating year</t>
        </is>
      </c>
      <c r="D1" s="1" t="inlineStr">
        <is>
          <t>Monthly rent EUR</t>
        </is>
      </c>
      <c r="E1" s="1" t="inlineStr">
        <is>
          <t>Collected rent EUR</t>
        </is>
      </c>
      <c r="F1" s="1" t="inlineStr">
        <is>
          <t>Operating costs EUR</t>
        </is>
      </c>
      <c r="G1" s="1" t="inlineStr">
        <is>
          <t>Maintenance reserve EUR</t>
        </is>
      </c>
      <c r="H1" s="1" t="inlineStr">
        <is>
          <t>Construction + extras EUR</t>
        </is>
      </c>
      <c r="I1" s="1" t="inlineStr">
        <is>
          <t>Terminal value EUR</t>
        </is>
      </c>
      <c r="J1" s="1" t="inlineStr">
        <is>
          <t>Free cash flow EUR</t>
        </is>
      </c>
      <c r="K1" s="1" t="inlineStr">
        <is>
          <t>Discount factor</t>
        </is>
      </c>
      <c r="L1" s="1" t="inlineStr">
        <is>
          <t>Present value EUR</t>
        </is>
      </c>
      <c r="M1" s="1" t="inlineStr">
        <is>
          <t>Cumulative cash flow EUR</t>
        </is>
      </c>
      <c r="N1" s="1" t="inlineStr">
        <is>
          <t>Cumulative PV EUR</t>
        </is>
      </c>
      <c r="O1" s="1" t="inlineStr">
        <is>
          <t>Simple payback crossing</t>
        </is>
      </c>
      <c r="P1" s="1" t="inlineStr">
        <is>
          <t>Discounted payback crossing</t>
        </is>
      </c>
    </row>
    <row r="2" ht="30" customHeight="1">
      <c r="A2" s="3" t="n">
        <v>0</v>
      </c>
      <c r="B2" s="3" t="str">
        <f>IF(A2&lt;Inputs!$B$6,"Construction",IF(A2=Inputs!$B$6,"Opening",IF(A2&lt;=Inputs!$B$6+Inputs!$B$7,"Operations","Outside horizon")))</f>
        <v>Construction</v>
      </c>
      <c r="C2" s="3">
        <f>IF(AND(A2&gt;Inputs!$B$6,A2&lt;=Inputs!$B$6+Inputs!$B$7),A2-Inputs!$B$6,0)</f>
        <v>0</v>
      </c>
      <c r="D2" s="3">
        <f>IF(C2&gt;0,Inputs!$B$3*(1+Inputs!$B$4)^(C2-1),0)</f>
        <v>0</v>
      </c>
      <c r="E2" s="3">
        <f>Inputs!$B$2*D2*12*Inputs!$B$8</f>
        <v>0.0</v>
      </c>
      <c r="F2" s="3">
        <f>E2*Inputs!$B$9</f>
        <v>0.0</v>
      </c>
      <c r="G2" s="3">
        <f>E2*Inputs!$B$10</f>
        <v>0.0</v>
      </c>
      <c r="H2" s="3">
        <f>IF(A2&lt;Inputs!$B$6,Inputs!$B$5/Inputs!$B$6,0)+IF(A2=0,Inputs!$B$13,0)</f>
        <v>7500000</v>
      </c>
      <c r="I2" s="3">
        <f>IF(A2=Inputs!$B$6+Inputs!$B$7,Inputs!$B$14,0)</f>
        <v>0</v>
      </c>
      <c r="J2" s="3">
        <f>E2-F2-G2-H2+I2</f>
        <v>-7500000.0</v>
      </c>
      <c r="K2" s="14">
        <f>1/(1+Inputs!$B$17)^A2</f>
        <v>1.0</v>
      </c>
      <c r="L2" s="3">
        <f>J2*K2</f>
        <v>-7500000.0</v>
      </c>
      <c r="M2" s="3">
        <f>SUM(J$2:J2)</f>
        <v>-7500000.0</v>
      </c>
      <c r="N2" s="3">
        <f>SUM(L$2:L2)</f>
        <v>-7500000.0</v>
      </c>
      <c r="O2" s="6">
        <f>0</f>
        <v>0</v>
      </c>
      <c r="P2" s="6">
        <f>0</f>
        <v>0</v>
      </c>
    </row>
    <row r="3" ht="30" customHeight="1">
      <c r="A3" s="9" t="n">
        <v>1</v>
      </c>
      <c r="B3" s="9" t="str">
        <f>IF(A3&lt;Inputs!$B$6,"Construction",IF(A3=Inputs!$B$6,"Opening",IF(A3&lt;=Inputs!$B$6+Inputs!$B$7,"Operations","Outside horizon")))</f>
        <v>Construction</v>
      </c>
      <c r="C3" s="9">
        <f>IF(AND(A3&gt;Inputs!$B$6,A3&lt;=Inputs!$B$6+Inputs!$B$7),A3-Inputs!$B$6,0)</f>
        <v>0</v>
      </c>
      <c r="D3" s="9">
        <f>IF(C3&gt;0,Inputs!$B$3*(1+Inputs!$B$4)^(C3-1),0)</f>
        <v>0</v>
      </c>
      <c r="E3" s="9">
        <f>Inputs!$B$2*D3*12*Inputs!$B$8</f>
        <v>0.0</v>
      </c>
      <c r="F3" s="9">
        <f>E3*Inputs!$B$9</f>
        <v>0.0</v>
      </c>
      <c r="G3" s="9">
        <f>E3*Inputs!$B$10</f>
        <v>0.0</v>
      </c>
      <c r="H3" s="9">
        <f>IF(A3&lt;Inputs!$B$6,Inputs!$B$5/Inputs!$B$6,0)+IF(A3=0,Inputs!$B$13,0)</f>
        <v>7500000</v>
      </c>
      <c r="I3" s="9">
        <f>IF(A3=Inputs!$B$6+Inputs!$B$7,Inputs!$B$14,0)</f>
        <v>0</v>
      </c>
      <c r="J3" s="9">
        <f>E3-F3-G3-H3+I3</f>
        <v>-7500000.0</v>
      </c>
      <c r="K3" s="15">
        <f>1/(1+Inputs!$B$17)^A3</f>
        <v>0.9587727708533078</v>
      </c>
      <c r="L3" s="9">
        <f>J3*K3</f>
        <v>-7190795.781399809</v>
      </c>
      <c r="M3" s="9">
        <f>SUM(J$2:J3)</f>
        <v>-15000000.0</v>
      </c>
      <c r="N3" s="9">
        <f>SUM(L$2:L3)</f>
        <v>-14690795.781399809</v>
      </c>
      <c r="O3" s="7">
        <f>IF(AND(A3&gt;Inputs!$B$6,M3&gt;=0,M2&lt;0),A3-1-M2/J3,0)</f>
        <v>0</v>
      </c>
      <c r="P3" s="7">
        <f>IF(AND(A3&gt;Inputs!$B$6,N3&gt;=0,N2&lt;0),A3-1-N2/L3,0)</f>
        <v>0</v>
      </c>
    </row>
    <row r="4" ht="30" customHeight="1">
      <c r="A4" s="3" t="n">
        <v>2</v>
      </c>
      <c r="B4" s="3" t="str">
        <f>IF(A4&lt;Inputs!$B$6,"Construction",IF(A4=Inputs!$B$6,"Opening",IF(A4&lt;=Inputs!$B$6+Inputs!$B$7,"Operations","Outside horizon")))</f>
        <v>Opening</v>
      </c>
      <c r="C4" s="3">
        <f>IF(AND(A4&gt;Inputs!$B$6,A4&lt;=Inputs!$B$6+Inputs!$B$7),A4-Inputs!$B$6,0)</f>
        <v>0</v>
      </c>
      <c r="D4" s="3">
        <f>IF(C4&gt;0,Inputs!$B$3*(1+Inputs!$B$4)^(C4-1),0)</f>
        <v>0</v>
      </c>
      <c r="E4" s="3">
        <f>Inputs!$B$2*D4*12*Inputs!$B$8</f>
        <v>0.0</v>
      </c>
      <c r="F4" s="3">
        <f>E4*Inputs!$B$9</f>
        <v>0.0</v>
      </c>
      <c r="G4" s="3">
        <f>E4*Inputs!$B$10</f>
        <v>0.0</v>
      </c>
      <c r="H4" s="3">
        <f>IF(A4&lt;Inputs!$B$6,Inputs!$B$5/Inputs!$B$6,0)+IF(A4=0,Inputs!$B$13,0)</f>
        <v>0</v>
      </c>
      <c r="I4" s="3">
        <f>IF(A4=Inputs!$B$6+Inputs!$B$7,Inputs!$B$14,0)</f>
        <v>0</v>
      </c>
      <c r="J4" s="3">
        <f>E4-F4-G4-H4+I4</f>
        <v>0.0</v>
      </c>
      <c r="K4" s="14">
        <f>1/(1+Inputs!$B$17)^A4</f>
        <v>0.9192452261297295</v>
      </c>
      <c r="L4" s="3">
        <f>J4*K4</f>
        <v>0.0</v>
      </c>
      <c r="M4" s="3">
        <f>SUM(J$2:J4)</f>
        <v>-15000000.0</v>
      </c>
      <c r="N4" s="3">
        <f>SUM(L$2:L4)</f>
        <v>-14690795.781399809</v>
      </c>
      <c r="O4" s="6">
        <f>IF(AND(A4&gt;Inputs!$B$6,M4&gt;=0,M3&lt;0),A4-1-M3/J4,0)</f>
        <v>0</v>
      </c>
      <c r="P4" s="6">
        <f>IF(AND(A4&gt;Inputs!$B$6,N4&gt;=0,N3&lt;0),A4-1-N3/L4,0)</f>
        <v>0</v>
      </c>
    </row>
    <row r="5" ht="30" customHeight="1">
      <c r="A5" s="9" t="n">
        <v>3</v>
      </c>
      <c r="B5" s="9" t="str">
        <f>IF(A5&lt;Inputs!$B$6,"Construction",IF(A5=Inputs!$B$6,"Opening",IF(A5&lt;=Inputs!$B$6+Inputs!$B$7,"Operations","Outside horizon")))</f>
        <v>Operations</v>
      </c>
      <c r="C5" s="9">
        <f>IF(AND(A5&gt;Inputs!$B$6,A5&lt;=Inputs!$B$6+Inputs!$B$7),A5-Inputs!$B$6,0)</f>
        <v>1</v>
      </c>
      <c r="D5" s="9">
        <f>IF(C5&gt;0,Inputs!$B$3*(1+Inputs!$B$4)^(C5-1),0)</f>
        <v>450.0</v>
      </c>
      <c r="E5" s="9">
        <f>Inputs!$B$2*D5*12*Inputs!$B$8</f>
        <v>10260000.0</v>
      </c>
      <c r="F5" s="9">
        <f>E5*Inputs!$B$9</f>
        <v>3078000.0</v>
      </c>
      <c r="G5" s="9">
        <f>E5*Inputs!$B$10</f>
        <v>513000.0</v>
      </c>
      <c r="H5" s="9">
        <f>IF(A5&lt;Inputs!$B$6,Inputs!$B$5/Inputs!$B$6,0)+IF(A5=0,Inputs!$B$13,0)</f>
        <v>0</v>
      </c>
      <c r="I5" s="9">
        <f>IF(A5=Inputs!$B$6+Inputs!$B$7,Inputs!$B$14,0)</f>
        <v>0</v>
      </c>
      <c r="J5" s="9">
        <f>E5-F5-G5-H5+I5</f>
        <v>6669000.0</v>
      </c>
      <c r="K5" s="15">
        <f>1/(1+Inputs!$B$17)^A5</f>
        <v>0.8813472925500763</v>
      </c>
      <c r="L5" s="9">
        <f>J5*K5</f>
        <v>5877705.09401646</v>
      </c>
      <c r="M5" s="9">
        <f>SUM(J$2:J5)</f>
        <v>-8331000.0</v>
      </c>
      <c r="N5" s="9">
        <f>SUM(L$2:L5)</f>
        <v>-8813090.68738335</v>
      </c>
      <c r="O5" s="7">
        <f>IF(AND(A5&gt;Inputs!$B$6,M5&gt;=0,M4&lt;0),A5-1-M4/J5,0)</f>
        <v>0</v>
      </c>
      <c r="P5" s="7">
        <f>IF(AND(A5&gt;Inputs!$B$6,N5&gt;=0,N4&lt;0),A5-1-N4/L5,0)</f>
        <v>0</v>
      </c>
    </row>
    <row r="6" ht="30" customHeight="1">
      <c r="A6" s="3" t="n">
        <v>4</v>
      </c>
      <c r="B6" s="3" t="str">
        <f>IF(A6&lt;Inputs!$B$6,"Construction",IF(A6=Inputs!$B$6,"Opening",IF(A6&lt;=Inputs!$B$6+Inputs!$B$7,"Operations","Outside horizon")))</f>
        <v>Operations</v>
      </c>
      <c r="C6" s="3">
        <f>IF(AND(A6&gt;Inputs!$B$6,A6&lt;=Inputs!$B$6+Inputs!$B$7),A6-Inputs!$B$6,0)</f>
        <v>2</v>
      </c>
      <c r="D6" s="3">
        <f>IF(C6&gt;0,Inputs!$B$3*(1+Inputs!$B$4)^(C6-1),0)</f>
        <v>472.5</v>
      </c>
      <c r="E6" s="3">
        <f>Inputs!$B$2*D6*12*Inputs!$B$8</f>
        <v>10773000.0</v>
      </c>
      <c r="F6" s="3">
        <f>E6*Inputs!$B$9</f>
        <v>3231900.0</v>
      </c>
      <c r="G6" s="3">
        <f>E6*Inputs!$B$10</f>
        <v>538650.0</v>
      </c>
      <c r="H6" s="3">
        <f>IF(A6&lt;Inputs!$B$6,Inputs!$B$5/Inputs!$B$6,0)+IF(A6=0,Inputs!$B$13,0)</f>
        <v>0</v>
      </c>
      <c r="I6" s="3">
        <f>IF(A6=Inputs!$B$6+Inputs!$B$7,Inputs!$B$14,0)</f>
        <v>0</v>
      </c>
      <c r="J6" s="3">
        <f>E6-F6-G6-H6+I6</f>
        <v>7002450.0</v>
      </c>
      <c r="K6" s="14">
        <f>1/(1+Inputs!$B$17)^A6</f>
        <v>0.8450117857622976</v>
      </c>
      <c r="L6" s="3">
        <f>J6*K6</f>
        <v>5917152.779211201</v>
      </c>
      <c r="M6" s="3">
        <f>SUM(J$2:J6)</f>
        <v>-1328550.0</v>
      </c>
      <c r="N6" s="3">
        <f>SUM(L$2:L6)</f>
        <v>-2895937.908172149</v>
      </c>
      <c r="O6" s="6">
        <f>IF(AND(A6&gt;Inputs!$B$6,M6&gt;=0,M5&lt;0),A6-1-M5/J6,0)</f>
        <v>0</v>
      </c>
      <c r="P6" s="6">
        <f>IF(AND(A6&gt;Inputs!$B$6,N6&gt;=0,N5&lt;0),A6-1-N5/L6,0)</f>
        <v>0</v>
      </c>
    </row>
    <row r="7" ht="30" customHeight="1">
      <c r="A7" s="9" t="n">
        <v>5</v>
      </c>
      <c r="B7" s="9" t="str">
        <f>IF(A7&lt;Inputs!$B$6,"Construction",IF(A7=Inputs!$B$6,"Opening",IF(A7&lt;=Inputs!$B$6+Inputs!$B$7,"Operations","Outside horizon")))</f>
        <v>Operations</v>
      </c>
      <c r="C7" s="9">
        <f>IF(AND(A7&gt;Inputs!$B$6,A7&lt;=Inputs!$B$6+Inputs!$B$7),A7-Inputs!$B$6,0)</f>
        <v>3</v>
      </c>
      <c r="D7" s="9">
        <f>IF(C7&gt;0,Inputs!$B$3*(1+Inputs!$B$4)^(C7-1),0)</f>
        <v>496.125</v>
      </c>
      <c r="E7" s="9">
        <f>Inputs!$B$2*D7*12*Inputs!$B$8</f>
        <v>11311650.0</v>
      </c>
      <c r="F7" s="9">
        <f>E7*Inputs!$B$9</f>
        <v>3393495.0</v>
      </c>
      <c r="G7" s="9">
        <f>E7*Inputs!$B$10</f>
        <v>565582.5</v>
      </c>
      <c r="H7" s="9">
        <f>IF(A7&lt;Inputs!$B$6,Inputs!$B$5/Inputs!$B$6,0)+IF(A7=0,Inputs!$B$13,0)</f>
        <v>0</v>
      </c>
      <c r="I7" s="9">
        <f>IF(A7=Inputs!$B$6+Inputs!$B$7,Inputs!$B$14,0)</f>
        <v>0</v>
      </c>
      <c r="J7" s="9">
        <f>E7-F7-G7-H7+I7</f>
        <v>7352572.5</v>
      </c>
      <c r="K7" s="15">
        <f>1/(1+Inputs!$B$17)^A7</f>
        <v>0.8101742912390197</v>
      </c>
      <c r="L7" s="9">
        <f>J7*K7</f>
        <v>5956865.213971008</v>
      </c>
      <c r="M7" s="9">
        <f>SUM(J$2:J7)</f>
        <v>6024022.5</v>
      </c>
      <c r="N7" s="9">
        <f>SUM(L$2:L7)</f>
        <v>3060927.3057988584</v>
      </c>
      <c r="O7" s="7">
        <f>IF(AND(A7&gt;Inputs!$B$6,M7&gt;=0,M6&lt;0),A7-1-M6/J7,0)</f>
        <v>4.180691859889855</v>
      </c>
      <c r="P7" s="7">
        <f>IF(AND(A7&gt;Inputs!$B$6,N7&gt;=0,N6&lt;0),A7-1-N6/L7,0)</f>
        <v>4.486151323582096</v>
      </c>
    </row>
    <row r="8" ht="30" customHeight="1">
      <c r="A8" s="3" t="n">
        <v>6</v>
      </c>
      <c r="B8" s="3" t="str">
        <f>IF(A8&lt;Inputs!$B$6,"Construction",IF(A8=Inputs!$B$6,"Opening",IF(A8&lt;=Inputs!$B$6+Inputs!$B$7,"Operations","Outside horizon")))</f>
        <v>Operations</v>
      </c>
      <c r="C8" s="3">
        <f>IF(AND(A8&gt;Inputs!$B$6,A8&lt;=Inputs!$B$6+Inputs!$B$7),A8-Inputs!$B$6,0)</f>
        <v>4</v>
      </c>
      <c r="D8" s="3">
        <f>IF(C8&gt;0,Inputs!$B$3*(1+Inputs!$B$4)^(C8-1),0)</f>
        <v>520.9312500000001</v>
      </c>
      <c r="E8" s="3">
        <f>Inputs!$B$2*D8*12*Inputs!$B$8</f>
        <v>11877232.500000004</v>
      </c>
      <c r="F8" s="3">
        <f>E8*Inputs!$B$9</f>
        <v>3563169.750000001</v>
      </c>
      <c r="G8" s="3">
        <f>E8*Inputs!$B$10</f>
        <v>593861.6250000002</v>
      </c>
      <c r="H8" s="3">
        <f>IF(A8&lt;Inputs!$B$6,Inputs!$B$5/Inputs!$B$6,0)+IF(A8=0,Inputs!$B$13,0)</f>
        <v>0</v>
      </c>
      <c r="I8" s="3">
        <f>IF(A8=Inputs!$B$6+Inputs!$B$7,Inputs!$B$14,0)</f>
        <v>0</v>
      </c>
      <c r="J8" s="3">
        <f>E8-F8-G8-H8+I8</f>
        <v>7720201.125000003</v>
      </c>
      <c r="K8" s="14">
        <f>1/(1+Inputs!$B$17)^A8</f>
        <v>0.7767730500853498</v>
      </c>
      <c r="L8" s="3">
        <f>J8*K8</f>
        <v>5996844.175138601</v>
      </c>
      <c r="M8" s="3">
        <f>SUM(J$2:J8)</f>
        <v>13744223.625000004</v>
      </c>
      <c r="N8" s="3">
        <f>SUM(L$2:L8)</f>
        <v>9057771.480937459</v>
      </c>
      <c r="O8" s="6">
        <f>IF(AND(A8&gt;Inputs!$B$6,M8&gt;=0,M7&lt;0),A8-1-M7/J8,0)</f>
        <v>0</v>
      </c>
      <c r="P8" s="6">
        <f>IF(AND(A8&gt;Inputs!$B$6,N8&gt;=0,N7&lt;0),A8-1-N7/L8,0)</f>
        <v>0</v>
      </c>
    </row>
    <row r="9" ht="30" customHeight="1">
      <c r="A9" s="9" t="n">
        <v>7</v>
      </c>
      <c r="B9" s="9" t="str">
        <f>IF(A9&lt;Inputs!$B$6,"Construction",IF(A9=Inputs!$B$6,"Opening",IF(A9&lt;=Inputs!$B$6+Inputs!$B$7,"Operations","Outside horizon")))</f>
        <v>Operations</v>
      </c>
      <c r="C9" s="9">
        <f>IF(AND(A9&gt;Inputs!$B$6,A9&lt;=Inputs!$B$6+Inputs!$B$7),A9-Inputs!$B$6,0)</f>
        <v>5</v>
      </c>
      <c r="D9" s="9">
        <f>IF(C9&gt;0,Inputs!$B$3*(1+Inputs!$B$4)^(C9-1),0)</f>
        <v>546.9778125000001</v>
      </c>
      <c r="E9" s="9">
        <f>Inputs!$B$2*D9*12*Inputs!$B$8</f>
        <v>12471094.125000004</v>
      </c>
      <c r="F9" s="9">
        <f>E9*Inputs!$B$9</f>
        <v>3741328.237500001</v>
      </c>
      <c r="G9" s="9">
        <f>E9*Inputs!$B$10</f>
        <v>623554.7062500002</v>
      </c>
      <c r="H9" s="9">
        <f>IF(A9&lt;Inputs!$B$6,Inputs!$B$5/Inputs!$B$6,0)+IF(A9=0,Inputs!$B$13,0)</f>
        <v>0</v>
      </c>
      <c r="I9" s="9">
        <f>IF(A9=Inputs!$B$6+Inputs!$B$7,Inputs!$B$14,0)</f>
        <v>0</v>
      </c>
      <c r="J9" s="9">
        <f>E9-F9-G9-H9+I9</f>
        <v>8106211.181250002</v>
      </c>
      <c r="K9" s="15">
        <f>1/(1+Inputs!$B$17)^A9</f>
        <v>0.744748849554506</v>
      </c>
      <c r="L9" s="9">
        <f>J9*K9</f>
        <v>6037091.451481813</v>
      </c>
      <c r="M9" s="9">
        <f>SUM(J$2:J9)</f>
        <v>21850434.806250006</v>
      </c>
      <c r="N9" s="9">
        <f>SUM(L$2:L9)</f>
        <v>15094862.93241927</v>
      </c>
      <c r="O9" s="7">
        <f>IF(AND(A9&gt;Inputs!$B$6,M9&gt;=0,M8&lt;0),A9-1-M8/J9,0)</f>
        <v>0</v>
      </c>
      <c r="P9" s="7">
        <f>IF(AND(A9&gt;Inputs!$B$6,N9&gt;=0,N8&lt;0),A9-1-N8/L9,0)</f>
        <v>0</v>
      </c>
    </row>
    <row r="10" ht="30" customHeight="1">
      <c r="A10" s="3" t="n">
        <v>8</v>
      </c>
      <c r="B10" s="3" t="str">
        <f>IF(A10&lt;Inputs!$B$6,"Construction",IF(A10=Inputs!$B$6,"Opening",IF(A10&lt;=Inputs!$B$6+Inputs!$B$7,"Operations","Outside horizon")))</f>
        <v>Operations</v>
      </c>
      <c r="C10" s="3">
        <f>IF(AND(A10&gt;Inputs!$B$6,A10&lt;=Inputs!$B$6+Inputs!$B$7),A10-Inputs!$B$6,0)</f>
        <v>6</v>
      </c>
      <c r="D10" s="3">
        <f>IF(C10&gt;0,Inputs!$B$3*(1+Inputs!$B$4)^(C10-1),0)</f>
        <v>574.3267031250001</v>
      </c>
      <c r="E10" s="3">
        <f>Inputs!$B$2*D10*12*Inputs!$B$8</f>
        <v>13094648.831250003</v>
      </c>
      <c r="F10" s="3">
        <f>E10*Inputs!$B$9</f>
        <v>3928394.6493750005</v>
      </c>
      <c r="G10" s="3">
        <f>E10*Inputs!$B$10</f>
        <v>654732.4415625002</v>
      </c>
      <c r="H10" s="3">
        <f>IF(A10&lt;Inputs!$B$6,Inputs!$B$5/Inputs!$B$6,0)+IF(A10=0,Inputs!$B$13,0)</f>
        <v>0</v>
      </c>
      <c r="I10" s="3">
        <f>IF(A10=Inputs!$B$6+Inputs!$B$7,Inputs!$B$14,0)</f>
        <v>0</v>
      </c>
      <c r="J10" s="3">
        <f>E10-F10-G10-H10+I10</f>
        <v>8511521.740312502</v>
      </c>
      <c r="K10" s="14">
        <f>1/(1+Inputs!$B$17)^A10</f>
        <v>0.7140449180771871</v>
      </c>
      <c r="L10" s="3">
        <f>J10*K10</f>
        <v>6077608.843773638</v>
      </c>
      <c r="M10" s="3">
        <f>SUM(J$2:J10)</f>
        <v>30361956.546562508</v>
      </c>
      <c r="N10" s="3">
        <f>SUM(L$2:L10)</f>
        <v>21172471.776192907</v>
      </c>
      <c r="O10" s="6">
        <f>IF(AND(A10&gt;Inputs!$B$6,M10&gt;=0,M9&lt;0),A10-1-M9/J10,0)</f>
        <v>0</v>
      </c>
      <c r="P10" s="6">
        <f>IF(AND(A10&gt;Inputs!$B$6,N10&gt;=0,N9&lt;0),A10-1-N9/L10,0)</f>
        <v>0</v>
      </c>
    </row>
    <row r="11" ht="30" customHeight="1">
      <c r="A11" s="9" t="n">
        <v>9</v>
      </c>
      <c r="B11" s="9" t="str">
        <f>IF(A11&lt;Inputs!$B$6,"Construction",IF(A11=Inputs!$B$6,"Opening",IF(A11&lt;=Inputs!$B$6+Inputs!$B$7,"Operations","Outside horizon")))</f>
        <v>Operations</v>
      </c>
      <c r="C11" s="9">
        <f>IF(AND(A11&gt;Inputs!$B$6,A11&lt;=Inputs!$B$6+Inputs!$B$7),A11-Inputs!$B$6,0)</f>
        <v>7</v>
      </c>
      <c r="D11" s="9">
        <f>IF(C11&gt;0,Inputs!$B$3*(1+Inputs!$B$4)^(C11-1),0)</f>
        <v>603.0430382812502</v>
      </c>
      <c r="E11" s="9">
        <f>Inputs!$B$2*D11*12*Inputs!$B$8</f>
        <v>13749381.272812506</v>
      </c>
      <c r="F11" s="9">
        <f>E11*Inputs!$B$9</f>
        <v>4124814.3818437518</v>
      </c>
      <c r="G11" s="9">
        <f>E11*Inputs!$B$10</f>
        <v>687469.0636406253</v>
      </c>
      <c r="H11" s="9">
        <f>IF(A11&lt;Inputs!$B$6,Inputs!$B$5/Inputs!$B$6,0)+IF(A11=0,Inputs!$B$13,0)</f>
        <v>0</v>
      </c>
      <c r="I11" s="9">
        <f>IF(A11=Inputs!$B$6+Inputs!$B$7,Inputs!$B$14,0)</f>
        <v>0</v>
      </c>
      <c r="J11" s="9">
        <f>E11-F11-G11-H11+I11</f>
        <v>8937097.827328129</v>
      </c>
      <c r="K11" s="15">
        <f>1/(1+Inputs!$B$17)^A11</f>
        <v>0.6846068246185879</v>
      </c>
      <c r="L11" s="9">
        <f>J11*K11</f>
        <v>6118398.164872791</v>
      </c>
      <c r="M11" s="9">
        <f>SUM(J$2:J11)</f>
        <v>39299054.37389064</v>
      </c>
      <c r="N11" s="9">
        <f>SUM(L$2:L11)</f>
        <v>27290869.9410657</v>
      </c>
      <c r="O11" s="7">
        <f>IF(AND(A11&gt;Inputs!$B$6,M11&gt;=0,M10&lt;0),A11-1-M10/J11,0)</f>
        <v>0</v>
      </c>
      <c r="P11" s="7">
        <f>IF(AND(A11&gt;Inputs!$B$6,N11&gt;=0,N10&lt;0),A11-1-N10/L11,0)</f>
        <v>0</v>
      </c>
    </row>
    <row r="12" ht="30" customHeight="1">
      <c r="A12" s="3" t="n">
        <v>10</v>
      </c>
      <c r="B12" s="3" t="str">
        <f>IF(A12&lt;Inputs!$B$6,"Construction",IF(A12=Inputs!$B$6,"Opening",IF(A12&lt;=Inputs!$B$6+Inputs!$B$7,"Operations","Outside horizon")))</f>
        <v>Operations</v>
      </c>
      <c r="C12" s="3">
        <f>IF(AND(A12&gt;Inputs!$B$6,A12&lt;=Inputs!$B$6+Inputs!$B$7),A12-Inputs!$B$6,0)</f>
        <v>8</v>
      </c>
      <c r="D12" s="3">
        <f>IF(C12&gt;0,Inputs!$B$3*(1+Inputs!$B$4)^(C12-1),0)</f>
        <v>633.1951901953128</v>
      </c>
      <c r="E12" s="3">
        <f>Inputs!$B$2*D12*12*Inputs!$B$8</f>
        <v>14436850.336453129</v>
      </c>
      <c r="F12" s="3">
        <f>E12*Inputs!$B$9</f>
        <v>4331055.100935939</v>
      </c>
      <c r="G12" s="3">
        <f>E12*Inputs!$B$10</f>
        <v>721842.5168226565</v>
      </c>
      <c r="H12" s="3">
        <f>IF(A12&lt;Inputs!$B$6,Inputs!$B$5/Inputs!$B$6,0)+IF(A12=0,Inputs!$B$13,0)</f>
        <v>0</v>
      </c>
      <c r="I12" s="3">
        <f>IF(A12=Inputs!$B$6+Inputs!$B$7,Inputs!$B$14,0)</f>
        <v>0</v>
      </c>
      <c r="J12" s="3">
        <f>E12-F12-G12-H12+I12</f>
        <v>9383952.718694534</v>
      </c>
      <c r="K12" s="14">
        <f>1/(1+Inputs!$B$17)^A12</f>
        <v>0.6563823821846481</v>
      </c>
      <c r="L12" s="3">
        <f>J12*K12</f>
        <v>6159461.239804823</v>
      </c>
      <c r="M12" s="3">
        <f>SUM(J$2:J12)</f>
        <v>48683007.092585176</v>
      </c>
      <c r="N12" s="3">
        <f>SUM(L$2:L12)</f>
        <v>33450331.18087052</v>
      </c>
      <c r="O12" s="6">
        <f>IF(AND(A12&gt;Inputs!$B$6,M12&gt;=0,M11&lt;0),A12-1-M11/J12,0)</f>
        <v>0</v>
      </c>
      <c r="P12" s="6">
        <f>IF(AND(A12&gt;Inputs!$B$6,N12&gt;=0,N11&lt;0),A12-1-N11/L12,0)</f>
        <v>0</v>
      </c>
    </row>
    <row r="13" ht="30" customHeight="1">
      <c r="A13" s="9" t="n">
        <v>11</v>
      </c>
      <c r="B13" s="9" t="str">
        <f>IF(A13&lt;Inputs!$B$6,"Construction",IF(A13=Inputs!$B$6,"Opening",IF(A13&lt;=Inputs!$B$6+Inputs!$B$7,"Operations","Outside horizon")))</f>
        <v>Operations</v>
      </c>
      <c r="C13" s="9">
        <f>IF(AND(A13&gt;Inputs!$B$6,A13&lt;=Inputs!$B$6+Inputs!$B$7),A13-Inputs!$B$6,0)</f>
        <v>9</v>
      </c>
      <c r="D13" s="9">
        <f>IF(C13&gt;0,Inputs!$B$3*(1+Inputs!$B$4)^(C13-1),0)</f>
        <v>664.8549497050784</v>
      </c>
      <c r="E13" s="9">
        <f>Inputs!$B$2*D13*12*Inputs!$B$8</f>
        <v>15158692.853275787</v>
      </c>
      <c r="F13" s="9">
        <f>E13*Inputs!$B$9</f>
        <v>4547607.855982736</v>
      </c>
      <c r="G13" s="9">
        <f>E13*Inputs!$B$10</f>
        <v>757934.6426637894</v>
      </c>
      <c r="H13" s="9">
        <f>IF(A13&lt;Inputs!$B$6,Inputs!$B$5/Inputs!$B$6,0)+IF(A13=0,Inputs!$B$13,0)</f>
        <v>0</v>
      </c>
      <c r="I13" s="9">
        <f>IF(A13=Inputs!$B$6+Inputs!$B$7,Inputs!$B$14,0)</f>
        <v>0</v>
      </c>
      <c r="J13" s="9">
        <f>E13-F13-G13-H13+I13</f>
        <v>9853150.354629261</v>
      </c>
      <c r="K13" s="15">
        <f>1/(1+Inputs!$B$17)^A13</f>
        <v>0.6293215553064699</v>
      </c>
      <c r="L13" s="9">
        <f>J13*K13</f>
        <v>6200799.905843782</v>
      </c>
      <c r="M13" s="9">
        <f>SUM(J$2:J13)</f>
        <v>58536157.44721444</v>
      </c>
      <c r="N13" s="9">
        <f>SUM(L$2:L13)</f>
        <v>39651131.086714305</v>
      </c>
      <c r="O13" s="7">
        <f>IF(AND(A13&gt;Inputs!$B$6,M13&gt;=0,M12&lt;0),A13-1-M12/J13,0)</f>
        <v>0</v>
      </c>
      <c r="P13" s="7">
        <f>IF(AND(A13&gt;Inputs!$B$6,N13&gt;=0,N12&lt;0),A13-1-N12/L13,0)</f>
        <v>0</v>
      </c>
    </row>
    <row r="14" ht="30" customHeight="1">
      <c r="A14" s="3" t="n">
        <v>12</v>
      </c>
      <c r="B14" s="3" t="str">
        <f>IF(A14&lt;Inputs!$B$6,"Construction",IF(A14=Inputs!$B$6,"Opening",IF(A14&lt;=Inputs!$B$6+Inputs!$B$7,"Operations","Outside horizon")))</f>
        <v>Operations</v>
      </c>
      <c r="C14" s="3">
        <f>IF(AND(A14&gt;Inputs!$B$6,A14&lt;=Inputs!$B$6+Inputs!$B$7),A14-Inputs!$B$6,0)</f>
        <v>10</v>
      </c>
      <c r="D14" s="3">
        <f>IF(C14&gt;0,Inputs!$B$3*(1+Inputs!$B$4)^(C14-1),0)</f>
        <v>698.0976971903323</v>
      </c>
      <c r="E14" s="3">
        <f>Inputs!$B$2*D14*12*Inputs!$B$8</f>
        <v>15916627.495939573</v>
      </c>
      <c r="F14" s="3">
        <f>E14*Inputs!$B$9</f>
        <v>4774988.248781872</v>
      </c>
      <c r="G14" s="3">
        <f>E14*Inputs!$B$10</f>
        <v>795831.3747969787</v>
      </c>
      <c r="H14" s="3">
        <f>IF(A14&lt;Inputs!$B$6,Inputs!$B$5/Inputs!$B$6,0)+IF(A14=0,Inputs!$B$13,0)</f>
        <v>0</v>
      </c>
      <c r="I14" s="3">
        <f>IF(A14=Inputs!$B$6+Inputs!$B$7,Inputs!$B$14,0)</f>
        <v>0</v>
      </c>
      <c r="J14" s="3">
        <f>E14-F14-G14-H14+I14</f>
        <v>10345807.872360723</v>
      </c>
      <c r="K14" s="14">
        <f>1/(1+Inputs!$B$17)^A14</f>
        <v>0.6033763713388973</v>
      </c>
      <c r="L14" s="3">
        <f>J14*K14</f>
        <v>6242416.012594411</v>
      </c>
      <c r="M14" s="3">
        <f>SUM(J$2:J14)</f>
        <v>68881965.31957516</v>
      </c>
      <c r="N14" s="3">
        <f>SUM(L$2:L14)</f>
        <v>45893547.099308714</v>
      </c>
      <c r="O14" s="6">
        <f>IF(AND(A14&gt;Inputs!$B$6,M14&gt;=0,M13&lt;0),A14-1-M13/J14,0)</f>
        <v>0</v>
      </c>
      <c r="P14" s="6">
        <f>IF(AND(A14&gt;Inputs!$B$6,N14&gt;=0,N13&lt;0),A14-1-N13/L14,0)</f>
        <v>0</v>
      </c>
    </row>
    <row r="15" ht="30" customHeight="1">
      <c r="A15" s="9" t="n">
        <v>13</v>
      </c>
      <c r="B15" s="9" t="str">
        <f>IF(A15&lt;Inputs!$B$6,"Construction",IF(A15=Inputs!$B$6,"Opening",IF(A15&lt;=Inputs!$B$6+Inputs!$B$7,"Operations","Outside horizon")))</f>
        <v>Operations</v>
      </c>
      <c r="C15" s="9">
        <f>IF(AND(A15&gt;Inputs!$B$6,A15&lt;=Inputs!$B$6+Inputs!$B$7),A15-Inputs!$B$6,0)</f>
        <v>11</v>
      </c>
      <c r="D15" s="9">
        <f>IF(C15&gt;0,Inputs!$B$3*(1+Inputs!$B$4)^(C15-1),0)</f>
        <v>733.0025820498489</v>
      </c>
      <c r="E15" s="9">
        <f>Inputs!$B$2*D15*12*Inputs!$B$8</f>
        <v>16712458.870736552</v>
      </c>
      <c r="F15" s="9">
        <f>E15*Inputs!$B$9</f>
        <v>5013737.661220966</v>
      </c>
      <c r="G15" s="9">
        <f>E15*Inputs!$B$10</f>
        <v>835622.9435368277</v>
      </c>
      <c r="H15" s="9">
        <f>IF(A15&lt;Inputs!$B$6,Inputs!$B$5/Inputs!$B$6,0)+IF(A15=0,Inputs!$B$13,0)</f>
        <v>0</v>
      </c>
      <c r="I15" s="9">
        <f>IF(A15=Inputs!$B$6+Inputs!$B$7,Inputs!$B$14,0)</f>
        <v>0</v>
      </c>
      <c r="J15" s="9">
        <f>E15-F15-G15-H15+I15</f>
        <v>10863098.26597876</v>
      </c>
      <c r="K15" s="15">
        <f>1/(1+Inputs!$B$17)^A15</f>
        <v>0.578500835416009</v>
      </c>
      <c r="L15" s="9">
        <f>J15*K15</f>
        <v>6284311.422074911</v>
      </c>
      <c r="M15" s="9">
        <f>SUM(J$2:J15)</f>
        <v>79745063.58555391</v>
      </c>
      <c r="N15" s="9">
        <f>SUM(L$2:L15)</f>
        <v>52177858.52138363</v>
      </c>
      <c r="O15" s="7">
        <f>IF(AND(A15&gt;Inputs!$B$6,M15&gt;=0,M14&lt;0),A15-1-M14/J15,0)</f>
        <v>0</v>
      </c>
      <c r="P15" s="7">
        <f>IF(AND(A15&gt;Inputs!$B$6,N15&gt;=0,N14&lt;0),A15-1-N14/L15,0)</f>
        <v>0</v>
      </c>
    </row>
    <row r="16" ht="30" customHeight="1">
      <c r="A16" s="3" t="n">
        <v>14</v>
      </c>
      <c r="B16" s="3" t="str">
        <f>IF(A16&lt;Inputs!$B$6,"Construction",IF(A16=Inputs!$B$6,"Opening",IF(A16&lt;=Inputs!$B$6+Inputs!$B$7,"Operations","Outside horizon")))</f>
        <v>Operations</v>
      </c>
      <c r="C16" s="3">
        <f>IF(AND(A16&gt;Inputs!$B$6,A16&lt;=Inputs!$B$6+Inputs!$B$7),A16-Inputs!$B$6,0)</f>
        <v>12</v>
      </c>
      <c r="D16" s="3">
        <f>IF(C16&gt;0,Inputs!$B$3*(1+Inputs!$B$4)^(C16-1),0)</f>
        <v>769.6527111523413</v>
      </c>
      <c r="E16" s="3">
        <f>Inputs!$B$2*D16*12*Inputs!$B$8</f>
        <v>17548081.814273383</v>
      </c>
      <c r="F16" s="3">
        <f>E16*Inputs!$B$9</f>
        <v>5264424.5442820145</v>
      </c>
      <c r="G16" s="3">
        <f>E16*Inputs!$B$10</f>
        <v>877404.0907136692</v>
      </c>
      <c r="H16" s="3">
        <f>IF(A16&lt;Inputs!$B$6,Inputs!$B$5/Inputs!$B$6,0)+IF(A16=0,Inputs!$B$13,0)</f>
        <v>0</v>
      </c>
      <c r="I16" s="3">
        <f>IF(A16=Inputs!$B$6+Inputs!$B$7,Inputs!$B$14,0)</f>
        <v>0</v>
      </c>
      <c r="J16" s="3">
        <f>E16-F16-G16-H16+I16</f>
        <v>11406253.1792777</v>
      </c>
      <c r="K16" s="14">
        <f>1/(1+Inputs!$B$17)^A16</f>
        <v>0.5546508489127604</v>
      </c>
      <c r="L16" s="3">
        <f>J16*K16</f>
        <v>6326488.008800248</v>
      </c>
      <c r="M16" s="3">
        <f>SUM(J$2:J16)</f>
        <v>91151316.76483162</v>
      </c>
      <c r="N16" s="3">
        <f>SUM(L$2:L16)</f>
        <v>58504346.530183874</v>
      </c>
      <c r="O16" s="6">
        <f>IF(AND(A16&gt;Inputs!$B$6,M16&gt;=0,M15&lt;0),A16-1-M15/J16,0)</f>
        <v>0</v>
      </c>
      <c r="P16" s="6">
        <f>IF(AND(A16&gt;Inputs!$B$6,N16&gt;=0,N15&lt;0),A16-1-N15/L16,0)</f>
        <v>0</v>
      </c>
    </row>
    <row r="17" ht="30" customHeight="1">
      <c r="A17" s="9" t="n">
        <v>15</v>
      </c>
      <c r="B17" s="9" t="str">
        <f>IF(A17&lt;Inputs!$B$6,"Construction",IF(A17=Inputs!$B$6,"Opening",IF(A17&lt;=Inputs!$B$6+Inputs!$B$7,"Operations","Outside horizon")))</f>
        <v>Operations</v>
      </c>
      <c r="C17" s="9">
        <f>IF(AND(A17&gt;Inputs!$B$6,A17&lt;=Inputs!$B$6+Inputs!$B$7),A17-Inputs!$B$6,0)</f>
        <v>13</v>
      </c>
      <c r="D17" s="9">
        <f>IF(C17&gt;0,Inputs!$B$3*(1+Inputs!$B$4)^(C17-1),0)</f>
        <v>808.1353467099585</v>
      </c>
      <c r="E17" s="9">
        <f>Inputs!$B$2*D17*12*Inputs!$B$8</f>
        <v>18425485.904987056</v>
      </c>
      <c r="F17" s="9">
        <f>E17*Inputs!$B$9</f>
        <v>5527645.771496116</v>
      </c>
      <c r="G17" s="9">
        <f>E17*Inputs!$B$10</f>
        <v>921274.2952493528</v>
      </c>
      <c r="H17" s="9">
        <f>IF(A17&lt;Inputs!$B$6,Inputs!$B$5/Inputs!$B$6,0)+IF(A17=0,Inputs!$B$13,0)</f>
        <v>0</v>
      </c>
      <c r="I17" s="9">
        <f>IF(A17=Inputs!$B$6+Inputs!$B$7,Inputs!$B$14,0)</f>
        <v>0</v>
      </c>
      <c r="J17" s="9">
        <f>E17-F17-G17-H17+I17</f>
        <v>11976565.838241586</v>
      </c>
      <c r="K17" s="15">
        <f>1/(1+Inputs!$B$17)^A17</f>
        <v>0.5317841312682267</v>
      </c>
      <c r="L17" s="9">
        <f>J17*K17</f>
        <v>6368947.659866023</v>
      </c>
      <c r="M17" s="9">
        <f>SUM(J$2:J17)</f>
        <v>103127882.60307321</v>
      </c>
      <c r="N17" s="9">
        <f>SUM(L$2:L17)</f>
        <v>64873294.190049894</v>
      </c>
      <c r="O17" s="7">
        <f>IF(AND(A17&gt;Inputs!$B$6,M17&gt;=0,M16&lt;0),A17-1-M16/J17,0)</f>
        <v>0</v>
      </c>
      <c r="P17" s="7">
        <f>IF(AND(A17&gt;Inputs!$B$6,N17&gt;=0,N16&lt;0),A17-1-N16/L17,0)</f>
        <v>0</v>
      </c>
    </row>
    <row r="18" ht="30" customHeight="1">
      <c r="A18" s="3" t="n">
        <v>16</v>
      </c>
      <c r="B18" s="3" t="str">
        <f>IF(A18&lt;Inputs!$B$6,"Construction",IF(A18=Inputs!$B$6,"Opening",IF(A18&lt;=Inputs!$B$6+Inputs!$B$7,"Operations","Outside horizon")))</f>
        <v>Operations</v>
      </c>
      <c r="C18" s="3">
        <f>IF(AND(A18&gt;Inputs!$B$6,A18&lt;=Inputs!$B$6+Inputs!$B$7),A18-Inputs!$B$6,0)</f>
        <v>14</v>
      </c>
      <c r="D18" s="3">
        <f>IF(C18&gt;0,Inputs!$B$3*(1+Inputs!$B$4)^(C18-1),0)</f>
        <v>848.5421140454565</v>
      </c>
      <c r="E18" s="3">
        <f>Inputs!$B$2*D18*12*Inputs!$B$8</f>
        <v>19346760.200236406</v>
      </c>
      <c r="F18" s="3">
        <f>E18*Inputs!$B$9</f>
        <v>5804028.060070922</v>
      </c>
      <c r="G18" s="3">
        <f>E18*Inputs!$B$10</f>
        <v>967338.0100118204</v>
      </c>
      <c r="H18" s="3">
        <f>IF(A18&lt;Inputs!$B$6,Inputs!$B$5/Inputs!$B$6,0)+IF(A18=0,Inputs!$B$13,0)</f>
        <v>0</v>
      </c>
      <c r="I18" s="3">
        <f>IF(A18=Inputs!$B$6+Inputs!$B$7,Inputs!$B$14,0)</f>
        <v>0</v>
      </c>
      <c r="J18" s="3">
        <f>E18-F18-G18-H18+I18</f>
        <v>12575394.130153665</v>
      </c>
      <c r="K18" s="14">
        <f>1/(1+Inputs!$B$17)^A18</f>
        <v>0.5098601450318568</v>
      </c>
      <c r="L18" s="3">
        <f>J18*K18</f>
        <v>6411692.27503291</v>
      </c>
      <c r="M18" s="3">
        <f>SUM(J$2:J18)</f>
        <v>115703276.73322688</v>
      </c>
      <c r="N18" s="3">
        <f>SUM(L$2:L18)</f>
        <v>71284986.46508281</v>
      </c>
      <c r="O18" s="6">
        <f>IF(AND(A18&gt;Inputs!$B$6,M18&gt;=0,M17&lt;0),A18-1-M17/J18,0)</f>
        <v>0</v>
      </c>
      <c r="P18" s="6">
        <f>IF(AND(A18&gt;Inputs!$B$6,N18&gt;=0,N17&lt;0),A18-1-N17/L18,0)</f>
        <v>0</v>
      </c>
    </row>
    <row r="19" ht="30" customHeight="1">
      <c r="A19" s="9" t="n">
        <v>17</v>
      </c>
      <c r="B19" s="9" t="str">
        <f>IF(A19&lt;Inputs!$B$6,"Construction",IF(A19=Inputs!$B$6,"Opening",IF(A19&lt;=Inputs!$B$6+Inputs!$B$7,"Operations","Outside horizon")))</f>
        <v>Operations</v>
      </c>
      <c r="C19" s="9">
        <f>IF(AND(A19&gt;Inputs!$B$6,A19&lt;=Inputs!$B$6+Inputs!$B$7),A19-Inputs!$B$6,0)</f>
        <v>15</v>
      </c>
      <c r="D19" s="9">
        <f>IF(C19&gt;0,Inputs!$B$3*(1+Inputs!$B$4)^(C19-1),0)</f>
        <v>890.9692197477294</v>
      </c>
      <c r="E19" s="9">
        <f>Inputs!$B$2*D19*12*Inputs!$B$8</f>
        <v>20314098.210248232</v>
      </c>
      <c r="F19" s="9">
        <f>E19*Inputs!$B$9</f>
        <v>6094229.463074469</v>
      </c>
      <c r="G19" s="9">
        <f>E19*Inputs!$B$10</f>
        <v>1015704.9105124116</v>
      </c>
      <c r="H19" s="9">
        <f>IF(A19&lt;Inputs!$B$6,Inputs!$B$5/Inputs!$B$6,0)+IF(A19=0,Inputs!$B$13,0)</f>
        <v>0</v>
      </c>
      <c r="I19" s="9">
        <f>IF(A19=Inputs!$B$6+Inputs!$B$7,Inputs!$B$14,0)</f>
        <v>0</v>
      </c>
      <c r="J19" s="9">
        <f>E19-F19-G19-H19+I19</f>
        <v>13204163.836661352</v>
      </c>
      <c r="K19" s="15">
        <f>1/(1+Inputs!$B$17)^A19</f>
        <v>0.48884002399986276</v>
      </c>
      <c r="L19" s="9">
        <f>J19*K19</f>
        <v>6454723.766811655</v>
      </c>
      <c r="M19" s="9">
        <f>SUM(J$2:J19)</f>
        <v>128907440.56988823</v>
      </c>
      <c r="N19" s="9">
        <f>SUM(L$2:L19)</f>
        <v>77739710.23189446</v>
      </c>
      <c r="O19" s="7">
        <f>IF(AND(A19&gt;Inputs!$B$6,M19&gt;=0,M18&lt;0),A19-1-M18/J19,0)</f>
        <v>0</v>
      </c>
      <c r="P19" s="7">
        <f>IF(AND(A19&gt;Inputs!$B$6,N19&gt;=0,N18&lt;0),A19-1-N18/L19,0)</f>
        <v>0</v>
      </c>
    </row>
    <row r="20" ht="30" customHeight="1">
      <c r="A20" s="3" t="n">
        <v>18</v>
      </c>
      <c r="B20" s="3" t="str">
        <f>IF(A20&lt;Inputs!$B$6,"Construction",IF(A20=Inputs!$B$6,"Opening",IF(A20&lt;=Inputs!$B$6+Inputs!$B$7,"Operations","Outside horizon")))</f>
        <v>Operations</v>
      </c>
      <c r="C20" s="3">
        <f>IF(AND(A20&gt;Inputs!$B$6,A20&lt;=Inputs!$B$6+Inputs!$B$7),A20-Inputs!$B$6,0)</f>
        <v>16</v>
      </c>
      <c r="D20" s="3">
        <f>IF(C20&gt;0,Inputs!$B$3*(1+Inputs!$B$4)^(C20-1),0)</f>
        <v>935.517680735116</v>
      </c>
      <c r="E20" s="3">
        <f>Inputs!$B$2*D20*12*Inputs!$B$8</f>
        <v>21329803.120760646</v>
      </c>
      <c r="F20" s="3">
        <f>E20*Inputs!$B$9</f>
        <v>6398940.936228193</v>
      </c>
      <c r="G20" s="3">
        <f>E20*Inputs!$B$10</f>
        <v>1066490.1560380324</v>
      </c>
      <c r="H20" s="3">
        <f>IF(A20&lt;Inputs!$B$6,Inputs!$B$5/Inputs!$B$6,0)+IF(A20=0,Inputs!$B$13,0)</f>
        <v>0</v>
      </c>
      <c r="I20" s="3">
        <f>IF(A20=Inputs!$B$6+Inputs!$B$7,Inputs!$B$14,0)</f>
        <v>0</v>
      </c>
      <c r="J20" s="3">
        <f>E20-F20-G20-H20+I20</f>
        <v>13864372.02849442</v>
      </c>
      <c r="K20" s="14">
        <f>1/(1+Inputs!$B$17)^A20</f>
        <v>0.46868650431434594</v>
      </c>
      <c r="L20" s="3">
        <f>J20*K20</f>
        <v>6498044.060548646</v>
      </c>
      <c r="M20" s="3">
        <f>SUM(J$2:J20)</f>
        <v>142771812.59838265</v>
      </c>
      <c r="N20" s="3">
        <f>SUM(L$2:L20)</f>
        <v>84237754.29244311</v>
      </c>
      <c r="O20" s="6">
        <f>IF(AND(A20&gt;Inputs!$B$6,M20&gt;=0,M19&lt;0),A20-1-M19/J20,0)</f>
        <v>0</v>
      </c>
      <c r="P20" s="6">
        <f>IF(AND(A20&gt;Inputs!$B$6,N20&gt;=0,N19&lt;0),A20-1-N19/L20,0)</f>
        <v>0</v>
      </c>
    </row>
    <row r="21" ht="30" customHeight="1">
      <c r="A21" s="9" t="n">
        <v>19</v>
      </c>
      <c r="B21" s="9" t="str">
        <f>IF(A21&lt;Inputs!$B$6,"Construction",IF(A21=Inputs!$B$6,"Opening",IF(A21&lt;=Inputs!$B$6+Inputs!$B$7,"Operations","Outside horizon")))</f>
        <v>Operations</v>
      </c>
      <c r="C21" s="9">
        <f>IF(AND(A21&gt;Inputs!$B$6,A21&lt;=Inputs!$B$6+Inputs!$B$7),A21-Inputs!$B$6,0)</f>
        <v>17</v>
      </c>
      <c r="D21" s="9">
        <f>IF(C21&gt;0,Inputs!$B$3*(1+Inputs!$B$4)^(C21-1),0)</f>
        <v>982.2935647718716</v>
      </c>
      <c r="E21" s="9">
        <f>Inputs!$B$2*D21*12*Inputs!$B$8</f>
        <v>22396293.276798673</v>
      </c>
      <c r="F21" s="9">
        <f>E21*Inputs!$B$9</f>
        <v>6718887.983039602</v>
      </c>
      <c r="G21" s="9">
        <f>E21*Inputs!$B$10</f>
        <v>1119814.6638399337</v>
      </c>
      <c r="H21" s="9">
        <f>IF(A21&lt;Inputs!$B$6,Inputs!$B$5/Inputs!$B$6,0)+IF(A21=0,Inputs!$B$13,0)</f>
        <v>0</v>
      </c>
      <c r="I21" s="9">
        <f>IF(A21=Inputs!$B$6+Inputs!$B$7,Inputs!$B$14,0)</f>
        <v>0</v>
      </c>
      <c r="J21" s="9">
        <f>E21-F21-G21-H21+I21</f>
        <v>14557590.629919138</v>
      </c>
      <c r="K21" s="15">
        <f>1/(1+Inputs!$B$17)^A21</f>
        <v>0.4493638584030163</v>
      </c>
      <c r="L21" s="9">
        <f>J21*K21</f>
        <v>6541655.094512059</v>
      </c>
      <c r="M21" s="9">
        <f>SUM(J$2:J21)</f>
        <v>157329403.2283018</v>
      </c>
      <c r="N21" s="9">
        <f>SUM(L$2:L21)</f>
        <v>90779409.38695517</v>
      </c>
      <c r="O21" s="7">
        <f>IF(AND(A21&gt;Inputs!$B$6,M21&gt;=0,M20&lt;0),A21-1-M20/J21,0)</f>
        <v>0</v>
      </c>
      <c r="P21" s="7">
        <f>IF(AND(A21&gt;Inputs!$B$6,N21&gt;=0,N20&lt;0),A21-1-N20/L21,0)</f>
        <v>0</v>
      </c>
    </row>
    <row r="22" ht="30" customHeight="1">
      <c r="A22" s="3" t="n">
        <v>20</v>
      </c>
      <c r="B22" s="3" t="str">
        <f>IF(A22&lt;Inputs!$B$6,"Construction",IF(A22=Inputs!$B$6,"Opening",IF(A22&lt;=Inputs!$B$6+Inputs!$B$7,"Operations","Outside horizon")))</f>
        <v>Operations</v>
      </c>
      <c r="C22" s="3">
        <f>IF(AND(A22&gt;Inputs!$B$6,A22&lt;=Inputs!$B$6+Inputs!$B$7),A22-Inputs!$B$6,0)</f>
        <v>18</v>
      </c>
      <c r="D22" s="3">
        <f>IF(C22&gt;0,Inputs!$B$3*(1+Inputs!$B$4)^(C22-1),0)</f>
        <v>1031.4082430104654</v>
      </c>
      <c r="E22" s="3">
        <f>Inputs!$B$2*D22*12*Inputs!$B$8</f>
        <v>23516107.94063861</v>
      </c>
      <c r="F22" s="3">
        <f>E22*Inputs!$B$9</f>
        <v>7054832.382191583</v>
      </c>
      <c r="G22" s="3">
        <f>E22*Inputs!$B$10</f>
        <v>1175805.3970319305</v>
      </c>
      <c r="H22" s="3">
        <f>IF(A22&lt;Inputs!$B$6,Inputs!$B$5/Inputs!$B$6,0)+IF(A22=0,Inputs!$B$13,0)</f>
        <v>0</v>
      </c>
      <c r="I22" s="3">
        <f>IF(A22=Inputs!$B$6+Inputs!$B$7,Inputs!$B$14,0)</f>
        <v>0</v>
      </c>
      <c r="J22" s="3">
        <f>E22-F22-G22-H22+I22</f>
        <v>15285470.161415096</v>
      </c>
      <c r="K22" s="14">
        <f>1/(1+Inputs!$B$17)^A22</f>
        <v>0.43083783164239337</v>
      </c>
      <c r="L22" s="3">
        <f>J22*K22</f>
        <v>6585558.819978585</v>
      </c>
      <c r="M22" s="3">
        <f>SUM(J$2:J22)</f>
        <v>172614873.3897169</v>
      </c>
      <c r="N22" s="3">
        <f>SUM(L$2:L22)</f>
        <v>97364968.20693375</v>
      </c>
      <c r="O22" s="6">
        <f>IF(AND(A22&gt;Inputs!$B$6,M22&gt;=0,M21&lt;0),A22-1-M21/J22,0)</f>
        <v>0</v>
      </c>
      <c r="P22" s="6">
        <f>IF(AND(A22&gt;Inputs!$B$6,N22&gt;=0,N21&lt;0),A22-1-N21/L22,0)</f>
        <v>0</v>
      </c>
    </row>
    <row r="23" ht="30" customHeight="1">
      <c r="A23" s="9" t="n">
        <v>21</v>
      </c>
      <c r="B23" s="9" t="str">
        <f>IF(A23&lt;Inputs!$B$6,"Construction",IF(A23=Inputs!$B$6,"Opening",IF(A23&lt;=Inputs!$B$6+Inputs!$B$7,"Operations","Outside horizon")))</f>
        <v>Operations</v>
      </c>
      <c r="C23" s="9">
        <f>IF(AND(A23&gt;Inputs!$B$6,A23&lt;=Inputs!$B$6+Inputs!$B$7),A23-Inputs!$B$6,0)</f>
        <v>19</v>
      </c>
      <c r="D23" s="9">
        <f>IF(C23&gt;0,Inputs!$B$3*(1+Inputs!$B$4)^(C23-1),0)</f>
        <v>1082.9786551609886</v>
      </c>
      <c r="E23" s="9">
        <f>Inputs!$B$2*D23*12*Inputs!$B$8</f>
        <v>24691913.337670542</v>
      </c>
      <c r="F23" s="9">
        <f>E23*Inputs!$B$9</f>
        <v>7407574.001301163</v>
      </c>
      <c r="G23" s="9">
        <f>E23*Inputs!$B$10</f>
        <v>1234595.666883527</v>
      </c>
      <c r="H23" s="9">
        <f>IF(A23&lt;Inputs!$B$6,Inputs!$B$5/Inputs!$B$6,0)+IF(A23=0,Inputs!$B$13,0)</f>
        <v>0</v>
      </c>
      <c r="I23" s="9">
        <f>IF(A23=Inputs!$B$6+Inputs!$B$7,Inputs!$B$14,0)</f>
        <v>0</v>
      </c>
      <c r="J23" s="9">
        <f>E23-F23-G23-H23+I23</f>
        <v>16049743.669485852</v>
      </c>
      <c r="K23" s="15">
        <f>1/(1+Inputs!$B$17)^A23</f>
        <v>0.4130755816322084</v>
      </c>
      <c r="L23" s="9">
        <f>J23*K23</f>
        <v>6629757.201320724</v>
      </c>
      <c r="M23" s="9">
        <f>SUM(J$2:J23)</f>
        <v>188664617.05920273</v>
      </c>
      <c r="N23" s="9">
        <f>SUM(L$2:L23)</f>
        <v>103994725.40825447</v>
      </c>
      <c r="O23" s="7">
        <f>IF(AND(A23&gt;Inputs!$B$6,M23&gt;=0,M22&lt;0),A23-1-M22/J23,0)</f>
        <v>0</v>
      </c>
      <c r="P23" s="7">
        <f>IF(AND(A23&gt;Inputs!$B$6,N23&gt;=0,N22&lt;0),A23-1-N22/L23,0)</f>
        <v>0</v>
      </c>
    </row>
    <row r="24" ht="30" customHeight="1">
      <c r="A24" s="3" t="n">
        <v>22</v>
      </c>
      <c r="B24" s="3" t="str">
        <f>IF(A24&lt;Inputs!$B$6,"Construction",IF(A24=Inputs!$B$6,"Opening",IF(A24&lt;=Inputs!$B$6+Inputs!$B$7,"Operations","Outside horizon")))</f>
        <v>Operations</v>
      </c>
      <c r="C24" s="3">
        <f>IF(AND(A24&gt;Inputs!$B$6,A24&lt;=Inputs!$B$6+Inputs!$B$7),A24-Inputs!$B$6,0)</f>
        <v>20</v>
      </c>
      <c r="D24" s="3">
        <f>IF(C24&gt;0,Inputs!$B$3*(1+Inputs!$B$4)^(C24-1),0)</f>
        <v>1137.1275879190382</v>
      </c>
      <c r="E24" s="3">
        <f>Inputs!$B$2*D24*12*Inputs!$B$8</f>
        <v>25926509.00455407</v>
      </c>
      <c r="F24" s="3">
        <f>E24*Inputs!$B$9</f>
        <v>7777952.701366221</v>
      </c>
      <c r="G24" s="3">
        <f>E24*Inputs!$B$10</f>
        <v>1296325.4502277037</v>
      </c>
      <c r="H24" s="3">
        <f>IF(A24&lt;Inputs!$B$6,Inputs!$B$5/Inputs!$B$6,0)+IF(A24=0,Inputs!$B$13,0)</f>
        <v>0</v>
      </c>
      <c r="I24" s="3">
        <f>IF(A24=Inputs!$B$6+Inputs!$B$7,Inputs!$B$14,0)</f>
        <v>0</v>
      </c>
      <c r="J24" s="3">
        <f>E24-F24-G24-H24+I24</f>
        <v>16852230.852960147</v>
      </c>
      <c r="K24" s="14">
        <f>1/(1+Inputs!$B$17)^A24</f>
        <v>0.39604561997335425</v>
      </c>
      <c r="L24" s="3">
        <f>J24*K24</f>
        <v>6674252.21609469</v>
      </c>
      <c r="M24" s="3">
        <f>SUM(J$2:J24)</f>
        <v>205516847.91216287</v>
      </c>
      <c r="N24" s="3">
        <f>SUM(L$2:L24)</f>
        <v>110668977.62434916</v>
      </c>
      <c r="O24" s="6">
        <f>IF(AND(A24&gt;Inputs!$B$6,M24&gt;=0,M23&lt;0),A24-1-M23/J24,0)</f>
        <v>0</v>
      </c>
      <c r="P24" s="6">
        <f>IF(AND(A24&gt;Inputs!$B$6,N24&gt;=0,N23&lt;0),A24-1-N23/L24,0)</f>
        <v>0</v>
      </c>
    </row>
    <row r="25" ht="30" customHeight="1">
      <c r="A25" s="9" t="n">
        <v>23</v>
      </c>
      <c r="B25" s="9" t="str">
        <f>IF(A25&lt;Inputs!$B$6,"Construction",IF(A25=Inputs!$B$6,"Opening",IF(A25&lt;=Inputs!$B$6+Inputs!$B$7,"Operations","Outside horizon")))</f>
        <v>Operations</v>
      </c>
      <c r="C25" s="9">
        <f>IF(AND(A25&gt;Inputs!$B$6,A25&lt;=Inputs!$B$6+Inputs!$B$7),A25-Inputs!$B$6,0)</f>
        <v>21</v>
      </c>
      <c r="D25" s="9">
        <f>IF(C25&gt;0,Inputs!$B$3*(1+Inputs!$B$4)^(C25-1),0)</f>
        <v>1193.98396731499</v>
      </c>
      <c r="E25" s="9">
        <f>Inputs!$B$2*D25*12*Inputs!$B$8</f>
        <v>27222834.45478177</v>
      </c>
      <c r="F25" s="9">
        <f>E25*Inputs!$B$9</f>
        <v>8166850.336434531</v>
      </c>
      <c r="G25" s="9">
        <f>E25*Inputs!$B$10</f>
        <v>1361141.7227390886</v>
      </c>
      <c r="H25" s="9">
        <f>IF(A25&lt;Inputs!$B$6,Inputs!$B$5/Inputs!$B$6,0)+IF(A25=0,Inputs!$B$13,0)</f>
        <v>0</v>
      </c>
      <c r="I25" s="9">
        <f>IF(A25=Inputs!$B$6+Inputs!$B$7,Inputs!$B$14,0)</f>
        <v>0</v>
      </c>
      <c r="J25" s="9">
        <f>E25-F25-G25-H25+I25</f>
        <v>17694842.395608153</v>
      </c>
      <c r="K25" s="15">
        <f>1/(1+Inputs!$B$17)^A25</f>
        <v>0.379717756446169</v>
      </c>
      <c r="L25" s="9">
        <f>J25*K25</f>
        <v>6719045.855128882</v>
      </c>
      <c r="M25" s="9">
        <f>SUM(J$2:J25)</f>
        <v>223211690.30777103</v>
      </c>
      <c r="N25" s="9">
        <f>SUM(L$2:L25)</f>
        <v>117388023.47947805</v>
      </c>
      <c r="O25" s="7">
        <f>IF(AND(A25&gt;Inputs!$B$6,M25&gt;=0,M24&lt;0),A25-1-M24/J25,0)</f>
        <v>0</v>
      </c>
      <c r="P25" s="7">
        <f>IF(AND(A25&gt;Inputs!$B$6,N25&gt;=0,N24&lt;0),A25-1-N24/L25,0)</f>
        <v>0</v>
      </c>
    </row>
    <row r="26" ht="30" customHeight="1">
      <c r="A26" s="3" t="n">
        <v>24</v>
      </c>
      <c r="B26" s="3" t="str">
        <f>IF(A26&lt;Inputs!$B$6,"Construction",IF(A26=Inputs!$B$6,"Opening",IF(A26&lt;=Inputs!$B$6+Inputs!$B$7,"Operations","Outside horizon")))</f>
        <v>Operations</v>
      </c>
      <c r="C26" s="3">
        <f>IF(AND(A26&gt;Inputs!$B$6,A26&lt;=Inputs!$B$6+Inputs!$B$7),A26-Inputs!$B$6,0)</f>
        <v>22</v>
      </c>
      <c r="D26" s="3">
        <f>IF(C26&gt;0,Inputs!$B$3*(1+Inputs!$B$4)^(C26-1),0)</f>
        <v>1253.6831656807396</v>
      </c>
      <c r="E26" s="3">
        <f>Inputs!$B$2*D26*12*Inputs!$B$8</f>
        <v>28583976.17752086</v>
      </c>
      <c r="F26" s="3">
        <f>E26*Inputs!$B$9</f>
        <v>8575192.853256257</v>
      </c>
      <c r="G26" s="3">
        <f>E26*Inputs!$B$10</f>
        <v>1429198.8088760432</v>
      </c>
      <c r="H26" s="3">
        <f>IF(A26&lt;Inputs!$B$6,Inputs!$B$5/Inputs!$B$6,0)+IF(A26=0,Inputs!$B$13,0)</f>
        <v>0</v>
      </c>
      <c r="I26" s="3">
        <f>IF(A26=Inputs!$B$6+Inputs!$B$7,Inputs!$B$14,0)</f>
        <v>0</v>
      </c>
      <c r="J26" s="3">
        <f>E26-F26-G26-H26+I26</f>
        <v>18579584.51538856</v>
      </c>
      <c r="K26" s="14">
        <f>1/(1+Inputs!$B$17)^A26</f>
        <v>0.36406304549009494</v>
      </c>
      <c r="L26" s="3">
        <f>J26*K26</f>
        <v>6764140.122612969</v>
      </c>
      <c r="M26" s="3">
        <f>SUM(J$2:J26)</f>
        <v>241791274.82315958</v>
      </c>
      <c r="N26" s="3">
        <f>SUM(L$2:L26)</f>
        <v>124152163.60209101</v>
      </c>
      <c r="O26" s="6">
        <f>IF(AND(A26&gt;Inputs!$B$6,M26&gt;=0,M25&lt;0),A26-1-M25/J26,0)</f>
        <v>0</v>
      </c>
      <c r="P26" s="6">
        <f>IF(AND(A26&gt;Inputs!$B$6,N26&gt;=0,N25&lt;0),A26-1-N25/L26,0)</f>
        <v>0</v>
      </c>
    </row>
    <row r="27" ht="30" customHeight="1">
      <c r="A27" s="9" t="n">
        <v>25</v>
      </c>
      <c r="B27" s="9" t="str">
        <f>IF(A27&lt;Inputs!$B$6,"Construction",IF(A27=Inputs!$B$6,"Opening",IF(A27&lt;=Inputs!$B$6+Inputs!$B$7,"Operations","Outside horizon")))</f>
        <v>Operations</v>
      </c>
      <c r="C27" s="9">
        <f>IF(AND(A27&gt;Inputs!$B$6,A27&lt;=Inputs!$B$6+Inputs!$B$7),A27-Inputs!$B$6,0)</f>
        <v>23</v>
      </c>
      <c r="D27" s="9">
        <f>IF(C27&gt;0,Inputs!$B$3*(1+Inputs!$B$4)^(C27-1),0)</f>
        <v>1316.3673239647767</v>
      </c>
      <c r="E27" s="9">
        <f>Inputs!$B$2*D27*12*Inputs!$B$8</f>
        <v>30013174.98639691</v>
      </c>
      <c r="F27" s="9">
        <f>E27*Inputs!$B$9</f>
        <v>9003952.495919073</v>
      </c>
      <c r="G27" s="9">
        <f>E27*Inputs!$B$10</f>
        <v>1500658.7493198456</v>
      </c>
      <c r="H27" s="9">
        <f>IF(A27&lt;Inputs!$B$6,Inputs!$B$5/Inputs!$B$6,0)+IF(A27=0,Inputs!$B$13,0)</f>
        <v>0</v>
      </c>
      <c r="I27" s="9">
        <f>IF(A27=Inputs!$B$6+Inputs!$B$7,Inputs!$B$14,0)</f>
        <v>0</v>
      </c>
      <c r="J27" s="9">
        <f>E27-F27-G27-H27+I27</f>
        <v>19508563.74115799</v>
      </c>
      <c r="K27" s="15">
        <f>1/(1+Inputs!$B$17)^A27</f>
        <v>0.3490537348898322</v>
      </c>
      <c r="L27" s="9">
        <f>J27*K27</f>
        <v>6809537.036187554</v>
      </c>
      <c r="M27" s="9">
        <f>SUM(J$2:J27)</f>
        <v>261299838.56431755</v>
      </c>
      <c r="N27" s="9">
        <f>SUM(L$2:L27)</f>
        <v>130961700.63827857</v>
      </c>
      <c r="O27" s="7">
        <f>IF(AND(A27&gt;Inputs!$B$6,M27&gt;=0,M26&lt;0),A27-1-M26/J27,0)</f>
        <v>0</v>
      </c>
      <c r="P27" s="7">
        <f>IF(AND(A27&gt;Inputs!$B$6,N27&gt;=0,N26&lt;0),A27-1-N26/L27,0)</f>
        <v>0</v>
      </c>
    </row>
    <row r="28" ht="30" customHeight="1">
      <c r="A28" s="3" t="n">
        <v>26</v>
      </c>
      <c r="B28" s="3" t="str">
        <f>IF(A28&lt;Inputs!$B$6,"Construction",IF(A28=Inputs!$B$6,"Opening",IF(A28&lt;=Inputs!$B$6+Inputs!$B$7,"Operations","Outside horizon")))</f>
        <v>Operations</v>
      </c>
      <c r="C28" s="3">
        <f>IF(AND(A28&gt;Inputs!$B$6,A28&lt;=Inputs!$B$6+Inputs!$B$7),A28-Inputs!$B$6,0)</f>
        <v>24</v>
      </c>
      <c r="D28" s="3">
        <f>IF(C28&gt;0,Inputs!$B$3*(1+Inputs!$B$4)^(C28-1),0)</f>
        <v>1382.1856901630156</v>
      </c>
      <c r="E28" s="3">
        <f>Inputs!$B$2*D28*12*Inputs!$B$8</f>
        <v>31513833.735716756</v>
      </c>
      <c r="F28" s="3">
        <f>E28*Inputs!$B$9</f>
        <v>9454150.120715026</v>
      </c>
      <c r="G28" s="3">
        <f>E28*Inputs!$B$10</f>
        <v>1575691.6867858379</v>
      </c>
      <c r="H28" s="3">
        <f>IF(A28&lt;Inputs!$B$6,Inputs!$B$5/Inputs!$B$6,0)+IF(A28=0,Inputs!$B$13,0)</f>
        <v>0</v>
      </c>
      <c r="I28" s="3">
        <f>IF(A28=Inputs!$B$6+Inputs!$B$7,Inputs!$B$14,0)</f>
        <v>0</v>
      </c>
      <c r="J28" s="3">
        <f>E28-F28-G28-H28+I28</f>
        <v>20483991.92821589</v>
      </c>
      <c r="K28" s="14">
        <f>1/(1+Inputs!$B$17)^A28</f>
        <v>0.33466321657702036</v>
      </c>
      <c r="L28" s="3">
        <f>J28*K28</f>
        <v>6855238.627034452</v>
      </c>
      <c r="M28" s="3">
        <f>SUM(J$2:J28)</f>
        <v>281783830.49253345</v>
      </c>
      <c r="N28" s="3">
        <f>SUM(L$2:L28)</f>
        <v>137816939.26531303</v>
      </c>
      <c r="O28" s="6">
        <f>IF(AND(A28&gt;Inputs!$B$6,M28&gt;=0,M27&lt;0),A28-1-M27/J28,0)</f>
        <v>0</v>
      </c>
      <c r="P28" s="6">
        <f>IF(AND(A28&gt;Inputs!$B$6,N28&gt;=0,N27&lt;0),A28-1-N27/L28,0)</f>
        <v>0</v>
      </c>
    </row>
    <row r="29" ht="30" customHeight="1">
      <c r="A29" s="9" t="n">
        <v>27</v>
      </c>
      <c r="B29" s="9" t="str">
        <f>IF(A29&lt;Inputs!$B$6,"Construction",IF(A29=Inputs!$B$6,"Opening",IF(A29&lt;=Inputs!$B$6+Inputs!$B$7,"Operations","Outside horizon")))</f>
        <v>Operations</v>
      </c>
      <c r="C29" s="9">
        <f>IF(AND(A29&gt;Inputs!$B$6,A29&lt;=Inputs!$B$6+Inputs!$B$7),A29-Inputs!$B$6,0)</f>
        <v>25</v>
      </c>
      <c r="D29" s="9">
        <f>IF(C29&gt;0,Inputs!$B$3*(1+Inputs!$B$4)^(C29-1),0)</f>
        <v>1451.2949746711663</v>
      </c>
      <c r="E29" s="9">
        <f>Inputs!$B$2*D29*12*Inputs!$B$8</f>
        <v>33089525.422502592</v>
      </c>
      <c r="F29" s="9">
        <f>E29*Inputs!$B$9</f>
        <v>9926857.626750777</v>
      </c>
      <c r="G29" s="9">
        <f>E29*Inputs!$B$10</f>
        <v>1654476.2711251297</v>
      </c>
      <c r="H29" s="9">
        <f>IF(A29&lt;Inputs!$B$6,Inputs!$B$5/Inputs!$B$6,0)+IF(A29=0,Inputs!$B$13,0)</f>
        <v>0</v>
      </c>
      <c r="I29" s="9">
        <f>IF(A29=Inputs!$B$6+Inputs!$B$7,Inputs!$B$14,0)</f>
        <v>0</v>
      </c>
      <c r="J29" s="9">
        <f>E29-F29-G29-H29+I29</f>
        <v>21508191.524626687</v>
      </c>
      <c r="K29" s="15">
        <f>1/(1+Inputs!$B$17)^A29</f>
        <v>0.32086597946023043</v>
      </c>
      <c r="L29" s="9">
        <f>J29*K29</f>
        <v>6901246.939967569</v>
      </c>
      <c r="M29" s="9">
        <f>SUM(J$2:J29)</f>
        <v>303292022.0171601</v>
      </c>
      <c r="N29" s="9">
        <f>SUM(L$2:L29)</f>
        <v>144718186.2052806</v>
      </c>
      <c r="O29" s="7">
        <f>IF(AND(A29&gt;Inputs!$B$6,M29&gt;=0,M28&lt;0),A29-1-M28/J29,0)</f>
        <v>0</v>
      </c>
      <c r="P29" s="7">
        <f>IF(AND(A29&gt;Inputs!$B$6,N29&gt;=0,N28&lt;0),A29-1-N28/L29,0)</f>
        <v>0</v>
      </c>
    </row>
    <row r="30" ht="30" customHeight="1">
      <c r="A30" s="3" t="n">
        <v>28</v>
      </c>
      <c r="B30" s="3" t="str">
        <f>IF(A30&lt;Inputs!$B$6,"Construction",IF(A30=Inputs!$B$6,"Opening",IF(A30&lt;=Inputs!$B$6+Inputs!$B$7,"Operations","Outside horizon")))</f>
        <v>Operations</v>
      </c>
      <c r="C30" s="3">
        <f>IF(AND(A30&gt;Inputs!$B$6,A30&lt;=Inputs!$B$6+Inputs!$B$7),A30-Inputs!$B$6,0)</f>
        <v>26</v>
      </c>
      <c r="D30" s="3">
        <f>IF(C30&gt;0,Inputs!$B$3*(1+Inputs!$B$4)^(C30-1),0)</f>
        <v>1523.8597234047247</v>
      </c>
      <c r="E30" s="3">
        <f>Inputs!$B$2*D30*12*Inputs!$B$8</f>
        <v>34744001.69362772</v>
      </c>
      <c r="F30" s="3">
        <f>E30*Inputs!$B$9</f>
        <v>10423200.508088317</v>
      </c>
      <c r="G30" s="3">
        <f>E30*Inputs!$B$10</f>
        <v>1737200.0846813861</v>
      </c>
      <c r="H30" s="3">
        <f>IF(A30&lt;Inputs!$B$6,Inputs!$B$5/Inputs!$B$6,0)+IF(A30=0,Inputs!$B$13,0)</f>
        <v>0</v>
      </c>
      <c r="I30" s="3">
        <f>IF(A30=Inputs!$B$6+Inputs!$B$7,Inputs!$B$14,0)</f>
        <v>0</v>
      </c>
      <c r="J30" s="3">
        <f>E30-F30-G30-H30+I30</f>
        <v>22583601.10085802</v>
      </c>
      <c r="K30" s="14">
        <f>1/(1+Inputs!$B$17)^A30</f>
        <v>0.3076375641996457</v>
      </c>
      <c r="L30" s="3">
        <f>J30*K30</f>
        <v>6947564.033524399</v>
      </c>
      <c r="M30" s="3">
        <f>SUM(J$2:J30)</f>
        <v>325875623.11801815</v>
      </c>
      <c r="N30" s="3">
        <f>SUM(L$2:L30)</f>
        <v>151665750.238805</v>
      </c>
      <c r="O30" s="6">
        <f>IF(AND(A30&gt;Inputs!$B$6,M30&gt;=0,M29&lt;0),A30-1-M29/J30,0)</f>
        <v>0</v>
      </c>
      <c r="P30" s="6">
        <f>IF(AND(A30&gt;Inputs!$B$6,N30&gt;=0,N29&lt;0),A30-1-N29/L30,0)</f>
        <v>0</v>
      </c>
    </row>
    <row r="31" ht="30" customHeight="1">
      <c r="A31" s="9" t="n">
        <v>29</v>
      </c>
      <c r="B31" s="9" t="str">
        <f>IF(A31&lt;Inputs!$B$6,"Construction",IF(A31=Inputs!$B$6,"Opening",IF(A31&lt;=Inputs!$B$6+Inputs!$B$7,"Operations","Outside horizon")))</f>
        <v>Operations</v>
      </c>
      <c r="C31" s="9">
        <f>IF(AND(A31&gt;Inputs!$B$6,A31&lt;=Inputs!$B$6+Inputs!$B$7),A31-Inputs!$B$6,0)</f>
        <v>27</v>
      </c>
      <c r="D31" s="9">
        <f>IF(C31&gt;0,Inputs!$B$3*(1+Inputs!$B$4)^(C31-1),0)</f>
        <v>1600.052709574961</v>
      </c>
      <c r="E31" s="9">
        <f>Inputs!$B$2*D31*12*Inputs!$B$8</f>
        <v>36481201.778309114</v>
      </c>
      <c r="F31" s="9">
        <f>E31*Inputs!$B$9</f>
        <v>10944360.533492735</v>
      </c>
      <c r="G31" s="9">
        <f>E31*Inputs!$B$10</f>
        <v>1824060.0889154559</v>
      </c>
      <c r="H31" s="9">
        <f>IF(A31&lt;Inputs!$B$6,Inputs!$B$5/Inputs!$B$6,0)+IF(A31=0,Inputs!$B$13,0)</f>
        <v>0</v>
      </c>
      <c r="I31" s="9">
        <f>IF(A31=Inputs!$B$6+Inputs!$B$7,Inputs!$B$14,0)</f>
        <v>0</v>
      </c>
      <c r="J31" s="9">
        <f>E31-F31-G31-H31+I31</f>
        <v>23712781.155900925</v>
      </c>
      <c r="K31" s="15">
        <f>1/(1+Inputs!$B$17)^A31</f>
        <v>0.2949545198462567</v>
      </c>
      <c r="L31" s="9">
        <f>J31*K31</f>
        <v>6994191.9800581215</v>
      </c>
      <c r="M31" s="9">
        <f>SUM(J$2:J31)</f>
        <v>349588404.2739191</v>
      </c>
      <c r="N31" s="9">
        <f>SUM(L$2:L31)</f>
        <v>158659942.21886313</v>
      </c>
      <c r="O31" s="7">
        <f>IF(AND(A31&gt;Inputs!$B$6,M31&gt;=0,M30&lt;0),A31-1-M30/J31,0)</f>
        <v>0</v>
      </c>
      <c r="P31" s="7">
        <f>IF(AND(A31&gt;Inputs!$B$6,N31&gt;=0,N30&lt;0),A31-1-N30/L31,0)</f>
        <v>0</v>
      </c>
    </row>
    <row r="32" ht="30" customHeight="1">
      <c r="A32" s="3" t="n">
        <v>30</v>
      </c>
      <c r="B32" s="3" t="str">
        <f>IF(A32&lt;Inputs!$B$6,"Construction",IF(A32=Inputs!$B$6,"Opening",IF(A32&lt;=Inputs!$B$6+Inputs!$B$7,"Operations","Outside horizon")))</f>
        <v>Operations</v>
      </c>
      <c r="C32" s="3">
        <f>IF(AND(A32&gt;Inputs!$B$6,A32&lt;=Inputs!$B$6+Inputs!$B$7),A32-Inputs!$B$6,0)</f>
        <v>28</v>
      </c>
      <c r="D32" s="3">
        <f>IF(C32&gt;0,Inputs!$B$3*(1+Inputs!$B$4)^(C32-1),0)</f>
        <v>1680.0553450537093</v>
      </c>
      <c r="E32" s="3">
        <f>Inputs!$B$2*D32*12*Inputs!$B$8</f>
        <v>38305261.867224574</v>
      </c>
      <c r="F32" s="3">
        <f>E32*Inputs!$B$9</f>
        <v>11491578.560167372</v>
      </c>
      <c r="G32" s="3">
        <f>E32*Inputs!$B$10</f>
        <v>1915263.0933612287</v>
      </c>
      <c r="H32" s="3">
        <f>IF(A32&lt;Inputs!$B$6,Inputs!$B$5/Inputs!$B$6,0)+IF(A32=0,Inputs!$B$13,0)</f>
        <v>0</v>
      </c>
      <c r="I32" s="3">
        <f>IF(A32=Inputs!$B$6+Inputs!$B$7,Inputs!$B$14,0)</f>
        <v>0</v>
      </c>
      <c r="J32" s="3">
        <f>E32-F32-G32-H32+I32</f>
        <v>24898420.213695973</v>
      </c>
      <c r="K32" s="14">
        <f>1/(1+Inputs!$B$17)^A32</f>
        <v>0.2827943622687025</v>
      </c>
      <c r="L32" s="3">
        <f>J32*K32</f>
        <v>7041132.865830325</v>
      </c>
      <c r="M32" s="3">
        <f>SUM(J$2:J32)</f>
        <v>374486824.4876151</v>
      </c>
      <c r="N32" s="3">
        <f>SUM(L$2:L32)</f>
        <v>165701075.08469346</v>
      </c>
      <c r="O32" s="6">
        <f>IF(AND(A32&gt;Inputs!$B$6,M32&gt;=0,M31&lt;0),A32-1-M31/J32,0)</f>
        <v>0</v>
      </c>
      <c r="P32" s="6">
        <f>IF(AND(A32&gt;Inputs!$B$6,N32&gt;=0,N31&lt;0),A32-1-N31/L32,0)</f>
        <v>0</v>
      </c>
    </row>
    <row r="33" ht="30" customHeight="1">
      <c r="A33" s="9" t="n">
        <v>31</v>
      </c>
      <c r="B33" s="9" t="str">
        <f>IF(A33&lt;Inputs!$B$6,"Construction",IF(A33=Inputs!$B$6,"Opening",IF(A33&lt;=Inputs!$B$6+Inputs!$B$7,"Operations","Outside horizon")))</f>
        <v>Operations</v>
      </c>
      <c r="C33" s="9">
        <f>IF(AND(A33&gt;Inputs!$B$6,A33&lt;=Inputs!$B$6+Inputs!$B$7),A33-Inputs!$B$6,0)</f>
        <v>29</v>
      </c>
      <c r="D33" s="9">
        <f>IF(C33&gt;0,Inputs!$B$3*(1+Inputs!$B$4)^(C33-1),0)</f>
        <v>1764.0581123063948</v>
      </c>
      <c r="E33" s="9">
        <f>Inputs!$B$2*D33*12*Inputs!$B$8</f>
        <v>40220524.9605858</v>
      </c>
      <c r="F33" s="9">
        <f>E33*Inputs!$B$9</f>
        <v>12066157.48817574</v>
      </c>
      <c r="G33" s="9">
        <f>E33*Inputs!$B$10</f>
        <v>2011026.2480292902</v>
      </c>
      <c r="H33" s="9">
        <f>IF(A33&lt;Inputs!$B$6,Inputs!$B$5/Inputs!$B$6,0)+IF(A33=0,Inputs!$B$13,0)</f>
        <v>0</v>
      </c>
      <c r="I33" s="9">
        <f>IF(A33=Inputs!$B$6+Inputs!$B$7,Inputs!$B$14,0)</f>
        <v>0</v>
      </c>
      <c r="J33" s="9">
        <f>E33-F33-G33-H33+I33</f>
        <v>26143341.224380773</v>
      </c>
      <c r="K33" s="15">
        <f>1/(1+Inputs!$B$17)^A33</f>
        <v>0.271135534294058</v>
      </c>
      <c r="L33" s="9">
        <f>J33*K33</f>
        <v>7088388.791104354</v>
      </c>
      <c r="M33" s="9">
        <f>SUM(J$2:J33)</f>
        <v>400630165.7119959</v>
      </c>
      <c r="N33" s="9">
        <f>SUM(L$2:L33)</f>
        <v>172789463.8757978</v>
      </c>
      <c r="O33" s="7">
        <f>IF(AND(A33&gt;Inputs!$B$6,M33&gt;=0,M32&lt;0),A33-1-M32/J33,0)</f>
        <v>0</v>
      </c>
      <c r="P33" s="7">
        <f>IF(AND(A33&gt;Inputs!$B$6,N33&gt;=0,N32&lt;0),A33-1-N32/L33,0)</f>
        <v>0</v>
      </c>
    </row>
    <row r="34" ht="30" customHeight="1">
      <c r="A34" s="3" t="n">
        <v>32</v>
      </c>
      <c r="B34" s="3" t="str">
        <f>IF(A34&lt;Inputs!$B$6,"Construction",IF(A34=Inputs!$B$6,"Opening",IF(A34&lt;=Inputs!$B$6+Inputs!$B$7,"Operations","Outside horizon")))</f>
        <v>Operations</v>
      </c>
      <c r="C34" s="3">
        <f>IF(AND(A34&gt;Inputs!$B$6,A34&lt;=Inputs!$B$6+Inputs!$B$7),A34-Inputs!$B$6,0)</f>
        <v>30</v>
      </c>
      <c r="D34" s="3">
        <f>IF(C34&gt;0,Inputs!$B$3*(1+Inputs!$B$4)^(C34-1),0)</f>
        <v>1852.2610179217147</v>
      </c>
      <c r="E34" s="3">
        <f>Inputs!$B$2*D34*12*Inputs!$B$8</f>
        <v>42231551.208615094</v>
      </c>
      <c r="F34" s="3">
        <f>E34*Inputs!$B$9</f>
        <v>12669465.362584528</v>
      </c>
      <c r="G34" s="3">
        <f>E34*Inputs!$B$10</f>
        <v>2111577.560430755</v>
      </c>
      <c r="H34" s="3">
        <f>IF(A34&lt;Inputs!$B$6,Inputs!$B$5/Inputs!$B$6,0)+IF(A34=0,Inputs!$B$13,0)</f>
        <v>0</v>
      </c>
      <c r="I34" s="3">
        <f>IF(A34=Inputs!$B$6+Inputs!$B$7,Inputs!$B$14,0)</f>
        <v>0</v>
      </c>
      <c r="J34" s="3">
        <f>E34-F34-G34-H34+I34</f>
        <v>27450508.285599813</v>
      </c>
      <c r="K34" s="14">
        <f>1/(1+Inputs!$B$17)^A34</f>
        <v>0.25995736749190607</v>
      </c>
      <c r="L34" s="3">
        <f>J34*K34</f>
        <v>7135961.870239284</v>
      </c>
      <c r="M34" s="3">
        <f>SUM(J$2:J34)</f>
        <v>428080673.9975957</v>
      </c>
      <c r="N34" s="3">
        <f>SUM(L$2:L34)</f>
        <v>179925425.7460371</v>
      </c>
      <c r="O34" s="6">
        <f>IF(AND(A34&gt;Inputs!$B$6,M34&gt;=0,M33&lt;0),A34-1-M33/J34,0)</f>
        <v>0</v>
      </c>
      <c r="P34" s="6">
        <f>IF(AND(A34&gt;Inputs!$B$6,N34&gt;=0,N33&lt;0),A34-1-N33/L34,0)</f>
        <v>0</v>
      </c>
    </row>
    <row r="35" hidden="1" ht="30" customHeight="1">
      <c r="A35" s="9" t="n">
        <v>33</v>
      </c>
      <c r="B35" s="9" t="str">
        <f>IF(A35&lt;Inputs!$B$6,"Construction",IF(A35=Inputs!$B$6,"Opening",IF(A35&lt;=Inputs!$B$6+Inputs!$B$7,"Operations","Outside horizon")))</f>
        <v>Outside horizon</v>
      </c>
      <c r="C35" s="9">
        <f>IF(AND(A35&gt;Inputs!$B$6,A35&lt;=Inputs!$B$6+Inputs!$B$7),A35-Inputs!$B$6,0)</f>
        <v>0</v>
      </c>
      <c r="D35" s="9">
        <f>IF(C35&gt;0,Inputs!$B$3*(1+Inputs!$B$4)^(C35-1),0)</f>
        <v>0</v>
      </c>
      <c r="E35" s="9">
        <f>Inputs!$B$2*D35*12*Inputs!$B$8</f>
        <v>0.0</v>
      </c>
      <c r="F35" s="9">
        <f>E35*Inputs!$B$9</f>
        <v>0.0</v>
      </c>
      <c r="G35" s="9">
        <f>E35*Inputs!$B$10</f>
        <v>0.0</v>
      </c>
      <c r="H35" s="9">
        <f>IF(A35&lt;Inputs!$B$6,Inputs!$B$5/Inputs!$B$6,0)+IF(A35=0,Inputs!$B$13,0)</f>
        <v>0</v>
      </c>
      <c r="I35" s="9">
        <f>IF(A35=Inputs!$B$6+Inputs!$B$7,Inputs!$B$14,0)</f>
        <v>0</v>
      </c>
      <c r="J35" s="9">
        <f>E35-F35-G35-H35+I35</f>
        <v>0.0</v>
      </c>
      <c r="K35" s="15">
        <f>1/(1+Inputs!$B$17)^A35</f>
        <v>0.2492400455339464</v>
      </c>
      <c r="L35" s="9">
        <f>J35*K35</f>
        <v>0.0</v>
      </c>
      <c r="M35" s="9">
        <f>SUM(J$2:J35)</f>
        <v>428080673.9975957</v>
      </c>
      <c r="N35" s="9">
        <f>SUM(L$2:L35)</f>
        <v>179925425.7460371</v>
      </c>
      <c r="O35" s="7">
        <f>IF(AND(A35&gt;Inputs!$B$6,M35&gt;=0,M34&lt;0),A35-1-M34/J35,0)</f>
        <v>0</v>
      </c>
      <c r="P35" s="7">
        <f>IF(AND(A35&gt;Inputs!$B$6,N35&gt;=0,N34&lt;0),A35-1-N34/L35,0)</f>
        <v>0</v>
      </c>
    </row>
    <row r="36" hidden="1" ht="30" customHeight="1">
      <c r="A36" s="3" t="n">
        <v>34</v>
      </c>
      <c r="B36" s="3" t="str">
        <f>IF(A36&lt;Inputs!$B$6,"Construction",IF(A36=Inputs!$B$6,"Opening",IF(A36&lt;=Inputs!$B$6+Inputs!$B$7,"Operations","Outside horizon")))</f>
        <v>Outside horizon</v>
      </c>
      <c r="C36" s="3">
        <f>IF(AND(A36&gt;Inputs!$B$6,A36&lt;=Inputs!$B$6+Inputs!$B$7),A36-Inputs!$B$6,0)</f>
        <v>0</v>
      </c>
      <c r="D36" s="3">
        <f>IF(C36&gt;0,Inputs!$B$3*(1+Inputs!$B$4)^(C36-1),0)</f>
        <v>0</v>
      </c>
      <c r="E36" s="3">
        <f>Inputs!$B$2*D36*12*Inputs!$B$8</f>
        <v>0.0</v>
      </c>
      <c r="F36" s="3">
        <f>E36*Inputs!$B$9</f>
        <v>0.0</v>
      </c>
      <c r="G36" s="3">
        <f>E36*Inputs!$B$10</f>
        <v>0.0</v>
      </c>
      <c r="H36" s="3">
        <f>IF(A36&lt;Inputs!$B$6,Inputs!$B$5/Inputs!$B$6,0)+IF(A36=0,Inputs!$B$13,0)</f>
        <v>0</v>
      </c>
      <c r="I36" s="3">
        <f>IF(A36=Inputs!$B$6+Inputs!$B$7,Inputs!$B$14,0)</f>
        <v>0</v>
      </c>
      <c r="J36" s="3">
        <f>E36-F36-G36-H36+I36</f>
        <v>0.0</v>
      </c>
      <c r="K36" s="14">
        <f>1/(1+Inputs!$B$17)^A36</f>
        <v>0.23896456906418642</v>
      </c>
      <c r="L36" s="3">
        <f>J36*K36</f>
        <v>0.0</v>
      </c>
      <c r="M36" s="3">
        <f>SUM(J$2:J36)</f>
        <v>428080673.9975957</v>
      </c>
      <c r="N36" s="3">
        <f>SUM(L$2:L36)</f>
        <v>179925425.7460371</v>
      </c>
      <c r="O36" s="6">
        <f>IF(AND(A36&gt;Inputs!$B$6,M36&gt;=0,M35&lt;0),A36-1-M35/J36,0)</f>
        <v>0</v>
      </c>
      <c r="P36" s="6">
        <f>IF(AND(A36&gt;Inputs!$B$6,N36&gt;=0,N35&lt;0),A36-1-N35/L36,0)</f>
        <v>0</v>
      </c>
    </row>
    <row r="37" hidden="1" ht="30" customHeight="1">
      <c r="A37" s="9" t="n">
        <v>35</v>
      </c>
      <c r="B37" s="9" t="str">
        <f>IF(A37&lt;Inputs!$B$6,"Construction",IF(A37=Inputs!$B$6,"Opening",IF(A37&lt;=Inputs!$B$6+Inputs!$B$7,"Operations","Outside horizon")))</f>
        <v>Outside horizon</v>
      </c>
      <c r="C37" s="9">
        <f>IF(AND(A37&gt;Inputs!$B$6,A37&lt;=Inputs!$B$6+Inputs!$B$7),A37-Inputs!$B$6,0)</f>
        <v>0</v>
      </c>
      <c r="D37" s="9">
        <f>IF(C37&gt;0,Inputs!$B$3*(1+Inputs!$B$4)^(C37-1),0)</f>
        <v>0</v>
      </c>
      <c r="E37" s="9">
        <f>Inputs!$B$2*D37*12*Inputs!$B$8</f>
        <v>0.0</v>
      </c>
      <c r="F37" s="9">
        <f>E37*Inputs!$B$9</f>
        <v>0.0</v>
      </c>
      <c r="G37" s="9">
        <f>E37*Inputs!$B$10</f>
        <v>0.0</v>
      </c>
      <c r="H37" s="9">
        <f>IF(A37&lt;Inputs!$B$6,Inputs!$B$5/Inputs!$B$6,0)+IF(A37=0,Inputs!$B$13,0)</f>
        <v>0</v>
      </c>
      <c r="I37" s="9">
        <f>IF(A37=Inputs!$B$6+Inputs!$B$7,Inputs!$B$14,0)</f>
        <v>0</v>
      </c>
      <c r="J37" s="9">
        <f>E37-F37-G37-H37+I37</f>
        <v>0.0</v>
      </c>
      <c r="K37" s="15">
        <f>1/(1+Inputs!$B$17)^A37</f>
        <v>0.22911272201743665</v>
      </c>
      <c r="L37" s="9">
        <f>J37*K37</f>
        <v>0.0</v>
      </c>
      <c r="M37" s="9">
        <f>SUM(J$2:J37)</f>
        <v>428080673.9975957</v>
      </c>
      <c r="N37" s="9">
        <f>SUM(L$2:L37)</f>
        <v>179925425.7460371</v>
      </c>
      <c r="O37" s="7">
        <f>IF(AND(A37&gt;Inputs!$B$6,M37&gt;=0,M36&lt;0),A37-1-M36/J37,0)</f>
        <v>0</v>
      </c>
      <c r="P37" s="7">
        <f>IF(AND(A37&gt;Inputs!$B$6,N37&gt;=0,N36&lt;0),A37-1-N36/L37,0)</f>
        <v>0</v>
      </c>
    </row>
    <row r="38" hidden="1" ht="30" customHeight="1">
      <c r="A38" s="3" t="n">
        <v>36</v>
      </c>
      <c r="B38" s="3" t="str">
        <f>IF(A38&lt;Inputs!$B$6,"Construction",IF(A38=Inputs!$B$6,"Opening",IF(A38&lt;=Inputs!$B$6+Inputs!$B$7,"Operations","Outside horizon")))</f>
        <v>Outside horizon</v>
      </c>
      <c r="C38" s="3">
        <f>IF(AND(A38&gt;Inputs!$B$6,A38&lt;=Inputs!$B$6+Inputs!$B$7),A38-Inputs!$B$6,0)</f>
        <v>0</v>
      </c>
      <c r="D38" s="3">
        <f>IF(C38&gt;0,Inputs!$B$3*(1+Inputs!$B$4)^(C38-1),0)</f>
        <v>0</v>
      </c>
      <c r="E38" s="3">
        <f>Inputs!$B$2*D38*12*Inputs!$B$8</f>
        <v>0.0</v>
      </c>
      <c r="F38" s="3">
        <f>E38*Inputs!$B$9</f>
        <v>0.0</v>
      </c>
      <c r="G38" s="3">
        <f>E38*Inputs!$B$10</f>
        <v>0.0</v>
      </c>
      <c r="H38" s="3">
        <f>IF(A38&lt;Inputs!$B$6,Inputs!$B$5/Inputs!$B$6,0)+IF(A38=0,Inputs!$B$13,0)</f>
        <v>0</v>
      </c>
      <c r="I38" s="3">
        <f>IF(A38=Inputs!$B$6+Inputs!$B$7,Inputs!$B$14,0)</f>
        <v>0</v>
      </c>
      <c r="J38" s="3">
        <f>E38-F38-G38-H38+I38</f>
        <v>0.0</v>
      </c>
      <c r="K38" s="14">
        <f>1/(1+Inputs!$B$17)^A38</f>
        <v>0.21966703932640141</v>
      </c>
      <c r="L38" s="3">
        <f>J38*K38</f>
        <v>0.0</v>
      </c>
      <c r="M38" s="3">
        <f>SUM(J$2:J38)</f>
        <v>428080673.9975957</v>
      </c>
      <c r="N38" s="3">
        <f>SUM(L$2:L38)</f>
        <v>179925425.7460371</v>
      </c>
      <c r="O38" s="6">
        <f>IF(AND(A38&gt;Inputs!$B$6,M38&gt;=0,M37&lt;0),A38-1-M37/J38,0)</f>
        <v>0</v>
      </c>
      <c r="P38" s="6">
        <f>IF(AND(A38&gt;Inputs!$B$6,N38&gt;=0,N37&lt;0),A38-1-N37/L38,0)</f>
        <v>0</v>
      </c>
    </row>
    <row r="39" hidden="1" ht="30" customHeight="1">
      <c r="A39" s="9" t="n">
        <v>37</v>
      </c>
      <c r="B39" s="9" t="str">
        <f>IF(A39&lt;Inputs!$B$6,"Construction",IF(A39=Inputs!$B$6,"Opening",IF(A39&lt;=Inputs!$B$6+Inputs!$B$7,"Operations","Outside horizon")))</f>
        <v>Outside horizon</v>
      </c>
      <c r="C39" s="9">
        <f>IF(AND(A39&gt;Inputs!$B$6,A39&lt;=Inputs!$B$6+Inputs!$B$7),A39-Inputs!$B$6,0)</f>
        <v>0</v>
      </c>
      <c r="D39" s="9">
        <f>IF(C39&gt;0,Inputs!$B$3*(1+Inputs!$B$4)^(C39-1),0)</f>
        <v>0</v>
      </c>
      <c r="E39" s="9">
        <f>Inputs!$B$2*D39*12*Inputs!$B$8</f>
        <v>0.0</v>
      </c>
      <c r="F39" s="9">
        <f>E39*Inputs!$B$9</f>
        <v>0.0</v>
      </c>
      <c r="G39" s="9">
        <f>E39*Inputs!$B$10</f>
        <v>0.0</v>
      </c>
      <c r="H39" s="9">
        <f>IF(A39&lt;Inputs!$B$6,Inputs!$B$5/Inputs!$B$6,0)+IF(A39=0,Inputs!$B$13,0)</f>
        <v>0</v>
      </c>
      <c r="I39" s="9">
        <f>IF(A39=Inputs!$B$6+Inputs!$B$7,Inputs!$B$14,0)</f>
        <v>0</v>
      </c>
      <c r="J39" s="9">
        <f>E39-F39-G39-H39+I39</f>
        <v>0.0</v>
      </c>
      <c r="K39" s="15">
        <f>1/(1+Inputs!$B$17)^A39</f>
        <v>0.21061077596011643</v>
      </c>
      <c r="L39" s="9">
        <f>J39*K39</f>
        <v>0.0</v>
      </c>
      <c r="M39" s="9">
        <f>SUM(J$2:J39)</f>
        <v>428080673.9975957</v>
      </c>
      <c r="N39" s="9">
        <f>SUM(L$2:L39)</f>
        <v>179925425.7460371</v>
      </c>
      <c r="O39" s="7">
        <f>IF(AND(A39&gt;Inputs!$B$6,M39&gt;=0,M38&lt;0),A39-1-M38/J39,0)</f>
        <v>0</v>
      </c>
      <c r="P39" s="7">
        <f>IF(AND(A39&gt;Inputs!$B$6,N39&gt;=0,N38&lt;0),A39-1-N38/L39,0)</f>
        <v>0</v>
      </c>
    </row>
    <row r="40" hidden="1" ht="30" customHeight="1">
      <c r="A40" s="3" t="n">
        <v>38</v>
      </c>
      <c r="B40" s="3" t="str">
        <f>IF(A40&lt;Inputs!$B$6,"Construction",IF(A40=Inputs!$B$6,"Opening",IF(A40&lt;=Inputs!$B$6+Inputs!$B$7,"Operations","Outside horizon")))</f>
        <v>Outside horizon</v>
      </c>
      <c r="C40" s="3">
        <f>IF(AND(A40&gt;Inputs!$B$6,A40&lt;=Inputs!$B$6+Inputs!$B$7),A40-Inputs!$B$6,0)</f>
        <v>0</v>
      </c>
      <c r="D40" s="3">
        <f>IF(C40&gt;0,Inputs!$B$3*(1+Inputs!$B$4)^(C40-1),0)</f>
        <v>0</v>
      </c>
      <c r="E40" s="3">
        <f>Inputs!$B$2*D40*12*Inputs!$B$8</f>
        <v>0.0</v>
      </c>
      <c r="F40" s="3">
        <f>E40*Inputs!$B$9</f>
        <v>0.0</v>
      </c>
      <c r="G40" s="3">
        <f>E40*Inputs!$B$10</f>
        <v>0.0</v>
      </c>
      <c r="H40" s="3">
        <f>IF(A40&lt;Inputs!$B$6,Inputs!$B$5/Inputs!$B$6,0)+IF(A40=0,Inputs!$B$13,0)</f>
        <v>0</v>
      </c>
      <c r="I40" s="3">
        <f>IF(A40=Inputs!$B$6+Inputs!$B$7,Inputs!$B$14,0)</f>
        <v>0</v>
      </c>
      <c r="J40" s="3">
        <f>E40-F40-G40-H40+I40</f>
        <v>0.0</v>
      </c>
      <c r="K40" s="14">
        <f>1/(1+Inputs!$B$17)^A40</f>
        <v>0.20192787723884606</v>
      </c>
      <c r="L40" s="3">
        <f>J40*K40</f>
        <v>0.0</v>
      </c>
      <c r="M40" s="3">
        <f>SUM(J$2:J40)</f>
        <v>428080673.9975957</v>
      </c>
      <c r="N40" s="3">
        <f>SUM(L$2:L40)</f>
        <v>179925425.7460371</v>
      </c>
      <c r="O40" s="6">
        <f>IF(AND(A40&gt;Inputs!$B$6,M40&gt;=0,M39&lt;0),A40-1-M39/J40,0)</f>
        <v>0</v>
      </c>
      <c r="P40" s="6">
        <f>IF(AND(A40&gt;Inputs!$B$6,N40&gt;=0,N39&lt;0),A40-1-N39/L40,0)</f>
        <v>0</v>
      </c>
    </row>
    <row r="41" hidden="1" ht="30" customHeight="1">
      <c r="A41" s="9" t="n">
        <v>39</v>
      </c>
      <c r="B41" s="9" t="str">
        <f>IF(A41&lt;Inputs!$B$6,"Construction",IF(A41=Inputs!$B$6,"Opening",IF(A41&lt;=Inputs!$B$6+Inputs!$B$7,"Operations","Outside horizon")))</f>
        <v>Outside horizon</v>
      </c>
      <c r="C41" s="9">
        <f>IF(AND(A41&gt;Inputs!$B$6,A41&lt;=Inputs!$B$6+Inputs!$B$7),A41-Inputs!$B$6,0)</f>
        <v>0</v>
      </c>
      <c r="D41" s="9">
        <f>IF(C41&gt;0,Inputs!$B$3*(1+Inputs!$B$4)^(C41-1),0)</f>
        <v>0</v>
      </c>
      <c r="E41" s="9">
        <f>Inputs!$B$2*D41*12*Inputs!$B$8</f>
        <v>0.0</v>
      </c>
      <c r="F41" s="9">
        <f>E41*Inputs!$B$9</f>
        <v>0.0</v>
      </c>
      <c r="G41" s="9">
        <f>E41*Inputs!$B$10</f>
        <v>0.0</v>
      </c>
      <c r="H41" s="9">
        <f>IF(A41&lt;Inputs!$B$6,Inputs!$B$5/Inputs!$B$6,0)+IF(A41=0,Inputs!$B$13,0)</f>
        <v>0</v>
      </c>
      <c r="I41" s="9">
        <f>IF(A41=Inputs!$B$6+Inputs!$B$7,Inputs!$B$14,0)</f>
        <v>0</v>
      </c>
      <c r="J41" s="9">
        <f>E41-F41-G41-H41+I41</f>
        <v>0.0</v>
      </c>
      <c r="K41" s="15">
        <f>1/(1+Inputs!$B$17)^A41</f>
        <v>0.19360295037281502</v>
      </c>
      <c r="L41" s="9">
        <f>J41*K41</f>
        <v>0.0</v>
      </c>
      <c r="M41" s="9">
        <f>SUM(J$2:J41)</f>
        <v>428080673.9975957</v>
      </c>
      <c r="N41" s="9">
        <f>SUM(L$2:L41)</f>
        <v>179925425.7460371</v>
      </c>
      <c r="O41" s="7">
        <f>IF(AND(A41&gt;Inputs!$B$6,M41&gt;=0,M40&lt;0),A41-1-M40/J41,0)</f>
        <v>0</v>
      </c>
      <c r="P41" s="7">
        <f>IF(AND(A41&gt;Inputs!$B$6,N41&gt;=0,N40&lt;0),A41-1-N40/L41,0)</f>
        <v>0</v>
      </c>
    </row>
    <row r="42" hidden="1" ht="30" customHeight="1">
      <c r="A42" s="3" t="n">
        <v>40</v>
      </c>
      <c r="B42" s="3" t="str">
        <f>IF(A42&lt;Inputs!$B$6,"Construction",IF(A42=Inputs!$B$6,"Opening",IF(A42&lt;=Inputs!$B$6+Inputs!$B$7,"Operations","Outside horizon")))</f>
        <v>Outside horizon</v>
      </c>
      <c r="C42" s="3">
        <f>IF(AND(A42&gt;Inputs!$B$6,A42&lt;=Inputs!$B$6+Inputs!$B$7),A42-Inputs!$B$6,0)</f>
        <v>0</v>
      </c>
      <c r="D42" s="3">
        <f>IF(C42&gt;0,Inputs!$B$3*(1+Inputs!$B$4)^(C42-1),0)</f>
        <v>0</v>
      </c>
      <c r="E42" s="3">
        <f>Inputs!$B$2*D42*12*Inputs!$B$8</f>
        <v>0.0</v>
      </c>
      <c r="F42" s="3">
        <f>E42*Inputs!$B$9</f>
        <v>0.0</v>
      </c>
      <c r="G42" s="3">
        <f>E42*Inputs!$B$10</f>
        <v>0.0</v>
      </c>
      <c r="H42" s="3">
        <f>IF(A42&lt;Inputs!$B$6,Inputs!$B$5/Inputs!$B$6,0)+IF(A42=0,Inputs!$B$13,0)</f>
        <v>0</v>
      </c>
      <c r="I42" s="3">
        <f>IF(A42=Inputs!$B$6+Inputs!$B$7,Inputs!$B$14,0)</f>
        <v>0</v>
      </c>
      <c r="J42" s="3">
        <f>E42-F42-G42-H42+I42</f>
        <v>0.0</v>
      </c>
      <c r="K42" s="14">
        <f>1/(1+Inputs!$B$17)^A42</f>
        <v>0.1856212371743193</v>
      </c>
      <c r="L42" s="3">
        <f>J42*K42</f>
        <v>0.0</v>
      </c>
      <c r="M42" s="3">
        <f>SUM(J$2:J42)</f>
        <v>428080673.9975957</v>
      </c>
      <c r="N42" s="3">
        <f>SUM(L$2:L42)</f>
        <v>179925425.7460371</v>
      </c>
      <c r="O42" s="6">
        <f>IF(AND(A42&gt;Inputs!$B$6,M42&gt;=0,M41&lt;0),A42-1-M41/J42,0)</f>
        <v>0</v>
      </c>
      <c r="P42" s="6">
        <f>IF(AND(A42&gt;Inputs!$B$6,N42&gt;=0,N41&lt;0),A42-1-N41/L42,0)</f>
        <v>0</v>
      </c>
    </row>
    <row r="43" hidden="1" ht="30" customHeight="1">
      <c r="A43" s="9" t="n">
        <v>41</v>
      </c>
      <c r="B43" s="9" t="str">
        <f>IF(A43&lt;Inputs!$B$6,"Construction",IF(A43=Inputs!$B$6,"Opening",IF(A43&lt;=Inputs!$B$6+Inputs!$B$7,"Operations","Outside horizon")))</f>
        <v>Outside horizon</v>
      </c>
      <c r="C43" s="9">
        <f>IF(AND(A43&gt;Inputs!$B$6,A43&lt;=Inputs!$B$6+Inputs!$B$7),A43-Inputs!$B$6,0)</f>
        <v>0</v>
      </c>
      <c r="D43" s="9">
        <f>IF(C43&gt;0,Inputs!$B$3*(1+Inputs!$B$4)^(C43-1),0)</f>
        <v>0</v>
      </c>
      <c r="E43" s="9">
        <f>Inputs!$B$2*D43*12*Inputs!$B$8</f>
        <v>0.0</v>
      </c>
      <c r="F43" s="9">
        <f>E43*Inputs!$B$9</f>
        <v>0.0</v>
      </c>
      <c r="G43" s="9">
        <f>E43*Inputs!$B$10</f>
        <v>0.0</v>
      </c>
      <c r="H43" s="9">
        <f>IF(A43&lt;Inputs!$B$6,Inputs!$B$5/Inputs!$B$6,0)+IF(A43=0,Inputs!$B$13,0)</f>
        <v>0</v>
      </c>
      <c r="I43" s="9">
        <f>IF(A43=Inputs!$B$6+Inputs!$B$7,Inputs!$B$14,0)</f>
        <v>0</v>
      </c>
      <c r="J43" s="9">
        <f>E43-F43-G43-H43+I43</f>
        <v>0.0</v>
      </c>
      <c r="K43" s="15">
        <f>1/(1+Inputs!$B$17)^A43</f>
        <v>0.17796858789484116</v>
      </c>
      <c r="L43" s="9">
        <f>J43*K43</f>
        <v>0.0</v>
      </c>
      <c r="M43" s="9">
        <f>SUM(J$2:J43)</f>
        <v>428080673.9975957</v>
      </c>
      <c r="N43" s="9">
        <f>SUM(L$2:L43)</f>
        <v>179925425.7460371</v>
      </c>
      <c r="O43" s="7">
        <f>IF(AND(A43&gt;Inputs!$B$6,M43&gt;=0,M42&lt;0),A43-1-M42/J43,0)</f>
        <v>0</v>
      </c>
      <c r="P43" s="7">
        <f>IF(AND(A43&gt;Inputs!$B$6,N43&gt;=0,N42&lt;0),A43-1-N42/L43,0)</f>
        <v>0</v>
      </c>
    </row>
    <row r="44" hidden="1" ht="30" customHeight="1">
      <c r="A44" s="3" t="n">
        <v>42</v>
      </c>
      <c r="B44" s="3" t="str">
        <f>IF(A44&lt;Inputs!$B$6,"Construction",IF(A44=Inputs!$B$6,"Opening",IF(A44&lt;=Inputs!$B$6+Inputs!$B$7,"Operations","Outside horizon")))</f>
        <v>Outside horizon</v>
      </c>
      <c r="C44" s="3">
        <f>IF(AND(A44&gt;Inputs!$B$6,A44&lt;=Inputs!$B$6+Inputs!$B$7),A44-Inputs!$B$6,0)</f>
        <v>0</v>
      </c>
      <c r="D44" s="3">
        <f>IF(C44&gt;0,Inputs!$B$3*(1+Inputs!$B$4)^(C44-1),0)</f>
        <v>0</v>
      </c>
      <c r="E44" s="3">
        <f>Inputs!$B$2*D44*12*Inputs!$B$8</f>
        <v>0.0</v>
      </c>
      <c r="F44" s="3">
        <f>E44*Inputs!$B$9</f>
        <v>0.0</v>
      </c>
      <c r="G44" s="3">
        <f>E44*Inputs!$B$10</f>
        <v>0.0</v>
      </c>
      <c r="H44" s="3">
        <f>IF(A44&lt;Inputs!$B$6,Inputs!$B$5/Inputs!$B$6,0)+IF(A44=0,Inputs!$B$13,0)</f>
        <v>0</v>
      </c>
      <c r="I44" s="3">
        <f>IF(A44=Inputs!$B$6+Inputs!$B$7,Inputs!$B$14,0)</f>
        <v>0</v>
      </c>
      <c r="J44" s="3">
        <f>E44-F44-G44-H44+I44</f>
        <v>0.0</v>
      </c>
      <c r="K44" s="14">
        <f>1/(1+Inputs!$B$17)^A44</f>
        <v>0.1706314361407873</v>
      </c>
      <c r="L44" s="3">
        <f>J44*K44</f>
        <v>0.0</v>
      </c>
      <c r="M44" s="3">
        <f>SUM(J$2:J44)</f>
        <v>428080673.9975957</v>
      </c>
      <c r="N44" s="3">
        <f>SUM(L$2:L44)</f>
        <v>179925425.7460371</v>
      </c>
      <c r="O44" s="6">
        <f>IF(AND(A44&gt;Inputs!$B$6,M44&gt;=0,M43&lt;0),A44-1-M43/J44,0)</f>
        <v>0</v>
      </c>
      <c r="P44" s="6">
        <f>IF(AND(A44&gt;Inputs!$B$6,N44&gt;=0,N43&lt;0),A44-1-N43/L44,0)</f>
        <v>0</v>
      </c>
    </row>
    <row r="45" hidden="1" ht="30" customHeight="1">
      <c r="A45" s="9" t="n">
        <v>43</v>
      </c>
      <c r="B45" s="9" t="str">
        <f>IF(A45&lt;Inputs!$B$6,"Construction",IF(A45=Inputs!$B$6,"Opening",IF(A45&lt;=Inputs!$B$6+Inputs!$B$7,"Operations","Outside horizon")))</f>
        <v>Outside horizon</v>
      </c>
      <c r="C45" s="9">
        <f>IF(AND(A45&gt;Inputs!$B$6,A45&lt;=Inputs!$B$6+Inputs!$B$7),A45-Inputs!$B$6,0)</f>
        <v>0</v>
      </c>
      <c r="D45" s="9">
        <f>IF(C45&gt;0,Inputs!$B$3*(1+Inputs!$B$4)^(C45-1),0)</f>
        <v>0</v>
      </c>
      <c r="E45" s="9">
        <f>Inputs!$B$2*D45*12*Inputs!$B$8</f>
        <v>0.0</v>
      </c>
      <c r="F45" s="9">
        <f>E45*Inputs!$B$9</f>
        <v>0.0</v>
      </c>
      <c r="G45" s="9">
        <f>E45*Inputs!$B$10</f>
        <v>0.0</v>
      </c>
      <c r="H45" s="9">
        <f>IF(A45&lt;Inputs!$B$6,Inputs!$B$5/Inputs!$B$6,0)+IF(A45=0,Inputs!$B$13,0)</f>
        <v>0</v>
      </c>
      <c r="I45" s="9">
        <f>IF(A45=Inputs!$B$6+Inputs!$B$7,Inputs!$B$14,0)</f>
        <v>0</v>
      </c>
      <c r="J45" s="9">
        <f>E45-F45-G45-H45+I45</f>
        <v>0.0</v>
      </c>
      <c r="K45" s="15">
        <f>1/(1+Inputs!$B$17)^A45</f>
        <v>0.1635967748233819</v>
      </c>
      <c r="L45" s="9">
        <f>J45*K45</f>
        <v>0.0</v>
      </c>
      <c r="M45" s="9">
        <f>SUM(J$2:J45)</f>
        <v>428080673.9975957</v>
      </c>
      <c r="N45" s="9">
        <f>SUM(L$2:L45)</f>
        <v>179925425.7460371</v>
      </c>
      <c r="O45" s="7">
        <f>IF(AND(A45&gt;Inputs!$B$6,M45&gt;=0,M44&lt;0),A45-1-M44/J45,0)</f>
        <v>0</v>
      </c>
      <c r="P45" s="7">
        <f>IF(AND(A45&gt;Inputs!$B$6,N45&gt;=0,N44&lt;0),A45-1-N44/L45,0)</f>
        <v>0</v>
      </c>
    </row>
    <row r="46" hidden="1" ht="30" customHeight="1">
      <c r="A46" s="3" t="n">
        <v>44</v>
      </c>
      <c r="B46" s="3" t="str">
        <f>IF(A46&lt;Inputs!$B$6,"Construction",IF(A46=Inputs!$B$6,"Opening",IF(A46&lt;=Inputs!$B$6+Inputs!$B$7,"Operations","Outside horizon")))</f>
        <v>Outside horizon</v>
      </c>
      <c r="C46" s="3">
        <f>IF(AND(A46&gt;Inputs!$B$6,A46&lt;=Inputs!$B$6+Inputs!$B$7),A46-Inputs!$B$6,0)</f>
        <v>0</v>
      </c>
      <c r="D46" s="3">
        <f>IF(C46&gt;0,Inputs!$B$3*(1+Inputs!$B$4)^(C46-1),0)</f>
        <v>0</v>
      </c>
      <c r="E46" s="3">
        <f>Inputs!$B$2*D46*12*Inputs!$B$8</f>
        <v>0.0</v>
      </c>
      <c r="F46" s="3">
        <f>E46*Inputs!$B$9</f>
        <v>0.0</v>
      </c>
      <c r="G46" s="3">
        <f>E46*Inputs!$B$10</f>
        <v>0.0</v>
      </c>
      <c r="H46" s="3">
        <f>IF(A46&lt;Inputs!$B$6,Inputs!$B$5/Inputs!$B$6,0)+IF(A46=0,Inputs!$B$13,0)</f>
        <v>0</v>
      </c>
      <c r="I46" s="3">
        <f>IF(A46=Inputs!$B$6+Inputs!$B$7,Inputs!$B$14,0)</f>
        <v>0</v>
      </c>
      <c r="J46" s="3">
        <f>E46-F46-G46-H46+I46</f>
        <v>0.0</v>
      </c>
      <c r="K46" s="14">
        <f>1/(1+Inputs!$B$17)^A46</f>
        <v>0.15685213310007853</v>
      </c>
      <c r="L46" s="3">
        <f>J46*K46</f>
        <v>0.0</v>
      </c>
      <c r="M46" s="3">
        <f>SUM(J$2:J46)</f>
        <v>428080673.9975957</v>
      </c>
      <c r="N46" s="3">
        <f>SUM(L$2:L46)</f>
        <v>179925425.7460371</v>
      </c>
      <c r="O46" s="6">
        <f>IF(AND(A46&gt;Inputs!$B$6,M46&gt;=0,M45&lt;0),A46-1-M45/J46,0)</f>
        <v>0</v>
      </c>
      <c r="P46" s="6">
        <f>IF(AND(A46&gt;Inputs!$B$6,N46&gt;=0,N45&lt;0),A46-1-N45/L46,0)</f>
        <v>0</v>
      </c>
    </row>
    <row r="47" hidden="1" ht="30" customHeight="1">
      <c r="A47" s="9" t="n">
        <v>45</v>
      </c>
      <c r="B47" s="9" t="str">
        <f>IF(A47&lt;Inputs!$B$6,"Construction",IF(A47=Inputs!$B$6,"Opening",IF(A47&lt;=Inputs!$B$6+Inputs!$B$7,"Operations","Outside horizon")))</f>
        <v>Outside horizon</v>
      </c>
      <c r="C47" s="9">
        <f>IF(AND(A47&gt;Inputs!$B$6,A47&lt;=Inputs!$B$6+Inputs!$B$7),A47-Inputs!$B$6,0)</f>
        <v>0</v>
      </c>
      <c r="D47" s="9">
        <f>IF(C47&gt;0,Inputs!$B$3*(1+Inputs!$B$4)^(C47-1),0)</f>
        <v>0</v>
      </c>
      <c r="E47" s="9">
        <f>Inputs!$B$2*D47*12*Inputs!$B$8</f>
        <v>0.0</v>
      </c>
      <c r="F47" s="9">
        <f>E47*Inputs!$B$9</f>
        <v>0.0</v>
      </c>
      <c r="G47" s="9">
        <f>E47*Inputs!$B$10</f>
        <v>0.0</v>
      </c>
      <c r="H47" s="9">
        <f>IF(A47&lt;Inputs!$B$6,Inputs!$B$5/Inputs!$B$6,0)+IF(A47=0,Inputs!$B$13,0)</f>
        <v>0</v>
      </c>
      <c r="I47" s="9">
        <f>IF(A47=Inputs!$B$6+Inputs!$B$7,Inputs!$B$14,0)</f>
        <v>0</v>
      </c>
      <c r="J47" s="9">
        <f>E47-F47-G47-H47+I47</f>
        <v>0.0</v>
      </c>
      <c r="K47" s="15">
        <f>1/(1+Inputs!$B$17)^A47</f>
        <v>0.15038555426661412</v>
      </c>
      <c r="L47" s="9">
        <f>J47*K47</f>
        <v>0.0</v>
      </c>
      <c r="M47" s="9">
        <f>SUM(J$2:J47)</f>
        <v>428080673.9975957</v>
      </c>
      <c r="N47" s="9">
        <f>SUM(L$2:L47)</f>
        <v>179925425.7460371</v>
      </c>
      <c r="O47" s="7">
        <f>IF(AND(A47&gt;Inputs!$B$6,M47&gt;=0,M46&lt;0),A47-1-M46/J47,0)</f>
        <v>0</v>
      </c>
      <c r="P47" s="7">
        <f>IF(AND(A47&gt;Inputs!$B$6,N47&gt;=0,N46&lt;0),A47-1-N46/L47,0)</f>
        <v>0</v>
      </c>
    </row>
    <row r="48" hidden="1" ht="30" customHeight="1">
      <c r="A48" s="3" t="n">
        <v>46</v>
      </c>
      <c r="B48" s="3" t="str">
        <f>IF(A48&lt;Inputs!$B$6,"Construction",IF(A48=Inputs!$B$6,"Opening",IF(A48&lt;=Inputs!$B$6+Inputs!$B$7,"Operations","Outside horizon")))</f>
        <v>Outside horizon</v>
      </c>
      <c r="C48" s="3">
        <f>IF(AND(A48&gt;Inputs!$B$6,A48&lt;=Inputs!$B$6+Inputs!$B$7),A48-Inputs!$B$6,0)</f>
        <v>0</v>
      </c>
      <c r="D48" s="3">
        <f>IF(C48&gt;0,Inputs!$B$3*(1+Inputs!$B$4)^(C48-1),0)</f>
        <v>0</v>
      </c>
      <c r="E48" s="3">
        <f>Inputs!$B$2*D48*12*Inputs!$B$8</f>
        <v>0.0</v>
      </c>
      <c r="F48" s="3">
        <f>E48*Inputs!$B$9</f>
        <v>0.0</v>
      </c>
      <c r="G48" s="3">
        <f>E48*Inputs!$B$10</f>
        <v>0.0</v>
      </c>
      <c r="H48" s="3">
        <f>IF(A48&lt;Inputs!$B$6,Inputs!$B$5/Inputs!$B$6,0)+IF(A48=0,Inputs!$B$13,0)</f>
        <v>0</v>
      </c>
      <c r="I48" s="3">
        <f>IF(A48=Inputs!$B$6+Inputs!$B$7,Inputs!$B$14,0)</f>
        <v>0</v>
      </c>
      <c r="J48" s="3">
        <f>E48-F48-G48-H48+I48</f>
        <v>0.0</v>
      </c>
      <c r="K48" s="14">
        <f>1/(1+Inputs!$B$17)^A48</f>
        <v>0.14418557456051212</v>
      </c>
      <c r="L48" s="3">
        <f>J48*K48</f>
        <v>0.0</v>
      </c>
      <c r="M48" s="3">
        <f>SUM(J$2:J48)</f>
        <v>428080673.9975957</v>
      </c>
      <c r="N48" s="3">
        <f>SUM(L$2:L48)</f>
        <v>179925425.7460371</v>
      </c>
      <c r="O48" s="6">
        <f>IF(AND(A48&gt;Inputs!$B$6,M48&gt;=0,M47&lt;0),A48-1-M47/J48,0)</f>
        <v>0</v>
      </c>
      <c r="P48" s="6">
        <f>IF(AND(A48&gt;Inputs!$B$6,N48&gt;=0,N47&lt;0),A48-1-N47/L48,0)</f>
        <v>0</v>
      </c>
    </row>
    <row r="49" hidden="1" ht="30" customHeight="1">
      <c r="A49" s="9" t="n">
        <v>47</v>
      </c>
      <c r="B49" s="9" t="str">
        <f>IF(A49&lt;Inputs!$B$6,"Construction",IF(A49=Inputs!$B$6,"Opening",IF(A49&lt;=Inputs!$B$6+Inputs!$B$7,"Operations","Outside horizon")))</f>
        <v>Outside horizon</v>
      </c>
      <c r="C49" s="9">
        <f>IF(AND(A49&gt;Inputs!$B$6,A49&lt;=Inputs!$B$6+Inputs!$B$7),A49-Inputs!$B$6,0)</f>
        <v>0</v>
      </c>
      <c r="D49" s="9">
        <f>IF(C49&gt;0,Inputs!$B$3*(1+Inputs!$B$4)^(C49-1),0)</f>
        <v>0</v>
      </c>
      <c r="E49" s="9">
        <f>Inputs!$B$2*D49*12*Inputs!$B$8</f>
        <v>0.0</v>
      </c>
      <c r="F49" s="9">
        <f>E49*Inputs!$B$9</f>
        <v>0.0</v>
      </c>
      <c r="G49" s="9">
        <f>E49*Inputs!$B$10</f>
        <v>0.0</v>
      </c>
      <c r="H49" s="9">
        <f>IF(A49&lt;Inputs!$B$6,Inputs!$B$5/Inputs!$B$6,0)+IF(A49=0,Inputs!$B$13,0)</f>
        <v>0</v>
      </c>
      <c r="I49" s="9">
        <f>IF(A49=Inputs!$B$6+Inputs!$B$7,Inputs!$B$14,0)</f>
        <v>0</v>
      </c>
      <c r="J49" s="9">
        <f>E49-F49-G49-H49+I49</f>
        <v>0.0</v>
      </c>
      <c r="K49" s="15">
        <f>1/(1+Inputs!$B$17)^A49</f>
        <v>0.13824120283845842</v>
      </c>
      <c r="L49" s="9">
        <f>J49*K49</f>
        <v>0.0</v>
      </c>
      <c r="M49" s="9">
        <f>SUM(J$2:J49)</f>
        <v>428080673.9975957</v>
      </c>
      <c r="N49" s="9">
        <f>SUM(L$2:L49)</f>
        <v>179925425.7460371</v>
      </c>
      <c r="O49" s="7">
        <f>IF(AND(A49&gt;Inputs!$B$6,M49&gt;=0,M48&lt;0),A49-1-M48/J49,0)</f>
        <v>0</v>
      </c>
      <c r="P49" s="7">
        <f>IF(AND(A49&gt;Inputs!$B$6,N49&gt;=0,N48&lt;0),A49-1-N48/L49,0)</f>
        <v>0</v>
      </c>
    </row>
    <row r="50" hidden="1" ht="30" customHeight="1">
      <c r="A50" s="3" t="n">
        <v>48</v>
      </c>
      <c r="B50" s="3" t="str">
        <f>IF(A50&lt;Inputs!$B$6,"Construction",IF(A50=Inputs!$B$6,"Opening",IF(A50&lt;=Inputs!$B$6+Inputs!$B$7,"Operations","Outside horizon")))</f>
        <v>Outside horizon</v>
      </c>
      <c r="C50" s="3">
        <f>IF(AND(A50&gt;Inputs!$B$6,A50&lt;=Inputs!$B$6+Inputs!$B$7),A50-Inputs!$B$6,0)</f>
        <v>0</v>
      </c>
      <c r="D50" s="3">
        <f>IF(C50&gt;0,Inputs!$B$3*(1+Inputs!$B$4)^(C50-1),0)</f>
        <v>0</v>
      </c>
      <c r="E50" s="3">
        <f>Inputs!$B$2*D50*12*Inputs!$B$8</f>
        <v>0.0</v>
      </c>
      <c r="F50" s="3">
        <f>E50*Inputs!$B$9</f>
        <v>0.0</v>
      </c>
      <c r="G50" s="3">
        <f>E50*Inputs!$B$10</f>
        <v>0.0</v>
      </c>
      <c r="H50" s="3">
        <f>IF(A50&lt;Inputs!$B$6,Inputs!$B$5/Inputs!$B$6,0)+IF(A50=0,Inputs!$B$13,0)</f>
        <v>0</v>
      </c>
      <c r="I50" s="3">
        <f>IF(A50=Inputs!$B$6+Inputs!$B$7,Inputs!$B$14,0)</f>
        <v>0</v>
      </c>
      <c r="J50" s="3">
        <f>E50-F50-G50-H50+I50</f>
        <v>0.0</v>
      </c>
      <c r="K50" s="14">
        <f>1/(1+Inputs!$B$17)^A50</f>
        <v>0.13254190109152295</v>
      </c>
      <c r="L50" s="3">
        <f>J50*K50</f>
        <v>0.0</v>
      </c>
      <c r="M50" s="3">
        <f>SUM(J$2:J50)</f>
        <v>428080673.9975957</v>
      </c>
      <c r="N50" s="3">
        <f>SUM(L$2:L50)</f>
        <v>179925425.7460371</v>
      </c>
      <c r="O50" s="6">
        <f>IF(AND(A50&gt;Inputs!$B$6,M50&gt;=0,M49&lt;0),A50-1-M49/J50,0)</f>
        <v>0</v>
      </c>
      <c r="P50" s="6">
        <f>IF(AND(A50&gt;Inputs!$B$6,N50&gt;=0,N49&lt;0),A50-1-N49/L50,0)</f>
        <v>0</v>
      </c>
    </row>
    <row r="51" hidden="1" ht="30" customHeight="1">
      <c r="A51" s="9" t="n">
        <v>49</v>
      </c>
      <c r="B51" s="9" t="str">
        <f>IF(A51&lt;Inputs!$B$6,"Construction",IF(A51=Inputs!$B$6,"Opening",IF(A51&lt;=Inputs!$B$6+Inputs!$B$7,"Operations","Outside horizon")))</f>
        <v>Outside horizon</v>
      </c>
      <c r="C51" s="9">
        <f>IF(AND(A51&gt;Inputs!$B$6,A51&lt;=Inputs!$B$6+Inputs!$B$7),A51-Inputs!$B$6,0)</f>
        <v>0</v>
      </c>
      <c r="D51" s="9">
        <f>IF(C51&gt;0,Inputs!$B$3*(1+Inputs!$B$4)^(C51-1),0)</f>
        <v>0</v>
      </c>
      <c r="E51" s="9">
        <f>Inputs!$B$2*D51*12*Inputs!$B$8</f>
        <v>0.0</v>
      </c>
      <c r="F51" s="9">
        <f>E51*Inputs!$B$9</f>
        <v>0.0</v>
      </c>
      <c r="G51" s="9">
        <f>E51*Inputs!$B$10</f>
        <v>0.0</v>
      </c>
      <c r="H51" s="9">
        <f>IF(A51&lt;Inputs!$B$6,Inputs!$B$5/Inputs!$B$6,0)+IF(A51=0,Inputs!$B$13,0)</f>
        <v>0</v>
      </c>
      <c r="I51" s="9">
        <f>IF(A51=Inputs!$B$6+Inputs!$B$7,Inputs!$B$14,0)</f>
        <v>0</v>
      </c>
      <c r="J51" s="9">
        <f>E51-F51-G51-H51+I51</f>
        <v>0.0</v>
      </c>
      <c r="K51" s="15">
        <f>1/(1+Inputs!$B$17)^A51</f>
        <v>0.1270775657636845</v>
      </c>
      <c r="L51" s="9">
        <f>J51*K51</f>
        <v>0.0</v>
      </c>
      <c r="M51" s="9">
        <f>SUM(J$2:J51)</f>
        <v>428080673.9975957</v>
      </c>
      <c r="N51" s="9">
        <f>SUM(L$2:L51)</f>
        <v>179925425.7460371</v>
      </c>
      <c r="O51" s="7">
        <f>IF(AND(A51&gt;Inputs!$B$6,M51&gt;=0,M50&lt;0),A51-1-M50/J51,0)</f>
        <v>0</v>
      </c>
      <c r="P51" s="7">
        <f>IF(AND(A51&gt;Inputs!$B$6,N51&gt;=0,N50&lt;0),A51-1-N50/L51,0)</f>
        <v>0</v>
      </c>
    </row>
    <row r="52" hidden="1" ht="30" customHeight="1">
      <c r="A52" s="3" t="n">
        <v>50</v>
      </c>
      <c r="B52" s="3" t="str">
        <f>IF(A52&lt;Inputs!$B$6,"Construction",IF(A52=Inputs!$B$6,"Opening",IF(A52&lt;=Inputs!$B$6+Inputs!$B$7,"Operations","Outside horizon")))</f>
        <v>Outside horizon</v>
      </c>
      <c r="C52" s="3">
        <f>IF(AND(A52&gt;Inputs!$B$6,A52&lt;=Inputs!$B$6+Inputs!$B$7),A52-Inputs!$B$6,0)</f>
        <v>0</v>
      </c>
      <c r="D52" s="3">
        <f>IF(C52&gt;0,Inputs!$B$3*(1+Inputs!$B$4)^(C52-1),0)</f>
        <v>0</v>
      </c>
      <c r="E52" s="3">
        <f>Inputs!$B$2*D52*12*Inputs!$B$8</f>
        <v>0.0</v>
      </c>
      <c r="F52" s="3">
        <f>E52*Inputs!$B$9</f>
        <v>0.0</v>
      </c>
      <c r="G52" s="3">
        <f>E52*Inputs!$B$10</f>
        <v>0.0</v>
      </c>
      <c r="H52" s="3">
        <f>IF(A52&lt;Inputs!$B$6,Inputs!$B$5/Inputs!$B$6,0)+IF(A52=0,Inputs!$B$13,0)</f>
        <v>0</v>
      </c>
      <c r="I52" s="3">
        <f>IF(A52=Inputs!$B$6+Inputs!$B$7,Inputs!$B$14,0)</f>
        <v>0</v>
      </c>
      <c r="J52" s="3">
        <f>E52-F52-G52-H52+I52</f>
        <v>0.0</v>
      </c>
      <c r="K52" s="14">
        <f>1/(1+Inputs!$B$17)^A52</f>
        <v>0.12183850984054126</v>
      </c>
      <c r="L52" s="3">
        <f>J52*K52</f>
        <v>0.0</v>
      </c>
      <c r="M52" s="3">
        <f>SUM(J$2:J52)</f>
        <v>428080673.9975957</v>
      </c>
      <c r="N52" s="3">
        <f>SUM(L$2:L52)</f>
        <v>179925425.7460371</v>
      </c>
      <c r="O52" s="6">
        <f>IF(AND(A52&gt;Inputs!$B$6,M52&gt;=0,M51&lt;0),A52-1-M51/J52,0)</f>
        <v>0</v>
      </c>
      <c r="P52" s="6">
        <f>IF(AND(A52&gt;Inputs!$B$6,N52&gt;=0,N51&lt;0),A52-1-N51/L52,0)</f>
        <v>0</v>
      </c>
    </row>
    <row r="53" hidden="1" ht="30" customHeight="1">
      <c r="A53" s="9" t="n">
        <v>51</v>
      </c>
      <c r="B53" s="9" t="str">
        <f>IF(A53&lt;Inputs!$B$6,"Construction",IF(A53=Inputs!$B$6,"Opening",IF(A53&lt;=Inputs!$B$6+Inputs!$B$7,"Operations","Outside horizon")))</f>
        <v>Outside horizon</v>
      </c>
      <c r="C53" s="9">
        <f>IF(AND(A53&gt;Inputs!$B$6,A53&lt;=Inputs!$B$6+Inputs!$B$7),A53-Inputs!$B$6,0)</f>
        <v>0</v>
      </c>
      <c r="D53" s="9">
        <f>IF(C53&gt;0,Inputs!$B$3*(1+Inputs!$B$4)^(C53-1),0)</f>
        <v>0</v>
      </c>
      <c r="E53" s="9">
        <f>Inputs!$B$2*D53*12*Inputs!$B$8</f>
        <v>0.0</v>
      </c>
      <c r="F53" s="9">
        <f>E53*Inputs!$B$9</f>
        <v>0.0</v>
      </c>
      <c r="G53" s="9">
        <f>E53*Inputs!$B$10</f>
        <v>0.0</v>
      </c>
      <c r="H53" s="9">
        <f>IF(A53&lt;Inputs!$B$6,Inputs!$B$5/Inputs!$B$6,0)+IF(A53=0,Inputs!$B$13,0)</f>
        <v>0</v>
      </c>
      <c r="I53" s="9">
        <f>IF(A53=Inputs!$B$6+Inputs!$B$7,Inputs!$B$14,0)</f>
        <v>0</v>
      </c>
      <c r="J53" s="9">
        <f>E53-F53-G53-H53+I53</f>
        <v>0.0</v>
      </c>
      <c r="K53" s="15">
        <f>1/(1+Inputs!$B$17)^A53</f>
        <v>0.11681544567645376</v>
      </c>
      <c r="L53" s="9">
        <f>J53*K53</f>
        <v>0.0</v>
      </c>
      <c r="M53" s="9">
        <f>SUM(J$2:J53)</f>
        <v>428080673.9975957</v>
      </c>
      <c r="N53" s="9">
        <f>SUM(L$2:L53)</f>
        <v>179925425.7460371</v>
      </c>
      <c r="O53" s="7">
        <f>IF(AND(A53&gt;Inputs!$B$6,M53&gt;=0,M52&lt;0),A53-1-M52/J53,0)</f>
        <v>0</v>
      </c>
      <c r="P53" s="7">
        <f>IF(AND(A53&gt;Inputs!$B$6,N53&gt;=0,N52&lt;0),A53-1-N52/L53,0)</f>
        <v>0</v>
      </c>
    </row>
    <row r="54" hidden="1" ht="30" customHeight="1">
      <c r="A54" s="3" t="n">
        <v>52</v>
      </c>
      <c r="B54" s="3" t="str">
        <f>IF(A54&lt;Inputs!$B$6,"Construction",IF(A54=Inputs!$B$6,"Opening",IF(A54&lt;=Inputs!$B$6+Inputs!$B$7,"Operations","Outside horizon")))</f>
        <v>Outside horizon</v>
      </c>
      <c r="C54" s="3">
        <f>IF(AND(A54&gt;Inputs!$B$6,A54&lt;=Inputs!$B$6+Inputs!$B$7),A54-Inputs!$B$6,0)</f>
        <v>0</v>
      </c>
      <c r="D54" s="3">
        <f>IF(C54&gt;0,Inputs!$B$3*(1+Inputs!$B$4)^(C54-1),0)</f>
        <v>0</v>
      </c>
      <c r="E54" s="3">
        <f>Inputs!$B$2*D54*12*Inputs!$B$8</f>
        <v>0.0</v>
      </c>
      <c r="F54" s="3">
        <f>E54*Inputs!$B$9</f>
        <v>0.0</v>
      </c>
      <c r="G54" s="3">
        <f>E54*Inputs!$B$10</f>
        <v>0.0</v>
      </c>
      <c r="H54" s="3">
        <f>IF(A54&lt;Inputs!$B$6,Inputs!$B$5/Inputs!$B$6,0)+IF(A54=0,Inputs!$B$13,0)</f>
        <v>0</v>
      </c>
      <c r="I54" s="3">
        <f>IF(A54=Inputs!$B$6+Inputs!$B$7,Inputs!$B$14,0)</f>
        <v>0</v>
      </c>
      <c r="J54" s="3">
        <f>E54-F54-G54-H54+I54</f>
        <v>0.0</v>
      </c>
      <c r="K54" s="14">
        <f>1/(1+Inputs!$B$17)^A54</f>
        <v>0.11199946852967763</v>
      </c>
      <c r="L54" s="3">
        <f>J54*K54</f>
        <v>0.0</v>
      </c>
      <c r="M54" s="3">
        <f>SUM(J$2:J54)</f>
        <v>428080673.9975957</v>
      </c>
      <c r="N54" s="3">
        <f>SUM(L$2:L54)</f>
        <v>179925425.7460371</v>
      </c>
      <c r="O54" s="6">
        <f>IF(AND(A54&gt;Inputs!$B$6,M54&gt;=0,M53&lt;0),A54-1-M53/J54,0)</f>
        <v>0</v>
      </c>
      <c r="P54" s="6">
        <f>IF(AND(A54&gt;Inputs!$B$6,N54&gt;=0,N53&lt;0),A54-1-N53/L54,0)</f>
        <v>0</v>
      </c>
    </row>
    <row r="55" hidden="1" ht="30" customHeight="1">
      <c r="A55" s="9" t="n">
        <v>53</v>
      </c>
      <c r="B55" s="9" t="str">
        <f>IF(A55&lt;Inputs!$B$6,"Construction",IF(A55=Inputs!$B$6,"Opening",IF(A55&lt;=Inputs!$B$6+Inputs!$B$7,"Operations","Outside horizon")))</f>
        <v>Outside horizon</v>
      </c>
      <c r="C55" s="9">
        <f>IF(AND(A55&gt;Inputs!$B$6,A55&lt;=Inputs!$B$6+Inputs!$B$7),A55-Inputs!$B$6,0)</f>
        <v>0</v>
      </c>
      <c r="D55" s="9">
        <f>IF(C55&gt;0,Inputs!$B$3*(1+Inputs!$B$4)^(C55-1),0)</f>
        <v>0</v>
      </c>
      <c r="E55" s="9">
        <f>Inputs!$B$2*D55*12*Inputs!$B$8</f>
        <v>0.0</v>
      </c>
      <c r="F55" s="9">
        <f>E55*Inputs!$B$9</f>
        <v>0.0</v>
      </c>
      <c r="G55" s="9">
        <f>E55*Inputs!$B$10</f>
        <v>0.0</v>
      </c>
      <c r="H55" s="9">
        <f>IF(A55&lt;Inputs!$B$6,Inputs!$B$5/Inputs!$B$6,0)+IF(A55=0,Inputs!$B$13,0)</f>
        <v>0</v>
      </c>
      <c r="I55" s="9">
        <f>IF(A55=Inputs!$B$6+Inputs!$B$7,Inputs!$B$14,0)</f>
        <v>0</v>
      </c>
      <c r="J55" s="9">
        <f>E55-F55-G55-H55+I55</f>
        <v>0.0</v>
      </c>
      <c r="K55" s="15">
        <f>1/(1+Inputs!$B$17)^A55</f>
        <v>0.10738204077629686</v>
      </c>
      <c r="L55" s="9">
        <f>J55*K55</f>
        <v>0.0</v>
      </c>
      <c r="M55" s="9">
        <f>SUM(J$2:J55)</f>
        <v>428080673.9975957</v>
      </c>
      <c r="N55" s="9">
        <f>SUM(L$2:L55)</f>
        <v>179925425.7460371</v>
      </c>
      <c r="O55" s="7">
        <f>IF(AND(A55&gt;Inputs!$B$6,M55&gt;=0,M54&lt;0),A55-1-M54/J55,0)</f>
        <v>0</v>
      </c>
      <c r="P55" s="7">
        <f>IF(AND(A55&gt;Inputs!$B$6,N55&gt;=0,N54&lt;0),A55-1-N54/L55,0)</f>
        <v>0</v>
      </c>
    </row>
    <row r="56" hidden="1" ht="30" customHeight="1">
      <c r="A56" s="3" t="n">
        <v>54</v>
      </c>
      <c r="B56" s="3" t="str">
        <f>IF(A56&lt;Inputs!$B$6,"Construction",IF(A56=Inputs!$B$6,"Opening",IF(A56&lt;=Inputs!$B$6+Inputs!$B$7,"Operations","Outside horizon")))</f>
        <v>Outside horizon</v>
      </c>
      <c r="C56" s="3">
        <f>IF(AND(A56&gt;Inputs!$B$6,A56&lt;=Inputs!$B$6+Inputs!$B$7),A56-Inputs!$B$6,0)</f>
        <v>0</v>
      </c>
      <c r="D56" s="3">
        <f>IF(C56&gt;0,Inputs!$B$3*(1+Inputs!$B$4)^(C56-1),0)</f>
        <v>0</v>
      </c>
      <c r="E56" s="3">
        <f>Inputs!$B$2*D56*12*Inputs!$B$8</f>
        <v>0.0</v>
      </c>
      <c r="F56" s="3">
        <f>E56*Inputs!$B$9</f>
        <v>0.0</v>
      </c>
      <c r="G56" s="3">
        <f>E56*Inputs!$B$10</f>
        <v>0.0</v>
      </c>
      <c r="H56" s="3">
        <f>IF(A56&lt;Inputs!$B$6,Inputs!$B$5/Inputs!$B$6,0)+IF(A56=0,Inputs!$B$13,0)</f>
        <v>0</v>
      </c>
      <c r="I56" s="3">
        <f>IF(A56=Inputs!$B$6+Inputs!$B$7,Inputs!$B$14,0)</f>
        <v>0</v>
      </c>
      <c r="J56" s="3">
        <f>E56-F56-G56-H56+I56</f>
        <v>0.0</v>
      </c>
      <c r="K56" s="14">
        <f>1/(1+Inputs!$B$17)^A56</f>
        <v>0.10295497677497303</v>
      </c>
      <c r="L56" s="3">
        <f>J56*K56</f>
        <v>0.0</v>
      </c>
      <c r="M56" s="3">
        <f>SUM(J$2:J56)</f>
        <v>428080673.9975957</v>
      </c>
      <c r="N56" s="3">
        <f>SUM(L$2:L56)</f>
        <v>179925425.7460371</v>
      </c>
      <c r="O56" s="6">
        <f>IF(AND(A56&gt;Inputs!$B$6,M56&gt;=0,M55&lt;0),A56-1-M55/J56,0)</f>
        <v>0</v>
      </c>
      <c r="P56" s="6">
        <f>IF(AND(A56&gt;Inputs!$B$6,N56&gt;=0,N55&lt;0),A56-1-N55/L56,0)</f>
        <v>0</v>
      </c>
    </row>
    <row r="57" hidden="1" ht="30" customHeight="1">
      <c r="A57" s="9" t="n">
        <v>55</v>
      </c>
      <c r="B57" s="9" t="str">
        <f>IF(A57&lt;Inputs!$B$6,"Construction",IF(A57=Inputs!$B$6,"Opening",IF(A57&lt;=Inputs!$B$6+Inputs!$B$7,"Operations","Outside horizon")))</f>
        <v>Outside horizon</v>
      </c>
      <c r="C57" s="9">
        <f>IF(AND(A57&gt;Inputs!$B$6,A57&lt;=Inputs!$B$6+Inputs!$B$7),A57-Inputs!$B$6,0)</f>
        <v>0</v>
      </c>
      <c r="D57" s="9">
        <f>IF(C57&gt;0,Inputs!$B$3*(1+Inputs!$B$4)^(C57-1),0)</f>
        <v>0</v>
      </c>
      <c r="E57" s="9">
        <f>Inputs!$B$2*D57*12*Inputs!$B$8</f>
        <v>0.0</v>
      </c>
      <c r="F57" s="9">
        <f>E57*Inputs!$B$9</f>
        <v>0.0</v>
      </c>
      <c r="G57" s="9">
        <f>E57*Inputs!$B$10</f>
        <v>0.0</v>
      </c>
      <c r="H57" s="9">
        <f>IF(A57&lt;Inputs!$B$6,Inputs!$B$5/Inputs!$B$6,0)+IF(A57=0,Inputs!$B$13,0)</f>
        <v>0</v>
      </c>
      <c r="I57" s="9">
        <f>IF(A57=Inputs!$B$6+Inputs!$B$7,Inputs!$B$14,0)</f>
        <v>0</v>
      </c>
      <c r="J57" s="9">
        <f>E57-F57-G57-H57+I57</f>
        <v>0.0</v>
      </c>
      <c r="K57" s="15">
        <f>1/(1+Inputs!$B$17)^A57</f>
        <v>0.09871042835567885</v>
      </c>
      <c r="L57" s="9">
        <f>J57*K57</f>
        <v>0.0</v>
      </c>
      <c r="M57" s="9">
        <f>SUM(J$2:J57)</f>
        <v>428080673.9975957</v>
      </c>
      <c r="N57" s="9">
        <f>SUM(L$2:L57)</f>
        <v>179925425.7460371</v>
      </c>
      <c r="O57" s="7">
        <f>IF(AND(A57&gt;Inputs!$B$6,M57&gt;=0,M56&lt;0),A57-1-M56/J57,0)</f>
        <v>0</v>
      </c>
      <c r="P57" s="7">
        <f>IF(AND(A57&gt;Inputs!$B$6,N57&gt;=0,N56&lt;0),A57-1-N56/L57,0)</f>
        <v>0</v>
      </c>
    </row>
    <row r="58" hidden="1" ht="30" customHeight="1">
      <c r="A58" s="3" t="n">
        <v>56</v>
      </c>
      <c r="B58" s="3" t="str">
        <f>IF(A58&lt;Inputs!$B$6,"Construction",IF(A58=Inputs!$B$6,"Opening",IF(A58&lt;=Inputs!$B$6+Inputs!$B$7,"Operations","Outside horizon")))</f>
        <v>Outside horizon</v>
      </c>
      <c r="C58" s="3">
        <f>IF(AND(A58&gt;Inputs!$B$6,A58&lt;=Inputs!$B$6+Inputs!$B$7),A58-Inputs!$B$6,0)</f>
        <v>0</v>
      </c>
      <c r="D58" s="3">
        <f>IF(C58&gt;0,Inputs!$B$3*(1+Inputs!$B$4)^(C58-1),0)</f>
        <v>0</v>
      </c>
      <c r="E58" s="3">
        <f>Inputs!$B$2*D58*12*Inputs!$B$8</f>
        <v>0.0</v>
      </c>
      <c r="F58" s="3">
        <f>E58*Inputs!$B$9</f>
        <v>0.0</v>
      </c>
      <c r="G58" s="3">
        <f>E58*Inputs!$B$10</f>
        <v>0.0</v>
      </c>
      <c r="H58" s="3">
        <f>IF(A58&lt;Inputs!$B$6,Inputs!$B$5/Inputs!$B$6,0)+IF(A58=0,Inputs!$B$13,0)</f>
        <v>0</v>
      </c>
      <c r="I58" s="3">
        <f>IF(A58=Inputs!$B$6+Inputs!$B$7,Inputs!$B$14,0)</f>
        <v>0</v>
      </c>
      <c r="J58" s="3">
        <f>E58-F58-G58-H58+I58</f>
        <v>0.0</v>
      </c>
      <c r="K58" s="14">
        <f>1/(1+Inputs!$B$17)^A58</f>
        <v>0.09464087090669114</v>
      </c>
      <c r="L58" s="3">
        <f>J58*K58</f>
        <v>0.0</v>
      </c>
      <c r="M58" s="3">
        <f>SUM(J$2:J58)</f>
        <v>428080673.9975957</v>
      </c>
      <c r="N58" s="3">
        <f>SUM(L$2:L58)</f>
        <v>179925425.7460371</v>
      </c>
      <c r="O58" s="6">
        <f>IF(AND(A58&gt;Inputs!$B$6,M58&gt;=0,M57&lt;0),A58-1-M57/J58,0)</f>
        <v>0</v>
      </c>
      <c r="P58" s="6">
        <f>IF(AND(A58&gt;Inputs!$B$6,N58&gt;=0,N57&lt;0),A58-1-N57/L58,0)</f>
        <v>0</v>
      </c>
    </row>
    <row r="59" hidden="1" ht="30" customHeight="1">
      <c r="A59" s="9" t="n">
        <v>57</v>
      </c>
      <c r="B59" s="9" t="str">
        <f>IF(A59&lt;Inputs!$B$6,"Construction",IF(A59=Inputs!$B$6,"Opening",IF(A59&lt;=Inputs!$B$6+Inputs!$B$7,"Operations","Outside horizon")))</f>
        <v>Outside horizon</v>
      </c>
      <c r="C59" s="9">
        <f>IF(AND(A59&gt;Inputs!$B$6,A59&lt;=Inputs!$B$6+Inputs!$B$7),A59-Inputs!$B$6,0)</f>
        <v>0</v>
      </c>
      <c r="D59" s="9">
        <f>IF(C59&gt;0,Inputs!$B$3*(1+Inputs!$B$4)^(C59-1),0)</f>
        <v>0</v>
      </c>
      <c r="E59" s="9">
        <f>Inputs!$B$2*D59*12*Inputs!$B$8</f>
        <v>0.0</v>
      </c>
      <c r="F59" s="9">
        <f>E59*Inputs!$B$9</f>
        <v>0.0</v>
      </c>
      <c r="G59" s="9">
        <f>E59*Inputs!$B$10</f>
        <v>0.0</v>
      </c>
      <c r="H59" s="9">
        <f>IF(A59&lt;Inputs!$B$6,Inputs!$B$5/Inputs!$B$6,0)+IF(A59=0,Inputs!$B$13,0)</f>
        <v>0</v>
      </c>
      <c r="I59" s="9">
        <f>IF(A59=Inputs!$B$6+Inputs!$B$7,Inputs!$B$14,0)</f>
        <v>0</v>
      </c>
      <c r="J59" s="9">
        <f>E59-F59-G59-H59+I59</f>
        <v>0.0</v>
      </c>
      <c r="K59" s="15">
        <f>1/(1+Inputs!$B$17)^A59</f>
        <v>0.09073909003517847</v>
      </c>
      <c r="L59" s="9">
        <f>J59*K59</f>
        <v>0.0</v>
      </c>
      <c r="M59" s="9">
        <f>SUM(J$2:J59)</f>
        <v>428080673.9975957</v>
      </c>
      <c r="N59" s="9">
        <f>SUM(L$2:L59)</f>
        <v>179925425.7460371</v>
      </c>
      <c r="O59" s="7">
        <f>IF(AND(A59&gt;Inputs!$B$6,M59&gt;=0,M58&lt;0),A59-1-M58/J59,0)</f>
        <v>0</v>
      </c>
      <c r="P59" s="7">
        <f>IF(AND(A59&gt;Inputs!$B$6,N59&gt;=0,N58&lt;0),A59-1-N58/L59,0)</f>
        <v>0</v>
      </c>
    </row>
    <row r="60" hidden="1" ht="30" customHeight="1">
      <c r="A60" s="3" t="n">
        <v>58</v>
      </c>
      <c r="B60" s="3" t="str">
        <f>IF(A60&lt;Inputs!$B$6,"Construction",IF(A60=Inputs!$B$6,"Opening",IF(A60&lt;=Inputs!$B$6+Inputs!$B$7,"Operations","Outside horizon")))</f>
        <v>Outside horizon</v>
      </c>
      <c r="C60" s="3">
        <f>IF(AND(A60&gt;Inputs!$B$6,A60&lt;=Inputs!$B$6+Inputs!$B$7),A60-Inputs!$B$6,0)</f>
        <v>0</v>
      </c>
      <c r="D60" s="3">
        <f>IF(C60&gt;0,Inputs!$B$3*(1+Inputs!$B$4)^(C60-1),0)</f>
        <v>0</v>
      </c>
      <c r="E60" s="3">
        <f>Inputs!$B$2*D60*12*Inputs!$B$8</f>
        <v>0.0</v>
      </c>
      <c r="F60" s="3">
        <f>E60*Inputs!$B$9</f>
        <v>0.0</v>
      </c>
      <c r="G60" s="3">
        <f>E60*Inputs!$B$10</f>
        <v>0.0</v>
      </c>
      <c r="H60" s="3">
        <f>IF(A60&lt;Inputs!$B$6,Inputs!$B$5/Inputs!$B$6,0)+IF(A60=0,Inputs!$B$13,0)</f>
        <v>0</v>
      </c>
      <c r="I60" s="3">
        <f>IF(A60=Inputs!$B$6+Inputs!$B$7,Inputs!$B$14,0)</f>
        <v>0</v>
      </c>
      <c r="J60" s="3">
        <f>E60-F60-G60-H60+I60</f>
        <v>0.0</v>
      </c>
      <c r="K60" s="14">
        <f>1/(1+Inputs!$B$17)^A60</f>
        <v>0.08699816877773583</v>
      </c>
      <c r="L60" s="3">
        <f>J60*K60</f>
        <v>0.0</v>
      </c>
      <c r="M60" s="3">
        <f>SUM(J$2:J60)</f>
        <v>428080673.9975957</v>
      </c>
      <c r="N60" s="3">
        <f>SUM(L$2:L60)</f>
        <v>179925425.7460371</v>
      </c>
      <c r="O60" s="6">
        <f>IF(AND(A60&gt;Inputs!$B$6,M60&gt;=0,M59&lt;0),A60-1-M59/J60,0)</f>
        <v>0</v>
      </c>
      <c r="P60" s="6">
        <f>IF(AND(A60&gt;Inputs!$B$6,N60&gt;=0,N59&lt;0),A60-1-N59/L60,0)</f>
        <v>0</v>
      </c>
    </row>
    <row r="61" hidden="1" ht="30" customHeight="1">
      <c r="A61" s="9" t="n">
        <v>59</v>
      </c>
      <c r="B61" s="9" t="str">
        <f>IF(A61&lt;Inputs!$B$6,"Construction",IF(A61=Inputs!$B$6,"Opening",IF(A61&lt;=Inputs!$B$6+Inputs!$B$7,"Operations","Outside horizon")))</f>
        <v>Outside horizon</v>
      </c>
      <c r="C61" s="9">
        <f>IF(AND(A61&gt;Inputs!$B$6,A61&lt;=Inputs!$B$6+Inputs!$B$7),A61-Inputs!$B$6,0)</f>
        <v>0</v>
      </c>
      <c r="D61" s="9">
        <f>IF(C61&gt;0,Inputs!$B$3*(1+Inputs!$B$4)^(C61-1),0)</f>
        <v>0</v>
      </c>
      <c r="E61" s="9">
        <f>Inputs!$B$2*D61*12*Inputs!$B$8</f>
        <v>0.0</v>
      </c>
      <c r="F61" s="9">
        <f>E61*Inputs!$B$9</f>
        <v>0.0</v>
      </c>
      <c r="G61" s="9">
        <f>E61*Inputs!$B$10</f>
        <v>0.0</v>
      </c>
      <c r="H61" s="9">
        <f>IF(A61&lt;Inputs!$B$6,Inputs!$B$5/Inputs!$B$6,0)+IF(A61=0,Inputs!$B$13,0)</f>
        <v>0</v>
      </c>
      <c r="I61" s="9">
        <f>IF(A61=Inputs!$B$6+Inputs!$B$7,Inputs!$B$14,0)</f>
        <v>0</v>
      </c>
      <c r="J61" s="9">
        <f>E61-F61-G61-H61+I61</f>
        <v>0.0</v>
      </c>
      <c r="K61" s="15">
        <f>1/(1+Inputs!$B$17)^A61</f>
        <v>0.08341147533819351</v>
      </c>
      <c r="L61" s="9">
        <f>J61*K61</f>
        <v>0.0</v>
      </c>
      <c r="M61" s="9">
        <f>SUM(J$2:J61)</f>
        <v>428080673.9975957</v>
      </c>
      <c r="N61" s="9">
        <f>SUM(L$2:L61)</f>
        <v>179925425.7460371</v>
      </c>
      <c r="O61" s="7">
        <f>IF(AND(A61&gt;Inputs!$B$6,M61&gt;=0,M60&lt;0),A61-1-M60/J61,0)</f>
        <v>0</v>
      </c>
      <c r="P61" s="7">
        <f>IF(AND(A61&gt;Inputs!$B$6,N61&gt;=0,N60&lt;0),A61-1-N60/L61,0)</f>
        <v>0</v>
      </c>
    </row>
    <row r="62" hidden="1" ht="30" customHeight="1">
      <c r="A62" s="3" t="n">
        <v>60</v>
      </c>
      <c r="B62" s="3" t="str">
        <f>IF(A62&lt;Inputs!$B$6,"Construction",IF(A62=Inputs!$B$6,"Opening",IF(A62&lt;=Inputs!$B$6+Inputs!$B$7,"Operations","Outside horizon")))</f>
        <v>Outside horizon</v>
      </c>
      <c r="C62" s="3">
        <f>IF(AND(A62&gt;Inputs!$B$6,A62&lt;=Inputs!$B$6+Inputs!$B$7),A62-Inputs!$B$6,0)</f>
        <v>0</v>
      </c>
      <c r="D62" s="3">
        <f>IF(C62&gt;0,Inputs!$B$3*(1+Inputs!$B$4)^(C62-1),0)</f>
        <v>0</v>
      </c>
      <c r="E62" s="3">
        <f>Inputs!$B$2*D62*12*Inputs!$B$8</f>
        <v>0.0</v>
      </c>
      <c r="F62" s="3">
        <f>E62*Inputs!$B$9</f>
        <v>0.0</v>
      </c>
      <c r="G62" s="3">
        <f>E62*Inputs!$B$10</f>
        <v>0.0</v>
      </c>
      <c r="H62" s="3">
        <f>IF(A62&lt;Inputs!$B$6,Inputs!$B$5/Inputs!$B$6,0)+IF(A62=0,Inputs!$B$13,0)</f>
        <v>0</v>
      </c>
      <c r="I62" s="3">
        <f>IF(A62=Inputs!$B$6+Inputs!$B$7,Inputs!$B$14,0)</f>
        <v>0</v>
      </c>
      <c r="J62" s="3">
        <f>E62-F62-G62-H62+I62</f>
        <v>0.0</v>
      </c>
      <c r="K62" s="14">
        <f>1/(1+Inputs!$B$17)^A62</f>
        <v>0.07997265133096215</v>
      </c>
      <c r="L62" s="3">
        <f>J62*K62</f>
        <v>0.0</v>
      </c>
      <c r="M62" s="3">
        <f>SUM(J$2:J62)</f>
        <v>428080673.9975957</v>
      </c>
      <c r="N62" s="3">
        <f>SUM(L$2:L62)</f>
        <v>179925425.7460371</v>
      </c>
      <c r="O62" s="6">
        <f>IF(AND(A62&gt;Inputs!$B$6,M62&gt;=0,M61&lt;0),A62-1-M61/J62,0)</f>
        <v>0</v>
      </c>
      <c r="P62" s="6">
        <f>IF(AND(A62&gt;Inputs!$B$6,N62&gt;=0,N61&lt;0),A62-1-N61/L62,0)</f>
        <v>0</v>
      </c>
    </row>
  </sheetData>
  <autoFilter ref="A1:P62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T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hidden="1" width="21" customWidth="1" min="12" max="12"/>
    <col hidden="1" width="21" customWidth="1" min="13" max="13"/>
    <col hidden="1" width="21" customWidth="1" min="14" max="14"/>
    <col hidden="1" width="21" customWidth="1" min="15" max="15"/>
    <col hidden="1" width="21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 ht="35" customHeight="1">
      <c r="A1" s="1" t="inlineStr">
        <is>
          <t>Scenario</t>
        </is>
      </c>
      <c r="B1" s="1" t="inlineStr">
        <is>
          <t>Construction cost EUR</t>
        </is>
      </c>
      <c r="C1" s="1" t="inlineStr">
        <is>
          <t>Occupancy</t>
        </is>
      </c>
      <c r="D1" s="1" t="inlineStr">
        <is>
          <t>Rent growth</t>
        </is>
      </c>
      <c r="E1" s="1" t="inlineStr">
        <is>
          <t>Total expense share</t>
        </is>
      </c>
      <c r="F1" s="1" t="inlineStr">
        <is>
          <t>Discount rate</t>
        </is>
      </c>
      <c r="G1" s="1" t="inlineStr">
        <is>
          <t>NPV EUR</t>
        </is>
      </c>
      <c r="H1" s="1" t="inlineStr">
        <is>
          <t>IRR</t>
        </is>
      </c>
      <c r="I1" s="1" t="inlineStr">
        <is>
          <t>Simple payback yrs</t>
        </is>
      </c>
      <c r="J1" s="1" t="inlineStr">
        <is>
          <t>Discounted payback yrs</t>
        </is>
      </c>
      <c r="K1" s="1" t="inlineStr">
        <is>
          <t>Financial tests</t>
        </is>
      </c>
      <c r="L1" s="1" t="n">
        <v>0</v>
      </c>
      <c r="M1" s="1" t="n">
        <v>1</v>
      </c>
      <c r="N1" s="1" t="n">
        <v>2</v>
      </c>
      <c r="O1" s="1" t="n">
        <v>3</v>
      </c>
      <c r="P1" s="1" t="n">
        <v>4</v>
      </c>
      <c r="Q1" s="1" t="n">
        <v>5</v>
      </c>
      <c r="R1" s="1" t="n">
        <v>6</v>
      </c>
      <c r="S1" s="1" t="n">
        <v>7</v>
      </c>
      <c r="T1" s="1" t="n">
        <v>8</v>
      </c>
      <c r="U1" s="1" t="n">
        <v>9</v>
      </c>
      <c r="V1" s="1" t="n">
        <v>10</v>
      </c>
      <c r="W1" s="1" t="n">
        <v>11</v>
      </c>
      <c r="X1" s="1" t="n">
        <v>12</v>
      </c>
      <c r="Y1" s="1" t="n">
        <v>13</v>
      </c>
      <c r="Z1" s="1" t="n">
        <v>14</v>
      </c>
      <c r="AA1" s="1" t="n">
        <v>15</v>
      </c>
      <c r="AB1" s="1" t="n">
        <v>16</v>
      </c>
      <c r="AC1" s="1" t="n">
        <v>17</v>
      </c>
      <c r="AD1" s="1" t="n">
        <v>18</v>
      </c>
      <c r="AE1" s="1" t="n">
        <v>19</v>
      </c>
      <c r="AF1" s="1" t="n">
        <v>20</v>
      </c>
      <c r="AG1" s="1" t="n">
        <v>21</v>
      </c>
      <c r="AH1" s="1" t="n">
        <v>22</v>
      </c>
      <c r="AI1" s="1" t="n">
        <v>23</v>
      </c>
      <c r="AJ1" s="1" t="n">
        <v>24</v>
      </c>
      <c r="AK1" s="1" t="n">
        <v>25</v>
      </c>
      <c r="AL1" s="1" t="n">
        <v>26</v>
      </c>
      <c r="AM1" s="1" t="n">
        <v>27</v>
      </c>
      <c r="AN1" s="1" t="n">
        <v>28</v>
      </c>
      <c r="AO1" s="1" t="n">
        <v>29</v>
      </c>
      <c r="AP1" s="1" t="n">
        <v>30</v>
      </c>
      <c r="AQ1" s="1" t="n">
        <v>31</v>
      </c>
      <c r="AR1" s="1" t="n">
        <v>32</v>
      </c>
      <c r="AS1" s="1" t="n">
        <v>33</v>
      </c>
      <c r="AT1" s="1" t="n">
        <v>34</v>
      </c>
      <c r="AU1" s="1" t="n">
        <v>35</v>
      </c>
      <c r="AV1" s="1" t="n">
        <v>36</v>
      </c>
      <c r="AW1" s="1" t="n">
        <v>37</v>
      </c>
      <c r="AX1" s="1" t="n">
        <v>38</v>
      </c>
      <c r="AY1" s="1" t="n">
        <v>39</v>
      </c>
      <c r="AZ1" s="1" t="n">
        <v>40</v>
      </c>
      <c r="BA1" s="1" t="n">
        <v>41</v>
      </c>
      <c r="BB1" s="1" t="n">
        <v>42</v>
      </c>
      <c r="BC1" s="1" t="n">
        <v>43</v>
      </c>
      <c r="BD1" s="1" t="n">
        <v>44</v>
      </c>
      <c r="BE1" s="1" t="n">
        <v>45</v>
      </c>
      <c r="BF1" s="1" t="n">
        <v>46</v>
      </c>
      <c r="BG1" s="1" t="n">
        <v>47</v>
      </c>
      <c r="BH1" s="1" t="n">
        <v>48</v>
      </c>
      <c r="BI1" s="1" t="n">
        <v>49</v>
      </c>
      <c r="BJ1" s="1" t="n">
        <v>50</v>
      </c>
      <c r="BK1" s="1" t="n">
        <v>51</v>
      </c>
      <c r="BL1" s="1" t="n">
        <v>52</v>
      </c>
      <c r="BM1" s="1" t="n">
        <v>53</v>
      </c>
      <c r="BN1" s="1" t="n">
        <v>54</v>
      </c>
      <c r="BO1" s="1" t="n">
        <v>55</v>
      </c>
      <c r="BP1" s="1" t="n">
        <v>56</v>
      </c>
      <c r="BQ1" s="1" t="n">
        <v>57</v>
      </c>
      <c r="BR1" s="1" t="n">
        <v>58</v>
      </c>
      <c r="BS1" s="1" t="n">
        <v>59</v>
      </c>
      <c r="BT1" s="1" t="n">
        <v>60</v>
      </c>
    </row>
    <row r="2" ht="48" customHeight="1">
      <c r="A2" s="2" t="inlineStr">
        <is>
          <t>Requested assumptions</t>
        </is>
      </c>
      <c r="B2" s="3">
        <f>Inputs!$B$5*1</f>
        <v>15000000</v>
      </c>
      <c r="C2" s="8">
        <f>Inputs!$B$8</f>
        <v>0.95</v>
      </c>
      <c r="D2" s="8">
        <f>Inputs!$B$4</f>
        <v>0.05</v>
      </c>
      <c r="E2" s="8">
        <f>Inputs!$B$9+Inputs!$B$10</f>
        <v>0.35</v>
      </c>
      <c r="F2" s="8">
        <f>Inputs!$B$17+0</f>
        <v>0.043</v>
      </c>
      <c r="G2" s="3">
        <f>NPV(F2,M2:BT2)+L2</f>
        <v>179925425.7460371</v>
      </c>
      <c r="H2" s="8">
        <f>IFERROR(IRR(L2:BT2),"Not defined")</f>
        <v>0.33503129257441</v>
      </c>
      <c r="I2" s="6">
        <f>IF(MAX(L16:BT16)&gt;0,MAX(L16:BT16),"Not reached")</f>
        <v>4.180691859889855</v>
      </c>
      <c r="J2" s="6">
        <f>IF(MAX(L18:BT18)&gt;0,MAX(L18:BT18),"Not reached")</f>
        <v>4.486151323582096</v>
      </c>
      <c r="K2" s="3" t="str">
        <f>IF(AND(G2&gt;0,ISNUMBER(H2),H2&gt;F2,ISNUMBER(I2),I2&lt;=Inputs!$B$12),"PASS","FAIL")</f>
        <v>PASS</v>
      </c>
      <c r="L2" s="3">
        <f>IF(AND(L$1&gt;Inputs!$B$6,L$1&lt;=Inputs!$B$6+Inputs!$B$7),Inputs!$B$2*Inputs!$B$3*12*$C2*(1+$D2)^(L$1-Inputs!$B$6-1)*(1-$E2),0)-IF(L$1&lt;Inputs!$B$6,$B2/Inputs!$B$6,0)-IF(L$1=0,Inputs!$B$13,0)+IF(L$1=Inputs!$B$6+Inputs!$B$7,Inputs!$B$14,0)</f>
        <v>-7500000.0</v>
      </c>
      <c r="M2" s="3">
        <f>IF(AND(M$1&gt;Inputs!$B$6,M$1&lt;=Inputs!$B$6+Inputs!$B$7),Inputs!$B$2*Inputs!$B$3*12*$C2*(1+$D2)^(M$1-Inputs!$B$6-1)*(1-$E2),0)-IF(M$1&lt;Inputs!$B$6,$B2/Inputs!$B$6,0)-IF(M$1=0,Inputs!$B$13,0)+IF(M$1=Inputs!$B$6+Inputs!$B$7,Inputs!$B$14,0)</f>
        <v>-7500000.0</v>
      </c>
      <c r="N2" s="3">
        <f>IF(AND(N$1&gt;Inputs!$B$6,N$1&lt;=Inputs!$B$6+Inputs!$B$7),Inputs!$B$2*Inputs!$B$3*12*$C2*(1+$D2)^(N$1-Inputs!$B$6-1)*(1-$E2),0)-IF(N$1&lt;Inputs!$B$6,$B2/Inputs!$B$6,0)-IF(N$1=0,Inputs!$B$13,0)+IF(N$1=Inputs!$B$6+Inputs!$B$7,Inputs!$B$14,0)</f>
        <v>0.0</v>
      </c>
      <c r="O2" s="3">
        <f>IF(AND(O$1&gt;Inputs!$B$6,O$1&lt;=Inputs!$B$6+Inputs!$B$7),Inputs!$B$2*Inputs!$B$3*12*$C2*(1+$D2)^(O$1-Inputs!$B$6-1)*(1-$E2),0)-IF(O$1&lt;Inputs!$B$6,$B2/Inputs!$B$6,0)-IF(O$1=0,Inputs!$B$13,0)+IF(O$1=Inputs!$B$6+Inputs!$B$7,Inputs!$B$14,0)</f>
        <v>6669000.0</v>
      </c>
      <c r="P2" s="3">
        <f>IF(AND(P$1&gt;Inputs!$B$6,P$1&lt;=Inputs!$B$6+Inputs!$B$7),Inputs!$B$2*Inputs!$B$3*12*$C2*(1+$D2)^(P$1-Inputs!$B$6-1)*(1-$E2),0)-IF(P$1&lt;Inputs!$B$6,$B2/Inputs!$B$6,0)-IF(P$1=0,Inputs!$B$13,0)+IF(P$1=Inputs!$B$6+Inputs!$B$7,Inputs!$B$14,0)</f>
        <v>7002450.0</v>
      </c>
      <c r="Q2" s="3">
        <f>IF(AND(Q$1&gt;Inputs!$B$6,Q$1&lt;=Inputs!$B$6+Inputs!$B$7),Inputs!$B$2*Inputs!$B$3*12*$C2*(1+$D2)^(Q$1-Inputs!$B$6-1)*(1-$E2),0)-IF(Q$1&lt;Inputs!$B$6,$B2/Inputs!$B$6,0)-IF(Q$1=0,Inputs!$B$13,0)+IF(Q$1=Inputs!$B$6+Inputs!$B$7,Inputs!$B$14,0)</f>
        <v>7352572.5</v>
      </c>
      <c r="R2" s="3">
        <f>IF(AND(R$1&gt;Inputs!$B$6,R$1&lt;=Inputs!$B$6+Inputs!$B$7),Inputs!$B$2*Inputs!$B$3*12*$C2*(1+$D2)^(R$1-Inputs!$B$6-1)*(1-$E2),0)-IF(R$1&lt;Inputs!$B$6,$B2/Inputs!$B$6,0)-IF(R$1=0,Inputs!$B$13,0)+IF(R$1=Inputs!$B$6+Inputs!$B$7,Inputs!$B$14,0)</f>
        <v>7720201.125000003</v>
      </c>
      <c r="S2" s="3">
        <f>IF(AND(S$1&gt;Inputs!$B$6,S$1&lt;=Inputs!$B$6+Inputs!$B$7),Inputs!$B$2*Inputs!$B$3*12*$C2*(1+$D2)^(S$1-Inputs!$B$6-1)*(1-$E2),0)-IF(S$1&lt;Inputs!$B$6,$B2/Inputs!$B$6,0)-IF(S$1=0,Inputs!$B$13,0)+IF(S$1=Inputs!$B$6+Inputs!$B$7,Inputs!$B$14,0)</f>
        <v>8106211.181250002</v>
      </c>
      <c r="T2" s="3">
        <f>IF(AND(T$1&gt;Inputs!$B$6,T$1&lt;=Inputs!$B$6+Inputs!$B$7),Inputs!$B$2*Inputs!$B$3*12*$C2*(1+$D2)^(T$1-Inputs!$B$6-1)*(1-$E2),0)-IF(T$1&lt;Inputs!$B$6,$B2/Inputs!$B$6,0)-IF(T$1=0,Inputs!$B$13,0)+IF(T$1=Inputs!$B$6+Inputs!$B$7,Inputs!$B$14,0)</f>
        <v>8511521.740312502</v>
      </c>
      <c r="U2" s="3">
        <f>IF(AND(U$1&gt;Inputs!$B$6,U$1&lt;=Inputs!$B$6+Inputs!$B$7),Inputs!$B$2*Inputs!$B$3*12*$C2*(1+$D2)^(U$1-Inputs!$B$6-1)*(1-$E2),0)-IF(U$1&lt;Inputs!$B$6,$B2/Inputs!$B$6,0)-IF(U$1=0,Inputs!$B$13,0)+IF(U$1=Inputs!$B$6+Inputs!$B$7,Inputs!$B$14,0)</f>
        <v>8937097.827328129</v>
      </c>
      <c r="V2" s="3">
        <f>IF(AND(V$1&gt;Inputs!$B$6,V$1&lt;=Inputs!$B$6+Inputs!$B$7),Inputs!$B$2*Inputs!$B$3*12*$C2*(1+$D2)^(V$1-Inputs!$B$6-1)*(1-$E2),0)-IF(V$1&lt;Inputs!$B$6,$B2/Inputs!$B$6,0)-IF(V$1=0,Inputs!$B$13,0)+IF(V$1=Inputs!$B$6+Inputs!$B$7,Inputs!$B$14,0)</f>
        <v>9383952.718694534</v>
      </c>
      <c r="W2" s="3">
        <f>IF(AND(W$1&gt;Inputs!$B$6,W$1&lt;=Inputs!$B$6+Inputs!$B$7),Inputs!$B$2*Inputs!$B$3*12*$C2*(1+$D2)^(W$1-Inputs!$B$6-1)*(1-$E2),0)-IF(W$1&lt;Inputs!$B$6,$B2/Inputs!$B$6,0)-IF(W$1=0,Inputs!$B$13,0)+IF(W$1=Inputs!$B$6+Inputs!$B$7,Inputs!$B$14,0)</f>
        <v>9853150.354629261</v>
      </c>
      <c r="X2" s="3">
        <f>IF(AND(X$1&gt;Inputs!$B$6,X$1&lt;=Inputs!$B$6+Inputs!$B$7),Inputs!$B$2*Inputs!$B$3*12*$C2*(1+$D2)^(X$1-Inputs!$B$6-1)*(1-$E2),0)-IF(X$1&lt;Inputs!$B$6,$B2/Inputs!$B$6,0)-IF(X$1=0,Inputs!$B$13,0)+IF(X$1=Inputs!$B$6+Inputs!$B$7,Inputs!$B$14,0)</f>
        <v>10345807.872360723</v>
      </c>
      <c r="Y2" s="3">
        <f>IF(AND(Y$1&gt;Inputs!$B$6,Y$1&lt;=Inputs!$B$6+Inputs!$B$7),Inputs!$B$2*Inputs!$B$3*12*$C2*(1+$D2)^(Y$1-Inputs!$B$6-1)*(1-$E2),0)-IF(Y$1&lt;Inputs!$B$6,$B2/Inputs!$B$6,0)-IF(Y$1=0,Inputs!$B$13,0)+IF(Y$1=Inputs!$B$6+Inputs!$B$7,Inputs!$B$14,0)</f>
        <v>10863098.26597876</v>
      </c>
      <c r="Z2" s="3">
        <f>IF(AND(Z$1&gt;Inputs!$B$6,Z$1&lt;=Inputs!$B$6+Inputs!$B$7),Inputs!$B$2*Inputs!$B$3*12*$C2*(1+$D2)^(Z$1-Inputs!$B$6-1)*(1-$E2),0)-IF(Z$1&lt;Inputs!$B$6,$B2/Inputs!$B$6,0)-IF(Z$1=0,Inputs!$B$13,0)+IF(Z$1=Inputs!$B$6+Inputs!$B$7,Inputs!$B$14,0)</f>
        <v>11406253.1792777</v>
      </c>
      <c r="AA2" s="3">
        <f>IF(AND(AA$1&gt;Inputs!$B$6,AA$1&lt;=Inputs!$B$6+Inputs!$B$7),Inputs!$B$2*Inputs!$B$3*12*$C2*(1+$D2)^(AA$1-Inputs!$B$6-1)*(1-$E2),0)-IF(AA$1&lt;Inputs!$B$6,$B2/Inputs!$B$6,0)-IF(AA$1=0,Inputs!$B$13,0)+IF(AA$1=Inputs!$B$6+Inputs!$B$7,Inputs!$B$14,0)</f>
        <v>11976565.838241586</v>
      </c>
      <c r="AB2" s="3">
        <f>IF(AND(AB$1&gt;Inputs!$B$6,AB$1&lt;=Inputs!$B$6+Inputs!$B$7),Inputs!$B$2*Inputs!$B$3*12*$C2*(1+$D2)^(AB$1-Inputs!$B$6-1)*(1-$E2),0)-IF(AB$1&lt;Inputs!$B$6,$B2/Inputs!$B$6,0)-IF(AB$1=0,Inputs!$B$13,0)+IF(AB$1=Inputs!$B$6+Inputs!$B$7,Inputs!$B$14,0)</f>
        <v>12575394.130153665</v>
      </c>
      <c r="AC2" s="3">
        <f>IF(AND(AC$1&gt;Inputs!$B$6,AC$1&lt;=Inputs!$B$6+Inputs!$B$7),Inputs!$B$2*Inputs!$B$3*12*$C2*(1+$D2)^(AC$1-Inputs!$B$6-1)*(1-$E2),0)-IF(AC$1&lt;Inputs!$B$6,$B2/Inputs!$B$6,0)-IF(AC$1=0,Inputs!$B$13,0)+IF(AC$1=Inputs!$B$6+Inputs!$B$7,Inputs!$B$14,0)</f>
        <v>13204163.836661352</v>
      </c>
      <c r="AD2" s="3">
        <f>IF(AND(AD$1&gt;Inputs!$B$6,AD$1&lt;=Inputs!$B$6+Inputs!$B$7),Inputs!$B$2*Inputs!$B$3*12*$C2*(1+$D2)^(AD$1-Inputs!$B$6-1)*(1-$E2),0)-IF(AD$1&lt;Inputs!$B$6,$B2/Inputs!$B$6,0)-IF(AD$1=0,Inputs!$B$13,0)+IF(AD$1=Inputs!$B$6+Inputs!$B$7,Inputs!$B$14,0)</f>
        <v>13864372.02849442</v>
      </c>
      <c r="AE2" s="3">
        <f>IF(AND(AE$1&gt;Inputs!$B$6,AE$1&lt;=Inputs!$B$6+Inputs!$B$7),Inputs!$B$2*Inputs!$B$3*12*$C2*(1+$D2)^(AE$1-Inputs!$B$6-1)*(1-$E2),0)-IF(AE$1&lt;Inputs!$B$6,$B2/Inputs!$B$6,0)-IF(AE$1=0,Inputs!$B$13,0)+IF(AE$1=Inputs!$B$6+Inputs!$B$7,Inputs!$B$14,0)</f>
        <v>14557590.629919138</v>
      </c>
      <c r="AF2" s="3">
        <f>IF(AND(AF$1&gt;Inputs!$B$6,AF$1&lt;=Inputs!$B$6+Inputs!$B$7),Inputs!$B$2*Inputs!$B$3*12*$C2*(1+$D2)^(AF$1-Inputs!$B$6-1)*(1-$E2),0)-IF(AF$1&lt;Inputs!$B$6,$B2/Inputs!$B$6,0)-IF(AF$1=0,Inputs!$B$13,0)+IF(AF$1=Inputs!$B$6+Inputs!$B$7,Inputs!$B$14,0)</f>
        <v>15285470.161415096</v>
      </c>
      <c r="AG2" s="3">
        <f>IF(AND(AG$1&gt;Inputs!$B$6,AG$1&lt;=Inputs!$B$6+Inputs!$B$7),Inputs!$B$2*Inputs!$B$3*12*$C2*(1+$D2)^(AG$1-Inputs!$B$6-1)*(1-$E2),0)-IF(AG$1&lt;Inputs!$B$6,$B2/Inputs!$B$6,0)-IF(AG$1=0,Inputs!$B$13,0)+IF(AG$1=Inputs!$B$6+Inputs!$B$7,Inputs!$B$14,0)</f>
        <v>16049743.669485852</v>
      </c>
      <c r="AH2" s="3">
        <f>IF(AND(AH$1&gt;Inputs!$B$6,AH$1&lt;=Inputs!$B$6+Inputs!$B$7),Inputs!$B$2*Inputs!$B$3*12*$C2*(1+$D2)^(AH$1-Inputs!$B$6-1)*(1-$E2),0)-IF(AH$1&lt;Inputs!$B$6,$B2/Inputs!$B$6,0)-IF(AH$1=0,Inputs!$B$13,0)+IF(AH$1=Inputs!$B$6+Inputs!$B$7,Inputs!$B$14,0)</f>
        <v>16852230.852960147</v>
      </c>
      <c r="AI2" s="3">
        <f>IF(AND(AI$1&gt;Inputs!$B$6,AI$1&lt;=Inputs!$B$6+Inputs!$B$7),Inputs!$B$2*Inputs!$B$3*12*$C2*(1+$D2)^(AI$1-Inputs!$B$6-1)*(1-$E2),0)-IF(AI$1&lt;Inputs!$B$6,$B2/Inputs!$B$6,0)-IF(AI$1=0,Inputs!$B$13,0)+IF(AI$1=Inputs!$B$6+Inputs!$B$7,Inputs!$B$14,0)</f>
        <v>17694842.395608153</v>
      </c>
      <c r="AJ2" s="3">
        <f>IF(AND(AJ$1&gt;Inputs!$B$6,AJ$1&lt;=Inputs!$B$6+Inputs!$B$7),Inputs!$B$2*Inputs!$B$3*12*$C2*(1+$D2)^(AJ$1-Inputs!$B$6-1)*(1-$E2),0)-IF(AJ$1&lt;Inputs!$B$6,$B2/Inputs!$B$6,0)-IF(AJ$1=0,Inputs!$B$13,0)+IF(AJ$1=Inputs!$B$6+Inputs!$B$7,Inputs!$B$14,0)</f>
        <v>18579584.51538856</v>
      </c>
      <c r="AK2" s="3">
        <f>IF(AND(AK$1&gt;Inputs!$B$6,AK$1&lt;=Inputs!$B$6+Inputs!$B$7),Inputs!$B$2*Inputs!$B$3*12*$C2*(1+$D2)^(AK$1-Inputs!$B$6-1)*(1-$E2),0)-IF(AK$1&lt;Inputs!$B$6,$B2/Inputs!$B$6,0)-IF(AK$1=0,Inputs!$B$13,0)+IF(AK$1=Inputs!$B$6+Inputs!$B$7,Inputs!$B$14,0)</f>
        <v>19508563.74115799</v>
      </c>
      <c r="AL2" s="3">
        <f>IF(AND(AL$1&gt;Inputs!$B$6,AL$1&lt;=Inputs!$B$6+Inputs!$B$7),Inputs!$B$2*Inputs!$B$3*12*$C2*(1+$D2)^(AL$1-Inputs!$B$6-1)*(1-$E2),0)-IF(AL$1&lt;Inputs!$B$6,$B2/Inputs!$B$6,0)-IF(AL$1=0,Inputs!$B$13,0)+IF(AL$1=Inputs!$B$6+Inputs!$B$7,Inputs!$B$14,0)</f>
        <v>20483991.92821589</v>
      </c>
      <c r="AM2" s="3">
        <f>IF(AND(AM$1&gt;Inputs!$B$6,AM$1&lt;=Inputs!$B$6+Inputs!$B$7),Inputs!$B$2*Inputs!$B$3*12*$C2*(1+$D2)^(AM$1-Inputs!$B$6-1)*(1-$E2),0)-IF(AM$1&lt;Inputs!$B$6,$B2/Inputs!$B$6,0)-IF(AM$1=0,Inputs!$B$13,0)+IF(AM$1=Inputs!$B$6+Inputs!$B$7,Inputs!$B$14,0)</f>
        <v>21508191.524626687</v>
      </c>
      <c r="AN2" s="3">
        <f>IF(AND(AN$1&gt;Inputs!$B$6,AN$1&lt;=Inputs!$B$6+Inputs!$B$7),Inputs!$B$2*Inputs!$B$3*12*$C2*(1+$D2)^(AN$1-Inputs!$B$6-1)*(1-$E2),0)-IF(AN$1&lt;Inputs!$B$6,$B2/Inputs!$B$6,0)-IF(AN$1=0,Inputs!$B$13,0)+IF(AN$1=Inputs!$B$6+Inputs!$B$7,Inputs!$B$14,0)</f>
        <v>22583601.10085802</v>
      </c>
      <c r="AO2" s="3">
        <f>IF(AND(AO$1&gt;Inputs!$B$6,AO$1&lt;=Inputs!$B$6+Inputs!$B$7),Inputs!$B$2*Inputs!$B$3*12*$C2*(1+$D2)^(AO$1-Inputs!$B$6-1)*(1-$E2),0)-IF(AO$1&lt;Inputs!$B$6,$B2/Inputs!$B$6,0)-IF(AO$1=0,Inputs!$B$13,0)+IF(AO$1=Inputs!$B$6+Inputs!$B$7,Inputs!$B$14,0)</f>
        <v>23712781.155900925</v>
      </c>
      <c r="AP2" s="3">
        <f>IF(AND(AP$1&gt;Inputs!$B$6,AP$1&lt;=Inputs!$B$6+Inputs!$B$7),Inputs!$B$2*Inputs!$B$3*12*$C2*(1+$D2)^(AP$1-Inputs!$B$6-1)*(1-$E2),0)-IF(AP$1&lt;Inputs!$B$6,$B2/Inputs!$B$6,0)-IF(AP$1=0,Inputs!$B$13,0)+IF(AP$1=Inputs!$B$6+Inputs!$B$7,Inputs!$B$14,0)</f>
        <v>24898420.213695973</v>
      </c>
      <c r="AQ2" s="3">
        <f>IF(AND(AQ$1&gt;Inputs!$B$6,AQ$1&lt;=Inputs!$B$6+Inputs!$B$7),Inputs!$B$2*Inputs!$B$3*12*$C2*(1+$D2)^(AQ$1-Inputs!$B$6-1)*(1-$E2),0)-IF(AQ$1&lt;Inputs!$B$6,$B2/Inputs!$B$6,0)-IF(AQ$1=0,Inputs!$B$13,0)+IF(AQ$1=Inputs!$B$6+Inputs!$B$7,Inputs!$B$14,0)</f>
        <v>26143341.224380773</v>
      </c>
      <c r="AR2" s="3">
        <f>IF(AND(AR$1&gt;Inputs!$B$6,AR$1&lt;=Inputs!$B$6+Inputs!$B$7),Inputs!$B$2*Inputs!$B$3*12*$C2*(1+$D2)^(AR$1-Inputs!$B$6-1)*(1-$E2),0)-IF(AR$1&lt;Inputs!$B$6,$B2/Inputs!$B$6,0)-IF(AR$1=0,Inputs!$B$13,0)+IF(AR$1=Inputs!$B$6+Inputs!$B$7,Inputs!$B$14,0)</f>
        <v>27450508.285599813</v>
      </c>
      <c r="AS2" s="3">
        <f>IF(AND(AS$1&gt;Inputs!$B$6,AS$1&lt;=Inputs!$B$6+Inputs!$B$7),Inputs!$B$2*Inputs!$B$3*12*$C2*(1+$D2)^(AS$1-Inputs!$B$6-1)*(1-$E2),0)-IF(AS$1&lt;Inputs!$B$6,$B2/Inputs!$B$6,0)-IF(AS$1=0,Inputs!$B$13,0)+IF(AS$1=Inputs!$B$6+Inputs!$B$7,Inputs!$B$14,0)</f>
        <v>0.0</v>
      </c>
      <c r="AT2" s="3">
        <f>IF(AND(AT$1&gt;Inputs!$B$6,AT$1&lt;=Inputs!$B$6+Inputs!$B$7),Inputs!$B$2*Inputs!$B$3*12*$C2*(1+$D2)^(AT$1-Inputs!$B$6-1)*(1-$E2),0)-IF(AT$1&lt;Inputs!$B$6,$B2/Inputs!$B$6,0)-IF(AT$1=0,Inputs!$B$13,0)+IF(AT$1=Inputs!$B$6+Inputs!$B$7,Inputs!$B$14,0)</f>
        <v>0.0</v>
      </c>
      <c r="AU2" s="3">
        <f>IF(AND(AU$1&gt;Inputs!$B$6,AU$1&lt;=Inputs!$B$6+Inputs!$B$7),Inputs!$B$2*Inputs!$B$3*12*$C2*(1+$D2)^(AU$1-Inputs!$B$6-1)*(1-$E2),0)-IF(AU$1&lt;Inputs!$B$6,$B2/Inputs!$B$6,0)-IF(AU$1=0,Inputs!$B$13,0)+IF(AU$1=Inputs!$B$6+Inputs!$B$7,Inputs!$B$14,0)</f>
        <v>0.0</v>
      </c>
      <c r="AV2" s="3">
        <f>IF(AND(AV$1&gt;Inputs!$B$6,AV$1&lt;=Inputs!$B$6+Inputs!$B$7),Inputs!$B$2*Inputs!$B$3*12*$C2*(1+$D2)^(AV$1-Inputs!$B$6-1)*(1-$E2),0)-IF(AV$1&lt;Inputs!$B$6,$B2/Inputs!$B$6,0)-IF(AV$1=0,Inputs!$B$13,0)+IF(AV$1=Inputs!$B$6+Inputs!$B$7,Inputs!$B$14,0)</f>
        <v>0.0</v>
      </c>
      <c r="AW2" s="3">
        <f>IF(AND(AW$1&gt;Inputs!$B$6,AW$1&lt;=Inputs!$B$6+Inputs!$B$7),Inputs!$B$2*Inputs!$B$3*12*$C2*(1+$D2)^(AW$1-Inputs!$B$6-1)*(1-$E2),0)-IF(AW$1&lt;Inputs!$B$6,$B2/Inputs!$B$6,0)-IF(AW$1=0,Inputs!$B$13,0)+IF(AW$1=Inputs!$B$6+Inputs!$B$7,Inputs!$B$14,0)</f>
        <v>0.0</v>
      </c>
      <c r="AX2" s="3">
        <f>IF(AND(AX$1&gt;Inputs!$B$6,AX$1&lt;=Inputs!$B$6+Inputs!$B$7),Inputs!$B$2*Inputs!$B$3*12*$C2*(1+$D2)^(AX$1-Inputs!$B$6-1)*(1-$E2),0)-IF(AX$1&lt;Inputs!$B$6,$B2/Inputs!$B$6,0)-IF(AX$1=0,Inputs!$B$13,0)+IF(AX$1=Inputs!$B$6+Inputs!$B$7,Inputs!$B$14,0)</f>
        <v>0.0</v>
      </c>
      <c r="AY2" s="3">
        <f>IF(AND(AY$1&gt;Inputs!$B$6,AY$1&lt;=Inputs!$B$6+Inputs!$B$7),Inputs!$B$2*Inputs!$B$3*12*$C2*(1+$D2)^(AY$1-Inputs!$B$6-1)*(1-$E2),0)-IF(AY$1&lt;Inputs!$B$6,$B2/Inputs!$B$6,0)-IF(AY$1=0,Inputs!$B$13,0)+IF(AY$1=Inputs!$B$6+Inputs!$B$7,Inputs!$B$14,0)</f>
        <v>0.0</v>
      </c>
      <c r="AZ2" s="3">
        <f>IF(AND(AZ$1&gt;Inputs!$B$6,AZ$1&lt;=Inputs!$B$6+Inputs!$B$7),Inputs!$B$2*Inputs!$B$3*12*$C2*(1+$D2)^(AZ$1-Inputs!$B$6-1)*(1-$E2),0)-IF(AZ$1&lt;Inputs!$B$6,$B2/Inputs!$B$6,0)-IF(AZ$1=0,Inputs!$B$13,0)+IF(AZ$1=Inputs!$B$6+Inputs!$B$7,Inputs!$B$14,0)</f>
        <v>0.0</v>
      </c>
      <c r="BA2" s="3">
        <f>IF(AND(BA$1&gt;Inputs!$B$6,BA$1&lt;=Inputs!$B$6+Inputs!$B$7),Inputs!$B$2*Inputs!$B$3*12*$C2*(1+$D2)^(BA$1-Inputs!$B$6-1)*(1-$E2),0)-IF(BA$1&lt;Inputs!$B$6,$B2/Inputs!$B$6,0)-IF(BA$1=0,Inputs!$B$13,0)+IF(BA$1=Inputs!$B$6+Inputs!$B$7,Inputs!$B$14,0)</f>
        <v>0.0</v>
      </c>
      <c r="BB2" s="3">
        <f>IF(AND(BB$1&gt;Inputs!$B$6,BB$1&lt;=Inputs!$B$6+Inputs!$B$7),Inputs!$B$2*Inputs!$B$3*12*$C2*(1+$D2)^(BB$1-Inputs!$B$6-1)*(1-$E2),0)-IF(BB$1&lt;Inputs!$B$6,$B2/Inputs!$B$6,0)-IF(BB$1=0,Inputs!$B$13,0)+IF(BB$1=Inputs!$B$6+Inputs!$B$7,Inputs!$B$14,0)</f>
        <v>0.0</v>
      </c>
      <c r="BC2" s="3">
        <f>IF(AND(BC$1&gt;Inputs!$B$6,BC$1&lt;=Inputs!$B$6+Inputs!$B$7),Inputs!$B$2*Inputs!$B$3*12*$C2*(1+$D2)^(BC$1-Inputs!$B$6-1)*(1-$E2),0)-IF(BC$1&lt;Inputs!$B$6,$B2/Inputs!$B$6,0)-IF(BC$1=0,Inputs!$B$13,0)+IF(BC$1=Inputs!$B$6+Inputs!$B$7,Inputs!$B$14,0)</f>
        <v>0.0</v>
      </c>
      <c r="BD2" s="3">
        <f>IF(AND(BD$1&gt;Inputs!$B$6,BD$1&lt;=Inputs!$B$6+Inputs!$B$7),Inputs!$B$2*Inputs!$B$3*12*$C2*(1+$D2)^(BD$1-Inputs!$B$6-1)*(1-$E2),0)-IF(BD$1&lt;Inputs!$B$6,$B2/Inputs!$B$6,0)-IF(BD$1=0,Inputs!$B$13,0)+IF(BD$1=Inputs!$B$6+Inputs!$B$7,Inputs!$B$14,0)</f>
        <v>0.0</v>
      </c>
      <c r="BE2" s="3">
        <f>IF(AND(BE$1&gt;Inputs!$B$6,BE$1&lt;=Inputs!$B$6+Inputs!$B$7),Inputs!$B$2*Inputs!$B$3*12*$C2*(1+$D2)^(BE$1-Inputs!$B$6-1)*(1-$E2),0)-IF(BE$1&lt;Inputs!$B$6,$B2/Inputs!$B$6,0)-IF(BE$1=0,Inputs!$B$13,0)+IF(BE$1=Inputs!$B$6+Inputs!$B$7,Inputs!$B$14,0)</f>
        <v>0.0</v>
      </c>
      <c r="BF2" s="3">
        <f>IF(AND(BF$1&gt;Inputs!$B$6,BF$1&lt;=Inputs!$B$6+Inputs!$B$7),Inputs!$B$2*Inputs!$B$3*12*$C2*(1+$D2)^(BF$1-Inputs!$B$6-1)*(1-$E2),0)-IF(BF$1&lt;Inputs!$B$6,$B2/Inputs!$B$6,0)-IF(BF$1=0,Inputs!$B$13,0)+IF(BF$1=Inputs!$B$6+Inputs!$B$7,Inputs!$B$14,0)</f>
        <v>0.0</v>
      </c>
      <c r="BG2" s="3">
        <f>IF(AND(BG$1&gt;Inputs!$B$6,BG$1&lt;=Inputs!$B$6+Inputs!$B$7),Inputs!$B$2*Inputs!$B$3*12*$C2*(1+$D2)^(BG$1-Inputs!$B$6-1)*(1-$E2),0)-IF(BG$1&lt;Inputs!$B$6,$B2/Inputs!$B$6,0)-IF(BG$1=0,Inputs!$B$13,0)+IF(BG$1=Inputs!$B$6+Inputs!$B$7,Inputs!$B$14,0)</f>
        <v>0.0</v>
      </c>
      <c r="BH2" s="3">
        <f>IF(AND(BH$1&gt;Inputs!$B$6,BH$1&lt;=Inputs!$B$6+Inputs!$B$7),Inputs!$B$2*Inputs!$B$3*12*$C2*(1+$D2)^(BH$1-Inputs!$B$6-1)*(1-$E2),0)-IF(BH$1&lt;Inputs!$B$6,$B2/Inputs!$B$6,0)-IF(BH$1=0,Inputs!$B$13,0)+IF(BH$1=Inputs!$B$6+Inputs!$B$7,Inputs!$B$14,0)</f>
        <v>0.0</v>
      </c>
      <c r="BI2" s="3">
        <f>IF(AND(BI$1&gt;Inputs!$B$6,BI$1&lt;=Inputs!$B$6+Inputs!$B$7),Inputs!$B$2*Inputs!$B$3*12*$C2*(1+$D2)^(BI$1-Inputs!$B$6-1)*(1-$E2),0)-IF(BI$1&lt;Inputs!$B$6,$B2/Inputs!$B$6,0)-IF(BI$1=0,Inputs!$B$13,0)+IF(BI$1=Inputs!$B$6+Inputs!$B$7,Inputs!$B$14,0)</f>
        <v>0.0</v>
      </c>
      <c r="BJ2" s="3">
        <f>IF(AND(BJ$1&gt;Inputs!$B$6,BJ$1&lt;=Inputs!$B$6+Inputs!$B$7),Inputs!$B$2*Inputs!$B$3*12*$C2*(1+$D2)^(BJ$1-Inputs!$B$6-1)*(1-$E2),0)-IF(BJ$1&lt;Inputs!$B$6,$B2/Inputs!$B$6,0)-IF(BJ$1=0,Inputs!$B$13,0)+IF(BJ$1=Inputs!$B$6+Inputs!$B$7,Inputs!$B$14,0)</f>
        <v>0.0</v>
      </c>
      <c r="BK2" s="3">
        <f>IF(AND(BK$1&gt;Inputs!$B$6,BK$1&lt;=Inputs!$B$6+Inputs!$B$7),Inputs!$B$2*Inputs!$B$3*12*$C2*(1+$D2)^(BK$1-Inputs!$B$6-1)*(1-$E2),0)-IF(BK$1&lt;Inputs!$B$6,$B2/Inputs!$B$6,0)-IF(BK$1=0,Inputs!$B$13,0)+IF(BK$1=Inputs!$B$6+Inputs!$B$7,Inputs!$B$14,0)</f>
        <v>0.0</v>
      </c>
      <c r="BL2" s="3">
        <f>IF(AND(BL$1&gt;Inputs!$B$6,BL$1&lt;=Inputs!$B$6+Inputs!$B$7),Inputs!$B$2*Inputs!$B$3*12*$C2*(1+$D2)^(BL$1-Inputs!$B$6-1)*(1-$E2),0)-IF(BL$1&lt;Inputs!$B$6,$B2/Inputs!$B$6,0)-IF(BL$1=0,Inputs!$B$13,0)+IF(BL$1=Inputs!$B$6+Inputs!$B$7,Inputs!$B$14,0)</f>
        <v>0.0</v>
      </c>
      <c r="BM2" s="3">
        <f>IF(AND(BM$1&gt;Inputs!$B$6,BM$1&lt;=Inputs!$B$6+Inputs!$B$7),Inputs!$B$2*Inputs!$B$3*12*$C2*(1+$D2)^(BM$1-Inputs!$B$6-1)*(1-$E2),0)-IF(BM$1&lt;Inputs!$B$6,$B2/Inputs!$B$6,0)-IF(BM$1=0,Inputs!$B$13,0)+IF(BM$1=Inputs!$B$6+Inputs!$B$7,Inputs!$B$14,0)</f>
        <v>0.0</v>
      </c>
      <c r="BN2" s="3">
        <f>IF(AND(BN$1&gt;Inputs!$B$6,BN$1&lt;=Inputs!$B$6+Inputs!$B$7),Inputs!$B$2*Inputs!$B$3*12*$C2*(1+$D2)^(BN$1-Inputs!$B$6-1)*(1-$E2),0)-IF(BN$1&lt;Inputs!$B$6,$B2/Inputs!$B$6,0)-IF(BN$1=0,Inputs!$B$13,0)+IF(BN$1=Inputs!$B$6+Inputs!$B$7,Inputs!$B$14,0)</f>
        <v>0.0</v>
      </c>
      <c r="BO2" s="3">
        <f>IF(AND(BO$1&gt;Inputs!$B$6,BO$1&lt;=Inputs!$B$6+Inputs!$B$7),Inputs!$B$2*Inputs!$B$3*12*$C2*(1+$D2)^(BO$1-Inputs!$B$6-1)*(1-$E2),0)-IF(BO$1&lt;Inputs!$B$6,$B2/Inputs!$B$6,0)-IF(BO$1=0,Inputs!$B$13,0)+IF(BO$1=Inputs!$B$6+Inputs!$B$7,Inputs!$B$14,0)</f>
        <v>0.0</v>
      </c>
      <c r="BP2" s="3">
        <f>IF(AND(BP$1&gt;Inputs!$B$6,BP$1&lt;=Inputs!$B$6+Inputs!$B$7),Inputs!$B$2*Inputs!$B$3*12*$C2*(1+$D2)^(BP$1-Inputs!$B$6-1)*(1-$E2),0)-IF(BP$1&lt;Inputs!$B$6,$B2/Inputs!$B$6,0)-IF(BP$1=0,Inputs!$B$13,0)+IF(BP$1=Inputs!$B$6+Inputs!$B$7,Inputs!$B$14,0)</f>
        <v>0.0</v>
      </c>
      <c r="BQ2" s="3">
        <f>IF(AND(BQ$1&gt;Inputs!$B$6,BQ$1&lt;=Inputs!$B$6+Inputs!$B$7),Inputs!$B$2*Inputs!$B$3*12*$C2*(1+$D2)^(BQ$1-Inputs!$B$6-1)*(1-$E2),0)-IF(BQ$1&lt;Inputs!$B$6,$B2/Inputs!$B$6,0)-IF(BQ$1=0,Inputs!$B$13,0)+IF(BQ$1=Inputs!$B$6+Inputs!$B$7,Inputs!$B$14,0)</f>
        <v>0.0</v>
      </c>
      <c r="BR2" s="3">
        <f>IF(AND(BR$1&gt;Inputs!$B$6,BR$1&lt;=Inputs!$B$6+Inputs!$B$7),Inputs!$B$2*Inputs!$B$3*12*$C2*(1+$D2)^(BR$1-Inputs!$B$6-1)*(1-$E2),0)-IF(BR$1&lt;Inputs!$B$6,$B2/Inputs!$B$6,0)-IF(BR$1=0,Inputs!$B$13,0)+IF(BR$1=Inputs!$B$6+Inputs!$B$7,Inputs!$B$14,0)</f>
        <v>0.0</v>
      </c>
      <c r="BS2" s="3">
        <f>IF(AND(BS$1&gt;Inputs!$B$6,BS$1&lt;=Inputs!$B$6+Inputs!$B$7),Inputs!$B$2*Inputs!$B$3*12*$C2*(1+$D2)^(BS$1-Inputs!$B$6-1)*(1-$E2),0)-IF(BS$1&lt;Inputs!$B$6,$B2/Inputs!$B$6,0)-IF(BS$1=0,Inputs!$B$13,0)+IF(BS$1=Inputs!$B$6+Inputs!$B$7,Inputs!$B$14,0)</f>
        <v>0.0</v>
      </c>
      <c r="BT2" s="3">
        <f>IF(AND(BT$1&gt;Inputs!$B$6,BT$1&lt;=Inputs!$B$6+Inputs!$B$7),Inputs!$B$2*Inputs!$B$3*12*$C2*(1+$D2)^(BT$1-Inputs!$B$6-1)*(1-$E2),0)-IF(BT$1&lt;Inputs!$B$6,$B2/Inputs!$B$6,0)-IF(BT$1=0,Inputs!$B$13,0)+IF(BT$1=Inputs!$B$6+Inputs!$B$7,Inputs!$B$14,0)</f>
        <v>0.0</v>
      </c>
    </row>
    <row r="3" ht="48" customHeight="1">
      <c r="A3" s="4" t="inlineStr">
        <is>
          <t>Lower occupancy / no rent growth</t>
        </is>
      </c>
      <c r="B3" s="9">
        <f>Inputs!$B$5*1</f>
        <v>15000000</v>
      </c>
      <c r="C3" s="5" t="n">
        <v>0.8</v>
      </c>
      <c r="D3" s="5" t="n">
        <v>0</v>
      </c>
      <c r="E3" s="5" t="n">
        <v>0.45</v>
      </c>
      <c r="F3" s="5">
        <f>Inputs!$B$17+0</f>
        <v>0.043</v>
      </c>
      <c r="G3" s="9">
        <f>NPV(F3,M3:BT3)+L3</f>
        <v>58168178.73597095</v>
      </c>
      <c r="H3" s="5">
        <f>IFERROR(IRR(L3:BT3),"Not defined")</f>
        <v>0.23041616924485975</v>
      </c>
      <c r="I3" s="7">
        <f>IF(MAX(L21:BT21)&gt;0,MAX(L21:BT21),"Not reached")</f>
        <v>5.156565656565657</v>
      </c>
      <c r="J3" s="7">
        <f>IF(MAX(L23:BT23)&gt;0,MAX(L23:BT23),"Not reached")</f>
        <v>5.714448137887095</v>
      </c>
      <c r="K3" s="9" t="str">
        <f>IF(AND(G3&gt;0,ISNUMBER(H3),H3&gt;F3,ISNUMBER(I3),I3&lt;=Inputs!$B$12),"PASS","FAIL")</f>
        <v>PASS</v>
      </c>
      <c r="L3" s="9">
        <f>IF(AND(L$1&gt;Inputs!$B$6,L$1&lt;=Inputs!$B$6+Inputs!$B$7),Inputs!$B$2*Inputs!$B$3*12*$C3*(1+$D3)^(L$1-Inputs!$B$6-1)*(1-$E3),0)-IF(L$1&lt;Inputs!$B$6,$B3/Inputs!$B$6,0)-IF(L$1=0,Inputs!$B$13,0)+IF(L$1=Inputs!$B$6+Inputs!$B$7,Inputs!$B$14,0)</f>
        <v>-7500000.0</v>
      </c>
      <c r="M3" s="9">
        <f>IF(AND(M$1&gt;Inputs!$B$6,M$1&lt;=Inputs!$B$6+Inputs!$B$7),Inputs!$B$2*Inputs!$B$3*12*$C3*(1+$D3)^(M$1-Inputs!$B$6-1)*(1-$E3),0)-IF(M$1&lt;Inputs!$B$6,$B3/Inputs!$B$6,0)-IF(M$1=0,Inputs!$B$13,0)+IF(M$1=Inputs!$B$6+Inputs!$B$7,Inputs!$B$14,0)</f>
        <v>-7500000.0</v>
      </c>
      <c r="N3" s="9">
        <f>IF(AND(N$1&gt;Inputs!$B$6,N$1&lt;=Inputs!$B$6+Inputs!$B$7),Inputs!$B$2*Inputs!$B$3*12*$C3*(1+$D3)^(N$1-Inputs!$B$6-1)*(1-$E3),0)-IF(N$1&lt;Inputs!$B$6,$B3/Inputs!$B$6,0)-IF(N$1=0,Inputs!$B$13,0)+IF(N$1=Inputs!$B$6+Inputs!$B$7,Inputs!$B$14,0)</f>
        <v>0.0</v>
      </c>
      <c r="O3" s="9">
        <f>IF(AND(O$1&gt;Inputs!$B$6,O$1&lt;=Inputs!$B$6+Inputs!$B$7),Inputs!$B$2*Inputs!$B$3*12*$C3*(1+$D3)^(O$1-Inputs!$B$6-1)*(1-$E3),0)-IF(O$1&lt;Inputs!$B$6,$B3/Inputs!$B$6,0)-IF(O$1=0,Inputs!$B$13,0)+IF(O$1=Inputs!$B$6+Inputs!$B$7,Inputs!$B$14,0)</f>
        <v>4752000.0</v>
      </c>
      <c r="P3" s="9">
        <f>IF(AND(P$1&gt;Inputs!$B$6,P$1&lt;=Inputs!$B$6+Inputs!$B$7),Inputs!$B$2*Inputs!$B$3*12*$C3*(1+$D3)^(P$1-Inputs!$B$6-1)*(1-$E3),0)-IF(P$1&lt;Inputs!$B$6,$B3/Inputs!$B$6,0)-IF(P$1=0,Inputs!$B$13,0)+IF(P$1=Inputs!$B$6+Inputs!$B$7,Inputs!$B$14,0)</f>
        <v>4752000.0</v>
      </c>
      <c r="Q3" s="9">
        <f>IF(AND(Q$1&gt;Inputs!$B$6,Q$1&lt;=Inputs!$B$6+Inputs!$B$7),Inputs!$B$2*Inputs!$B$3*12*$C3*(1+$D3)^(Q$1-Inputs!$B$6-1)*(1-$E3),0)-IF(Q$1&lt;Inputs!$B$6,$B3/Inputs!$B$6,0)-IF(Q$1=0,Inputs!$B$13,0)+IF(Q$1=Inputs!$B$6+Inputs!$B$7,Inputs!$B$14,0)</f>
        <v>4752000.0</v>
      </c>
      <c r="R3" s="9">
        <f>IF(AND(R$1&gt;Inputs!$B$6,R$1&lt;=Inputs!$B$6+Inputs!$B$7),Inputs!$B$2*Inputs!$B$3*12*$C3*(1+$D3)^(R$1-Inputs!$B$6-1)*(1-$E3),0)-IF(R$1&lt;Inputs!$B$6,$B3/Inputs!$B$6,0)-IF(R$1=0,Inputs!$B$13,0)+IF(R$1=Inputs!$B$6+Inputs!$B$7,Inputs!$B$14,0)</f>
        <v>4752000.0</v>
      </c>
      <c r="S3" s="9">
        <f>IF(AND(S$1&gt;Inputs!$B$6,S$1&lt;=Inputs!$B$6+Inputs!$B$7),Inputs!$B$2*Inputs!$B$3*12*$C3*(1+$D3)^(S$1-Inputs!$B$6-1)*(1-$E3),0)-IF(S$1&lt;Inputs!$B$6,$B3/Inputs!$B$6,0)-IF(S$1=0,Inputs!$B$13,0)+IF(S$1=Inputs!$B$6+Inputs!$B$7,Inputs!$B$14,0)</f>
        <v>4752000.0</v>
      </c>
      <c r="T3" s="9">
        <f>IF(AND(T$1&gt;Inputs!$B$6,T$1&lt;=Inputs!$B$6+Inputs!$B$7),Inputs!$B$2*Inputs!$B$3*12*$C3*(1+$D3)^(T$1-Inputs!$B$6-1)*(1-$E3),0)-IF(T$1&lt;Inputs!$B$6,$B3/Inputs!$B$6,0)-IF(T$1=0,Inputs!$B$13,0)+IF(T$1=Inputs!$B$6+Inputs!$B$7,Inputs!$B$14,0)</f>
        <v>4752000.0</v>
      </c>
      <c r="U3" s="9">
        <f>IF(AND(U$1&gt;Inputs!$B$6,U$1&lt;=Inputs!$B$6+Inputs!$B$7),Inputs!$B$2*Inputs!$B$3*12*$C3*(1+$D3)^(U$1-Inputs!$B$6-1)*(1-$E3),0)-IF(U$1&lt;Inputs!$B$6,$B3/Inputs!$B$6,0)-IF(U$1=0,Inputs!$B$13,0)+IF(U$1=Inputs!$B$6+Inputs!$B$7,Inputs!$B$14,0)</f>
        <v>4752000.0</v>
      </c>
      <c r="V3" s="9">
        <f>IF(AND(V$1&gt;Inputs!$B$6,V$1&lt;=Inputs!$B$6+Inputs!$B$7),Inputs!$B$2*Inputs!$B$3*12*$C3*(1+$D3)^(V$1-Inputs!$B$6-1)*(1-$E3),0)-IF(V$1&lt;Inputs!$B$6,$B3/Inputs!$B$6,0)-IF(V$1=0,Inputs!$B$13,0)+IF(V$1=Inputs!$B$6+Inputs!$B$7,Inputs!$B$14,0)</f>
        <v>4752000.0</v>
      </c>
      <c r="W3" s="9">
        <f>IF(AND(W$1&gt;Inputs!$B$6,W$1&lt;=Inputs!$B$6+Inputs!$B$7),Inputs!$B$2*Inputs!$B$3*12*$C3*(1+$D3)^(W$1-Inputs!$B$6-1)*(1-$E3),0)-IF(W$1&lt;Inputs!$B$6,$B3/Inputs!$B$6,0)-IF(W$1=0,Inputs!$B$13,0)+IF(W$1=Inputs!$B$6+Inputs!$B$7,Inputs!$B$14,0)</f>
        <v>4752000.0</v>
      </c>
      <c r="X3" s="9">
        <f>IF(AND(X$1&gt;Inputs!$B$6,X$1&lt;=Inputs!$B$6+Inputs!$B$7),Inputs!$B$2*Inputs!$B$3*12*$C3*(1+$D3)^(X$1-Inputs!$B$6-1)*(1-$E3),0)-IF(X$1&lt;Inputs!$B$6,$B3/Inputs!$B$6,0)-IF(X$1=0,Inputs!$B$13,0)+IF(X$1=Inputs!$B$6+Inputs!$B$7,Inputs!$B$14,0)</f>
        <v>4752000.0</v>
      </c>
      <c r="Y3" s="9">
        <f>IF(AND(Y$1&gt;Inputs!$B$6,Y$1&lt;=Inputs!$B$6+Inputs!$B$7),Inputs!$B$2*Inputs!$B$3*12*$C3*(1+$D3)^(Y$1-Inputs!$B$6-1)*(1-$E3),0)-IF(Y$1&lt;Inputs!$B$6,$B3/Inputs!$B$6,0)-IF(Y$1=0,Inputs!$B$13,0)+IF(Y$1=Inputs!$B$6+Inputs!$B$7,Inputs!$B$14,0)</f>
        <v>4752000.0</v>
      </c>
      <c r="Z3" s="9">
        <f>IF(AND(Z$1&gt;Inputs!$B$6,Z$1&lt;=Inputs!$B$6+Inputs!$B$7),Inputs!$B$2*Inputs!$B$3*12*$C3*(1+$D3)^(Z$1-Inputs!$B$6-1)*(1-$E3),0)-IF(Z$1&lt;Inputs!$B$6,$B3/Inputs!$B$6,0)-IF(Z$1=0,Inputs!$B$13,0)+IF(Z$1=Inputs!$B$6+Inputs!$B$7,Inputs!$B$14,0)</f>
        <v>4752000.0</v>
      </c>
      <c r="AA3" s="9">
        <f>IF(AND(AA$1&gt;Inputs!$B$6,AA$1&lt;=Inputs!$B$6+Inputs!$B$7),Inputs!$B$2*Inputs!$B$3*12*$C3*(1+$D3)^(AA$1-Inputs!$B$6-1)*(1-$E3),0)-IF(AA$1&lt;Inputs!$B$6,$B3/Inputs!$B$6,0)-IF(AA$1=0,Inputs!$B$13,0)+IF(AA$1=Inputs!$B$6+Inputs!$B$7,Inputs!$B$14,0)</f>
        <v>4752000.0</v>
      </c>
      <c r="AB3" s="9">
        <f>IF(AND(AB$1&gt;Inputs!$B$6,AB$1&lt;=Inputs!$B$6+Inputs!$B$7),Inputs!$B$2*Inputs!$B$3*12*$C3*(1+$D3)^(AB$1-Inputs!$B$6-1)*(1-$E3),0)-IF(AB$1&lt;Inputs!$B$6,$B3/Inputs!$B$6,0)-IF(AB$1=0,Inputs!$B$13,0)+IF(AB$1=Inputs!$B$6+Inputs!$B$7,Inputs!$B$14,0)</f>
        <v>4752000.0</v>
      </c>
      <c r="AC3" s="9">
        <f>IF(AND(AC$1&gt;Inputs!$B$6,AC$1&lt;=Inputs!$B$6+Inputs!$B$7),Inputs!$B$2*Inputs!$B$3*12*$C3*(1+$D3)^(AC$1-Inputs!$B$6-1)*(1-$E3),0)-IF(AC$1&lt;Inputs!$B$6,$B3/Inputs!$B$6,0)-IF(AC$1=0,Inputs!$B$13,0)+IF(AC$1=Inputs!$B$6+Inputs!$B$7,Inputs!$B$14,0)</f>
        <v>4752000.0</v>
      </c>
      <c r="AD3" s="9">
        <f>IF(AND(AD$1&gt;Inputs!$B$6,AD$1&lt;=Inputs!$B$6+Inputs!$B$7),Inputs!$B$2*Inputs!$B$3*12*$C3*(1+$D3)^(AD$1-Inputs!$B$6-1)*(1-$E3),0)-IF(AD$1&lt;Inputs!$B$6,$B3/Inputs!$B$6,0)-IF(AD$1=0,Inputs!$B$13,0)+IF(AD$1=Inputs!$B$6+Inputs!$B$7,Inputs!$B$14,0)</f>
        <v>4752000.0</v>
      </c>
      <c r="AE3" s="9">
        <f>IF(AND(AE$1&gt;Inputs!$B$6,AE$1&lt;=Inputs!$B$6+Inputs!$B$7),Inputs!$B$2*Inputs!$B$3*12*$C3*(1+$D3)^(AE$1-Inputs!$B$6-1)*(1-$E3),0)-IF(AE$1&lt;Inputs!$B$6,$B3/Inputs!$B$6,0)-IF(AE$1=0,Inputs!$B$13,0)+IF(AE$1=Inputs!$B$6+Inputs!$B$7,Inputs!$B$14,0)</f>
        <v>4752000.0</v>
      </c>
      <c r="AF3" s="9">
        <f>IF(AND(AF$1&gt;Inputs!$B$6,AF$1&lt;=Inputs!$B$6+Inputs!$B$7),Inputs!$B$2*Inputs!$B$3*12*$C3*(1+$D3)^(AF$1-Inputs!$B$6-1)*(1-$E3),0)-IF(AF$1&lt;Inputs!$B$6,$B3/Inputs!$B$6,0)-IF(AF$1=0,Inputs!$B$13,0)+IF(AF$1=Inputs!$B$6+Inputs!$B$7,Inputs!$B$14,0)</f>
        <v>4752000.0</v>
      </c>
      <c r="AG3" s="9">
        <f>IF(AND(AG$1&gt;Inputs!$B$6,AG$1&lt;=Inputs!$B$6+Inputs!$B$7),Inputs!$B$2*Inputs!$B$3*12*$C3*(1+$D3)^(AG$1-Inputs!$B$6-1)*(1-$E3),0)-IF(AG$1&lt;Inputs!$B$6,$B3/Inputs!$B$6,0)-IF(AG$1=0,Inputs!$B$13,0)+IF(AG$1=Inputs!$B$6+Inputs!$B$7,Inputs!$B$14,0)</f>
        <v>4752000.0</v>
      </c>
      <c r="AH3" s="9">
        <f>IF(AND(AH$1&gt;Inputs!$B$6,AH$1&lt;=Inputs!$B$6+Inputs!$B$7),Inputs!$B$2*Inputs!$B$3*12*$C3*(1+$D3)^(AH$1-Inputs!$B$6-1)*(1-$E3),0)-IF(AH$1&lt;Inputs!$B$6,$B3/Inputs!$B$6,0)-IF(AH$1=0,Inputs!$B$13,0)+IF(AH$1=Inputs!$B$6+Inputs!$B$7,Inputs!$B$14,0)</f>
        <v>4752000.0</v>
      </c>
      <c r="AI3" s="9">
        <f>IF(AND(AI$1&gt;Inputs!$B$6,AI$1&lt;=Inputs!$B$6+Inputs!$B$7),Inputs!$B$2*Inputs!$B$3*12*$C3*(1+$D3)^(AI$1-Inputs!$B$6-1)*(1-$E3),0)-IF(AI$1&lt;Inputs!$B$6,$B3/Inputs!$B$6,0)-IF(AI$1=0,Inputs!$B$13,0)+IF(AI$1=Inputs!$B$6+Inputs!$B$7,Inputs!$B$14,0)</f>
        <v>4752000.0</v>
      </c>
      <c r="AJ3" s="9">
        <f>IF(AND(AJ$1&gt;Inputs!$B$6,AJ$1&lt;=Inputs!$B$6+Inputs!$B$7),Inputs!$B$2*Inputs!$B$3*12*$C3*(1+$D3)^(AJ$1-Inputs!$B$6-1)*(1-$E3),0)-IF(AJ$1&lt;Inputs!$B$6,$B3/Inputs!$B$6,0)-IF(AJ$1=0,Inputs!$B$13,0)+IF(AJ$1=Inputs!$B$6+Inputs!$B$7,Inputs!$B$14,0)</f>
        <v>4752000.0</v>
      </c>
      <c r="AK3" s="9">
        <f>IF(AND(AK$1&gt;Inputs!$B$6,AK$1&lt;=Inputs!$B$6+Inputs!$B$7),Inputs!$B$2*Inputs!$B$3*12*$C3*(1+$D3)^(AK$1-Inputs!$B$6-1)*(1-$E3),0)-IF(AK$1&lt;Inputs!$B$6,$B3/Inputs!$B$6,0)-IF(AK$1=0,Inputs!$B$13,0)+IF(AK$1=Inputs!$B$6+Inputs!$B$7,Inputs!$B$14,0)</f>
        <v>4752000.0</v>
      </c>
      <c r="AL3" s="9">
        <f>IF(AND(AL$1&gt;Inputs!$B$6,AL$1&lt;=Inputs!$B$6+Inputs!$B$7),Inputs!$B$2*Inputs!$B$3*12*$C3*(1+$D3)^(AL$1-Inputs!$B$6-1)*(1-$E3),0)-IF(AL$1&lt;Inputs!$B$6,$B3/Inputs!$B$6,0)-IF(AL$1=0,Inputs!$B$13,0)+IF(AL$1=Inputs!$B$6+Inputs!$B$7,Inputs!$B$14,0)</f>
        <v>4752000.0</v>
      </c>
      <c r="AM3" s="9">
        <f>IF(AND(AM$1&gt;Inputs!$B$6,AM$1&lt;=Inputs!$B$6+Inputs!$B$7),Inputs!$B$2*Inputs!$B$3*12*$C3*(1+$D3)^(AM$1-Inputs!$B$6-1)*(1-$E3),0)-IF(AM$1&lt;Inputs!$B$6,$B3/Inputs!$B$6,0)-IF(AM$1=0,Inputs!$B$13,0)+IF(AM$1=Inputs!$B$6+Inputs!$B$7,Inputs!$B$14,0)</f>
        <v>4752000.0</v>
      </c>
      <c r="AN3" s="9">
        <f>IF(AND(AN$1&gt;Inputs!$B$6,AN$1&lt;=Inputs!$B$6+Inputs!$B$7),Inputs!$B$2*Inputs!$B$3*12*$C3*(1+$D3)^(AN$1-Inputs!$B$6-1)*(1-$E3),0)-IF(AN$1&lt;Inputs!$B$6,$B3/Inputs!$B$6,0)-IF(AN$1=0,Inputs!$B$13,0)+IF(AN$1=Inputs!$B$6+Inputs!$B$7,Inputs!$B$14,0)</f>
        <v>4752000.0</v>
      </c>
      <c r="AO3" s="9">
        <f>IF(AND(AO$1&gt;Inputs!$B$6,AO$1&lt;=Inputs!$B$6+Inputs!$B$7),Inputs!$B$2*Inputs!$B$3*12*$C3*(1+$D3)^(AO$1-Inputs!$B$6-1)*(1-$E3),0)-IF(AO$1&lt;Inputs!$B$6,$B3/Inputs!$B$6,0)-IF(AO$1=0,Inputs!$B$13,0)+IF(AO$1=Inputs!$B$6+Inputs!$B$7,Inputs!$B$14,0)</f>
        <v>4752000.0</v>
      </c>
      <c r="AP3" s="9">
        <f>IF(AND(AP$1&gt;Inputs!$B$6,AP$1&lt;=Inputs!$B$6+Inputs!$B$7),Inputs!$B$2*Inputs!$B$3*12*$C3*(1+$D3)^(AP$1-Inputs!$B$6-1)*(1-$E3),0)-IF(AP$1&lt;Inputs!$B$6,$B3/Inputs!$B$6,0)-IF(AP$1=0,Inputs!$B$13,0)+IF(AP$1=Inputs!$B$6+Inputs!$B$7,Inputs!$B$14,0)</f>
        <v>4752000.0</v>
      </c>
      <c r="AQ3" s="9">
        <f>IF(AND(AQ$1&gt;Inputs!$B$6,AQ$1&lt;=Inputs!$B$6+Inputs!$B$7),Inputs!$B$2*Inputs!$B$3*12*$C3*(1+$D3)^(AQ$1-Inputs!$B$6-1)*(1-$E3),0)-IF(AQ$1&lt;Inputs!$B$6,$B3/Inputs!$B$6,0)-IF(AQ$1=0,Inputs!$B$13,0)+IF(AQ$1=Inputs!$B$6+Inputs!$B$7,Inputs!$B$14,0)</f>
        <v>4752000.0</v>
      </c>
      <c r="AR3" s="9">
        <f>IF(AND(AR$1&gt;Inputs!$B$6,AR$1&lt;=Inputs!$B$6+Inputs!$B$7),Inputs!$B$2*Inputs!$B$3*12*$C3*(1+$D3)^(AR$1-Inputs!$B$6-1)*(1-$E3),0)-IF(AR$1&lt;Inputs!$B$6,$B3/Inputs!$B$6,0)-IF(AR$1=0,Inputs!$B$13,0)+IF(AR$1=Inputs!$B$6+Inputs!$B$7,Inputs!$B$14,0)</f>
        <v>4752000.0</v>
      </c>
      <c r="AS3" s="9">
        <f>IF(AND(AS$1&gt;Inputs!$B$6,AS$1&lt;=Inputs!$B$6+Inputs!$B$7),Inputs!$B$2*Inputs!$B$3*12*$C3*(1+$D3)^(AS$1-Inputs!$B$6-1)*(1-$E3),0)-IF(AS$1&lt;Inputs!$B$6,$B3/Inputs!$B$6,0)-IF(AS$1=0,Inputs!$B$13,0)+IF(AS$1=Inputs!$B$6+Inputs!$B$7,Inputs!$B$14,0)</f>
        <v>0.0</v>
      </c>
      <c r="AT3" s="9">
        <f>IF(AND(AT$1&gt;Inputs!$B$6,AT$1&lt;=Inputs!$B$6+Inputs!$B$7),Inputs!$B$2*Inputs!$B$3*12*$C3*(1+$D3)^(AT$1-Inputs!$B$6-1)*(1-$E3),0)-IF(AT$1&lt;Inputs!$B$6,$B3/Inputs!$B$6,0)-IF(AT$1=0,Inputs!$B$13,0)+IF(AT$1=Inputs!$B$6+Inputs!$B$7,Inputs!$B$14,0)</f>
        <v>0.0</v>
      </c>
      <c r="AU3" s="9">
        <f>IF(AND(AU$1&gt;Inputs!$B$6,AU$1&lt;=Inputs!$B$6+Inputs!$B$7),Inputs!$B$2*Inputs!$B$3*12*$C3*(1+$D3)^(AU$1-Inputs!$B$6-1)*(1-$E3),0)-IF(AU$1&lt;Inputs!$B$6,$B3/Inputs!$B$6,0)-IF(AU$1=0,Inputs!$B$13,0)+IF(AU$1=Inputs!$B$6+Inputs!$B$7,Inputs!$B$14,0)</f>
        <v>0.0</v>
      </c>
      <c r="AV3" s="9">
        <f>IF(AND(AV$1&gt;Inputs!$B$6,AV$1&lt;=Inputs!$B$6+Inputs!$B$7),Inputs!$B$2*Inputs!$B$3*12*$C3*(1+$D3)^(AV$1-Inputs!$B$6-1)*(1-$E3),0)-IF(AV$1&lt;Inputs!$B$6,$B3/Inputs!$B$6,0)-IF(AV$1=0,Inputs!$B$13,0)+IF(AV$1=Inputs!$B$6+Inputs!$B$7,Inputs!$B$14,0)</f>
        <v>0.0</v>
      </c>
      <c r="AW3" s="9">
        <f>IF(AND(AW$1&gt;Inputs!$B$6,AW$1&lt;=Inputs!$B$6+Inputs!$B$7),Inputs!$B$2*Inputs!$B$3*12*$C3*(1+$D3)^(AW$1-Inputs!$B$6-1)*(1-$E3),0)-IF(AW$1&lt;Inputs!$B$6,$B3/Inputs!$B$6,0)-IF(AW$1=0,Inputs!$B$13,0)+IF(AW$1=Inputs!$B$6+Inputs!$B$7,Inputs!$B$14,0)</f>
        <v>0.0</v>
      </c>
      <c r="AX3" s="9">
        <f>IF(AND(AX$1&gt;Inputs!$B$6,AX$1&lt;=Inputs!$B$6+Inputs!$B$7),Inputs!$B$2*Inputs!$B$3*12*$C3*(1+$D3)^(AX$1-Inputs!$B$6-1)*(1-$E3),0)-IF(AX$1&lt;Inputs!$B$6,$B3/Inputs!$B$6,0)-IF(AX$1=0,Inputs!$B$13,0)+IF(AX$1=Inputs!$B$6+Inputs!$B$7,Inputs!$B$14,0)</f>
        <v>0.0</v>
      </c>
      <c r="AY3" s="9">
        <f>IF(AND(AY$1&gt;Inputs!$B$6,AY$1&lt;=Inputs!$B$6+Inputs!$B$7),Inputs!$B$2*Inputs!$B$3*12*$C3*(1+$D3)^(AY$1-Inputs!$B$6-1)*(1-$E3),0)-IF(AY$1&lt;Inputs!$B$6,$B3/Inputs!$B$6,0)-IF(AY$1=0,Inputs!$B$13,0)+IF(AY$1=Inputs!$B$6+Inputs!$B$7,Inputs!$B$14,0)</f>
        <v>0.0</v>
      </c>
      <c r="AZ3" s="9">
        <f>IF(AND(AZ$1&gt;Inputs!$B$6,AZ$1&lt;=Inputs!$B$6+Inputs!$B$7),Inputs!$B$2*Inputs!$B$3*12*$C3*(1+$D3)^(AZ$1-Inputs!$B$6-1)*(1-$E3),0)-IF(AZ$1&lt;Inputs!$B$6,$B3/Inputs!$B$6,0)-IF(AZ$1=0,Inputs!$B$13,0)+IF(AZ$1=Inputs!$B$6+Inputs!$B$7,Inputs!$B$14,0)</f>
        <v>0.0</v>
      </c>
      <c r="BA3" s="9">
        <f>IF(AND(BA$1&gt;Inputs!$B$6,BA$1&lt;=Inputs!$B$6+Inputs!$B$7),Inputs!$B$2*Inputs!$B$3*12*$C3*(1+$D3)^(BA$1-Inputs!$B$6-1)*(1-$E3),0)-IF(BA$1&lt;Inputs!$B$6,$B3/Inputs!$B$6,0)-IF(BA$1=0,Inputs!$B$13,0)+IF(BA$1=Inputs!$B$6+Inputs!$B$7,Inputs!$B$14,0)</f>
        <v>0.0</v>
      </c>
      <c r="BB3" s="9">
        <f>IF(AND(BB$1&gt;Inputs!$B$6,BB$1&lt;=Inputs!$B$6+Inputs!$B$7),Inputs!$B$2*Inputs!$B$3*12*$C3*(1+$D3)^(BB$1-Inputs!$B$6-1)*(1-$E3),0)-IF(BB$1&lt;Inputs!$B$6,$B3/Inputs!$B$6,0)-IF(BB$1=0,Inputs!$B$13,0)+IF(BB$1=Inputs!$B$6+Inputs!$B$7,Inputs!$B$14,0)</f>
        <v>0.0</v>
      </c>
      <c r="BC3" s="9">
        <f>IF(AND(BC$1&gt;Inputs!$B$6,BC$1&lt;=Inputs!$B$6+Inputs!$B$7),Inputs!$B$2*Inputs!$B$3*12*$C3*(1+$D3)^(BC$1-Inputs!$B$6-1)*(1-$E3),0)-IF(BC$1&lt;Inputs!$B$6,$B3/Inputs!$B$6,0)-IF(BC$1=0,Inputs!$B$13,0)+IF(BC$1=Inputs!$B$6+Inputs!$B$7,Inputs!$B$14,0)</f>
        <v>0.0</v>
      </c>
      <c r="BD3" s="9">
        <f>IF(AND(BD$1&gt;Inputs!$B$6,BD$1&lt;=Inputs!$B$6+Inputs!$B$7),Inputs!$B$2*Inputs!$B$3*12*$C3*(1+$D3)^(BD$1-Inputs!$B$6-1)*(1-$E3),0)-IF(BD$1&lt;Inputs!$B$6,$B3/Inputs!$B$6,0)-IF(BD$1=0,Inputs!$B$13,0)+IF(BD$1=Inputs!$B$6+Inputs!$B$7,Inputs!$B$14,0)</f>
        <v>0.0</v>
      </c>
      <c r="BE3" s="9">
        <f>IF(AND(BE$1&gt;Inputs!$B$6,BE$1&lt;=Inputs!$B$6+Inputs!$B$7),Inputs!$B$2*Inputs!$B$3*12*$C3*(1+$D3)^(BE$1-Inputs!$B$6-1)*(1-$E3),0)-IF(BE$1&lt;Inputs!$B$6,$B3/Inputs!$B$6,0)-IF(BE$1=0,Inputs!$B$13,0)+IF(BE$1=Inputs!$B$6+Inputs!$B$7,Inputs!$B$14,0)</f>
        <v>0.0</v>
      </c>
      <c r="BF3" s="9">
        <f>IF(AND(BF$1&gt;Inputs!$B$6,BF$1&lt;=Inputs!$B$6+Inputs!$B$7),Inputs!$B$2*Inputs!$B$3*12*$C3*(1+$D3)^(BF$1-Inputs!$B$6-1)*(1-$E3),0)-IF(BF$1&lt;Inputs!$B$6,$B3/Inputs!$B$6,0)-IF(BF$1=0,Inputs!$B$13,0)+IF(BF$1=Inputs!$B$6+Inputs!$B$7,Inputs!$B$14,0)</f>
        <v>0.0</v>
      </c>
      <c r="BG3" s="9">
        <f>IF(AND(BG$1&gt;Inputs!$B$6,BG$1&lt;=Inputs!$B$6+Inputs!$B$7),Inputs!$B$2*Inputs!$B$3*12*$C3*(1+$D3)^(BG$1-Inputs!$B$6-1)*(1-$E3),0)-IF(BG$1&lt;Inputs!$B$6,$B3/Inputs!$B$6,0)-IF(BG$1=0,Inputs!$B$13,0)+IF(BG$1=Inputs!$B$6+Inputs!$B$7,Inputs!$B$14,0)</f>
        <v>0.0</v>
      </c>
      <c r="BH3" s="9">
        <f>IF(AND(BH$1&gt;Inputs!$B$6,BH$1&lt;=Inputs!$B$6+Inputs!$B$7),Inputs!$B$2*Inputs!$B$3*12*$C3*(1+$D3)^(BH$1-Inputs!$B$6-1)*(1-$E3),0)-IF(BH$1&lt;Inputs!$B$6,$B3/Inputs!$B$6,0)-IF(BH$1=0,Inputs!$B$13,0)+IF(BH$1=Inputs!$B$6+Inputs!$B$7,Inputs!$B$14,0)</f>
        <v>0.0</v>
      </c>
      <c r="BI3" s="9">
        <f>IF(AND(BI$1&gt;Inputs!$B$6,BI$1&lt;=Inputs!$B$6+Inputs!$B$7),Inputs!$B$2*Inputs!$B$3*12*$C3*(1+$D3)^(BI$1-Inputs!$B$6-1)*(1-$E3),0)-IF(BI$1&lt;Inputs!$B$6,$B3/Inputs!$B$6,0)-IF(BI$1=0,Inputs!$B$13,0)+IF(BI$1=Inputs!$B$6+Inputs!$B$7,Inputs!$B$14,0)</f>
        <v>0.0</v>
      </c>
      <c r="BJ3" s="9">
        <f>IF(AND(BJ$1&gt;Inputs!$B$6,BJ$1&lt;=Inputs!$B$6+Inputs!$B$7),Inputs!$B$2*Inputs!$B$3*12*$C3*(1+$D3)^(BJ$1-Inputs!$B$6-1)*(1-$E3),0)-IF(BJ$1&lt;Inputs!$B$6,$B3/Inputs!$B$6,0)-IF(BJ$1=0,Inputs!$B$13,0)+IF(BJ$1=Inputs!$B$6+Inputs!$B$7,Inputs!$B$14,0)</f>
        <v>0.0</v>
      </c>
      <c r="BK3" s="9">
        <f>IF(AND(BK$1&gt;Inputs!$B$6,BK$1&lt;=Inputs!$B$6+Inputs!$B$7),Inputs!$B$2*Inputs!$B$3*12*$C3*(1+$D3)^(BK$1-Inputs!$B$6-1)*(1-$E3),0)-IF(BK$1&lt;Inputs!$B$6,$B3/Inputs!$B$6,0)-IF(BK$1=0,Inputs!$B$13,0)+IF(BK$1=Inputs!$B$6+Inputs!$B$7,Inputs!$B$14,0)</f>
        <v>0.0</v>
      </c>
      <c r="BL3" s="9">
        <f>IF(AND(BL$1&gt;Inputs!$B$6,BL$1&lt;=Inputs!$B$6+Inputs!$B$7),Inputs!$B$2*Inputs!$B$3*12*$C3*(1+$D3)^(BL$1-Inputs!$B$6-1)*(1-$E3),0)-IF(BL$1&lt;Inputs!$B$6,$B3/Inputs!$B$6,0)-IF(BL$1=0,Inputs!$B$13,0)+IF(BL$1=Inputs!$B$6+Inputs!$B$7,Inputs!$B$14,0)</f>
        <v>0.0</v>
      </c>
      <c r="BM3" s="9">
        <f>IF(AND(BM$1&gt;Inputs!$B$6,BM$1&lt;=Inputs!$B$6+Inputs!$B$7),Inputs!$B$2*Inputs!$B$3*12*$C3*(1+$D3)^(BM$1-Inputs!$B$6-1)*(1-$E3),0)-IF(BM$1&lt;Inputs!$B$6,$B3/Inputs!$B$6,0)-IF(BM$1=0,Inputs!$B$13,0)+IF(BM$1=Inputs!$B$6+Inputs!$B$7,Inputs!$B$14,0)</f>
        <v>0.0</v>
      </c>
      <c r="BN3" s="9">
        <f>IF(AND(BN$1&gt;Inputs!$B$6,BN$1&lt;=Inputs!$B$6+Inputs!$B$7),Inputs!$B$2*Inputs!$B$3*12*$C3*(1+$D3)^(BN$1-Inputs!$B$6-1)*(1-$E3),0)-IF(BN$1&lt;Inputs!$B$6,$B3/Inputs!$B$6,0)-IF(BN$1=0,Inputs!$B$13,0)+IF(BN$1=Inputs!$B$6+Inputs!$B$7,Inputs!$B$14,0)</f>
        <v>0.0</v>
      </c>
      <c r="BO3" s="9">
        <f>IF(AND(BO$1&gt;Inputs!$B$6,BO$1&lt;=Inputs!$B$6+Inputs!$B$7),Inputs!$B$2*Inputs!$B$3*12*$C3*(1+$D3)^(BO$1-Inputs!$B$6-1)*(1-$E3),0)-IF(BO$1&lt;Inputs!$B$6,$B3/Inputs!$B$6,0)-IF(BO$1=0,Inputs!$B$13,0)+IF(BO$1=Inputs!$B$6+Inputs!$B$7,Inputs!$B$14,0)</f>
        <v>0.0</v>
      </c>
      <c r="BP3" s="9">
        <f>IF(AND(BP$1&gt;Inputs!$B$6,BP$1&lt;=Inputs!$B$6+Inputs!$B$7),Inputs!$B$2*Inputs!$B$3*12*$C3*(1+$D3)^(BP$1-Inputs!$B$6-1)*(1-$E3),0)-IF(BP$1&lt;Inputs!$B$6,$B3/Inputs!$B$6,0)-IF(BP$1=0,Inputs!$B$13,0)+IF(BP$1=Inputs!$B$6+Inputs!$B$7,Inputs!$B$14,0)</f>
        <v>0.0</v>
      </c>
      <c r="BQ3" s="9">
        <f>IF(AND(BQ$1&gt;Inputs!$B$6,BQ$1&lt;=Inputs!$B$6+Inputs!$B$7),Inputs!$B$2*Inputs!$B$3*12*$C3*(1+$D3)^(BQ$1-Inputs!$B$6-1)*(1-$E3),0)-IF(BQ$1&lt;Inputs!$B$6,$B3/Inputs!$B$6,0)-IF(BQ$1=0,Inputs!$B$13,0)+IF(BQ$1=Inputs!$B$6+Inputs!$B$7,Inputs!$B$14,0)</f>
        <v>0.0</v>
      </c>
      <c r="BR3" s="9">
        <f>IF(AND(BR$1&gt;Inputs!$B$6,BR$1&lt;=Inputs!$B$6+Inputs!$B$7),Inputs!$B$2*Inputs!$B$3*12*$C3*(1+$D3)^(BR$1-Inputs!$B$6-1)*(1-$E3),0)-IF(BR$1&lt;Inputs!$B$6,$B3/Inputs!$B$6,0)-IF(BR$1=0,Inputs!$B$13,0)+IF(BR$1=Inputs!$B$6+Inputs!$B$7,Inputs!$B$14,0)</f>
        <v>0.0</v>
      </c>
      <c r="BS3" s="9">
        <f>IF(AND(BS$1&gt;Inputs!$B$6,BS$1&lt;=Inputs!$B$6+Inputs!$B$7),Inputs!$B$2*Inputs!$B$3*12*$C3*(1+$D3)^(BS$1-Inputs!$B$6-1)*(1-$E3),0)-IF(BS$1&lt;Inputs!$B$6,$B3/Inputs!$B$6,0)-IF(BS$1=0,Inputs!$B$13,0)+IF(BS$1=Inputs!$B$6+Inputs!$B$7,Inputs!$B$14,0)</f>
        <v>0.0</v>
      </c>
      <c r="BT3" s="9">
        <f>IF(AND(BT$1&gt;Inputs!$B$6,BT$1&lt;=Inputs!$B$6+Inputs!$B$7),Inputs!$B$2*Inputs!$B$3*12*$C3*(1+$D3)^(BT$1-Inputs!$B$6-1)*(1-$E3),0)-IF(BT$1&lt;Inputs!$B$6,$B3/Inputs!$B$6,0)-IF(BT$1=0,Inputs!$B$13,0)+IF(BT$1=Inputs!$B$6+Inputs!$B$7,Inputs!$B$14,0)</f>
        <v>0.0</v>
      </c>
    </row>
    <row r="4" ht="48" customHeight="1">
      <c r="A4" s="2" t="inlineStr">
        <is>
          <t>Cost doubles</t>
        </is>
      </c>
      <c r="B4" s="3">
        <f>Inputs!$B$5*2</f>
        <v>30000000</v>
      </c>
      <c r="C4" s="8">
        <f>Inputs!$B$8</f>
        <v>0.95</v>
      </c>
      <c r="D4" s="8">
        <f>Inputs!$B$4</f>
        <v>0.05</v>
      </c>
      <c r="E4" s="8">
        <f>Inputs!$B$9+Inputs!$B$10</f>
        <v>0.35</v>
      </c>
      <c r="F4" s="8">
        <f>Inputs!$B$17+0</f>
        <v>0.043</v>
      </c>
      <c r="G4" s="3">
        <f>NPV(F4,M4:BT4)+L4</f>
        <v>165234629.96463728</v>
      </c>
      <c r="H4" s="8">
        <f>IFERROR(IRR(L4:BT4),"Not defined")</f>
        <v>0.213383498787043</v>
      </c>
      <c r="I4" s="6">
        <f>IF(MAX(L26:BT26)&gt;0,MAX(L26:BT26),"Not reached")</f>
        <v>6.154915329359375</v>
      </c>
      <c r="J4" s="6">
        <f>IF(MAX(L28:BT28)&gt;0,MAX(L28:BT28),"Not reached")</f>
        <v>6.933069234702369</v>
      </c>
      <c r="K4" s="3" t="str">
        <f>IF(AND(G4&gt;0,ISNUMBER(H4),H4&gt;F4,ISNUMBER(I4),I4&lt;=Inputs!$B$12),"PASS","FAIL")</f>
        <v>PASS</v>
      </c>
      <c r="L4" s="3">
        <f>IF(AND(L$1&gt;Inputs!$B$6,L$1&lt;=Inputs!$B$6+Inputs!$B$7),Inputs!$B$2*Inputs!$B$3*12*$C4*(1+$D4)^(L$1-Inputs!$B$6-1)*(1-$E4),0)-IF(L$1&lt;Inputs!$B$6,$B4/Inputs!$B$6,0)-IF(L$1=0,Inputs!$B$13,0)+IF(L$1=Inputs!$B$6+Inputs!$B$7,Inputs!$B$14,0)</f>
        <v>-15000000.0</v>
      </c>
      <c r="M4" s="3">
        <f>IF(AND(M$1&gt;Inputs!$B$6,M$1&lt;=Inputs!$B$6+Inputs!$B$7),Inputs!$B$2*Inputs!$B$3*12*$C4*(1+$D4)^(M$1-Inputs!$B$6-1)*(1-$E4),0)-IF(M$1&lt;Inputs!$B$6,$B4/Inputs!$B$6,0)-IF(M$1=0,Inputs!$B$13,0)+IF(M$1=Inputs!$B$6+Inputs!$B$7,Inputs!$B$14,0)</f>
        <v>-15000000.0</v>
      </c>
      <c r="N4" s="3">
        <f>IF(AND(N$1&gt;Inputs!$B$6,N$1&lt;=Inputs!$B$6+Inputs!$B$7),Inputs!$B$2*Inputs!$B$3*12*$C4*(1+$D4)^(N$1-Inputs!$B$6-1)*(1-$E4),0)-IF(N$1&lt;Inputs!$B$6,$B4/Inputs!$B$6,0)-IF(N$1=0,Inputs!$B$13,0)+IF(N$1=Inputs!$B$6+Inputs!$B$7,Inputs!$B$14,0)</f>
        <v>0.0</v>
      </c>
      <c r="O4" s="3">
        <f>IF(AND(O$1&gt;Inputs!$B$6,O$1&lt;=Inputs!$B$6+Inputs!$B$7),Inputs!$B$2*Inputs!$B$3*12*$C4*(1+$D4)^(O$1-Inputs!$B$6-1)*(1-$E4),0)-IF(O$1&lt;Inputs!$B$6,$B4/Inputs!$B$6,0)-IF(O$1=0,Inputs!$B$13,0)+IF(O$1=Inputs!$B$6+Inputs!$B$7,Inputs!$B$14,0)</f>
        <v>6669000.0</v>
      </c>
      <c r="P4" s="3">
        <f>IF(AND(P$1&gt;Inputs!$B$6,P$1&lt;=Inputs!$B$6+Inputs!$B$7),Inputs!$B$2*Inputs!$B$3*12*$C4*(1+$D4)^(P$1-Inputs!$B$6-1)*(1-$E4),0)-IF(P$1&lt;Inputs!$B$6,$B4/Inputs!$B$6,0)-IF(P$1=0,Inputs!$B$13,0)+IF(P$1=Inputs!$B$6+Inputs!$B$7,Inputs!$B$14,0)</f>
        <v>7002450.0</v>
      </c>
      <c r="Q4" s="3">
        <f>IF(AND(Q$1&gt;Inputs!$B$6,Q$1&lt;=Inputs!$B$6+Inputs!$B$7),Inputs!$B$2*Inputs!$B$3*12*$C4*(1+$D4)^(Q$1-Inputs!$B$6-1)*(1-$E4),0)-IF(Q$1&lt;Inputs!$B$6,$B4/Inputs!$B$6,0)-IF(Q$1=0,Inputs!$B$13,0)+IF(Q$1=Inputs!$B$6+Inputs!$B$7,Inputs!$B$14,0)</f>
        <v>7352572.5</v>
      </c>
      <c r="R4" s="3">
        <f>IF(AND(R$1&gt;Inputs!$B$6,R$1&lt;=Inputs!$B$6+Inputs!$B$7),Inputs!$B$2*Inputs!$B$3*12*$C4*(1+$D4)^(R$1-Inputs!$B$6-1)*(1-$E4),0)-IF(R$1&lt;Inputs!$B$6,$B4/Inputs!$B$6,0)-IF(R$1=0,Inputs!$B$13,0)+IF(R$1=Inputs!$B$6+Inputs!$B$7,Inputs!$B$14,0)</f>
        <v>7720201.125000003</v>
      </c>
      <c r="S4" s="3">
        <f>IF(AND(S$1&gt;Inputs!$B$6,S$1&lt;=Inputs!$B$6+Inputs!$B$7),Inputs!$B$2*Inputs!$B$3*12*$C4*(1+$D4)^(S$1-Inputs!$B$6-1)*(1-$E4),0)-IF(S$1&lt;Inputs!$B$6,$B4/Inputs!$B$6,0)-IF(S$1=0,Inputs!$B$13,0)+IF(S$1=Inputs!$B$6+Inputs!$B$7,Inputs!$B$14,0)</f>
        <v>8106211.181250002</v>
      </c>
      <c r="T4" s="3">
        <f>IF(AND(T$1&gt;Inputs!$B$6,T$1&lt;=Inputs!$B$6+Inputs!$B$7),Inputs!$B$2*Inputs!$B$3*12*$C4*(1+$D4)^(T$1-Inputs!$B$6-1)*(1-$E4),0)-IF(T$1&lt;Inputs!$B$6,$B4/Inputs!$B$6,0)-IF(T$1=0,Inputs!$B$13,0)+IF(T$1=Inputs!$B$6+Inputs!$B$7,Inputs!$B$14,0)</f>
        <v>8511521.740312502</v>
      </c>
      <c r="U4" s="3">
        <f>IF(AND(U$1&gt;Inputs!$B$6,U$1&lt;=Inputs!$B$6+Inputs!$B$7),Inputs!$B$2*Inputs!$B$3*12*$C4*(1+$D4)^(U$1-Inputs!$B$6-1)*(1-$E4),0)-IF(U$1&lt;Inputs!$B$6,$B4/Inputs!$B$6,0)-IF(U$1=0,Inputs!$B$13,0)+IF(U$1=Inputs!$B$6+Inputs!$B$7,Inputs!$B$14,0)</f>
        <v>8937097.827328129</v>
      </c>
      <c r="V4" s="3">
        <f>IF(AND(V$1&gt;Inputs!$B$6,V$1&lt;=Inputs!$B$6+Inputs!$B$7),Inputs!$B$2*Inputs!$B$3*12*$C4*(1+$D4)^(V$1-Inputs!$B$6-1)*(1-$E4),0)-IF(V$1&lt;Inputs!$B$6,$B4/Inputs!$B$6,0)-IF(V$1=0,Inputs!$B$13,0)+IF(V$1=Inputs!$B$6+Inputs!$B$7,Inputs!$B$14,0)</f>
        <v>9383952.718694534</v>
      </c>
      <c r="W4" s="3">
        <f>IF(AND(W$1&gt;Inputs!$B$6,W$1&lt;=Inputs!$B$6+Inputs!$B$7),Inputs!$B$2*Inputs!$B$3*12*$C4*(1+$D4)^(W$1-Inputs!$B$6-1)*(1-$E4),0)-IF(W$1&lt;Inputs!$B$6,$B4/Inputs!$B$6,0)-IF(W$1=0,Inputs!$B$13,0)+IF(W$1=Inputs!$B$6+Inputs!$B$7,Inputs!$B$14,0)</f>
        <v>9853150.354629261</v>
      </c>
      <c r="X4" s="3">
        <f>IF(AND(X$1&gt;Inputs!$B$6,X$1&lt;=Inputs!$B$6+Inputs!$B$7),Inputs!$B$2*Inputs!$B$3*12*$C4*(1+$D4)^(X$1-Inputs!$B$6-1)*(1-$E4),0)-IF(X$1&lt;Inputs!$B$6,$B4/Inputs!$B$6,0)-IF(X$1=0,Inputs!$B$13,0)+IF(X$1=Inputs!$B$6+Inputs!$B$7,Inputs!$B$14,0)</f>
        <v>10345807.872360723</v>
      </c>
      <c r="Y4" s="3">
        <f>IF(AND(Y$1&gt;Inputs!$B$6,Y$1&lt;=Inputs!$B$6+Inputs!$B$7),Inputs!$B$2*Inputs!$B$3*12*$C4*(1+$D4)^(Y$1-Inputs!$B$6-1)*(1-$E4),0)-IF(Y$1&lt;Inputs!$B$6,$B4/Inputs!$B$6,0)-IF(Y$1=0,Inputs!$B$13,0)+IF(Y$1=Inputs!$B$6+Inputs!$B$7,Inputs!$B$14,0)</f>
        <v>10863098.26597876</v>
      </c>
      <c r="Z4" s="3">
        <f>IF(AND(Z$1&gt;Inputs!$B$6,Z$1&lt;=Inputs!$B$6+Inputs!$B$7),Inputs!$B$2*Inputs!$B$3*12*$C4*(1+$D4)^(Z$1-Inputs!$B$6-1)*(1-$E4),0)-IF(Z$1&lt;Inputs!$B$6,$B4/Inputs!$B$6,0)-IF(Z$1=0,Inputs!$B$13,0)+IF(Z$1=Inputs!$B$6+Inputs!$B$7,Inputs!$B$14,0)</f>
        <v>11406253.1792777</v>
      </c>
      <c r="AA4" s="3">
        <f>IF(AND(AA$1&gt;Inputs!$B$6,AA$1&lt;=Inputs!$B$6+Inputs!$B$7),Inputs!$B$2*Inputs!$B$3*12*$C4*(1+$D4)^(AA$1-Inputs!$B$6-1)*(1-$E4),0)-IF(AA$1&lt;Inputs!$B$6,$B4/Inputs!$B$6,0)-IF(AA$1=0,Inputs!$B$13,0)+IF(AA$1=Inputs!$B$6+Inputs!$B$7,Inputs!$B$14,0)</f>
        <v>11976565.838241586</v>
      </c>
      <c r="AB4" s="3">
        <f>IF(AND(AB$1&gt;Inputs!$B$6,AB$1&lt;=Inputs!$B$6+Inputs!$B$7),Inputs!$B$2*Inputs!$B$3*12*$C4*(1+$D4)^(AB$1-Inputs!$B$6-1)*(1-$E4),0)-IF(AB$1&lt;Inputs!$B$6,$B4/Inputs!$B$6,0)-IF(AB$1=0,Inputs!$B$13,0)+IF(AB$1=Inputs!$B$6+Inputs!$B$7,Inputs!$B$14,0)</f>
        <v>12575394.130153665</v>
      </c>
      <c r="AC4" s="3">
        <f>IF(AND(AC$1&gt;Inputs!$B$6,AC$1&lt;=Inputs!$B$6+Inputs!$B$7),Inputs!$B$2*Inputs!$B$3*12*$C4*(1+$D4)^(AC$1-Inputs!$B$6-1)*(1-$E4),0)-IF(AC$1&lt;Inputs!$B$6,$B4/Inputs!$B$6,0)-IF(AC$1=0,Inputs!$B$13,0)+IF(AC$1=Inputs!$B$6+Inputs!$B$7,Inputs!$B$14,0)</f>
        <v>13204163.836661352</v>
      </c>
      <c r="AD4" s="3">
        <f>IF(AND(AD$1&gt;Inputs!$B$6,AD$1&lt;=Inputs!$B$6+Inputs!$B$7),Inputs!$B$2*Inputs!$B$3*12*$C4*(1+$D4)^(AD$1-Inputs!$B$6-1)*(1-$E4),0)-IF(AD$1&lt;Inputs!$B$6,$B4/Inputs!$B$6,0)-IF(AD$1=0,Inputs!$B$13,0)+IF(AD$1=Inputs!$B$6+Inputs!$B$7,Inputs!$B$14,0)</f>
        <v>13864372.02849442</v>
      </c>
      <c r="AE4" s="3">
        <f>IF(AND(AE$1&gt;Inputs!$B$6,AE$1&lt;=Inputs!$B$6+Inputs!$B$7),Inputs!$B$2*Inputs!$B$3*12*$C4*(1+$D4)^(AE$1-Inputs!$B$6-1)*(1-$E4),0)-IF(AE$1&lt;Inputs!$B$6,$B4/Inputs!$B$6,0)-IF(AE$1=0,Inputs!$B$13,0)+IF(AE$1=Inputs!$B$6+Inputs!$B$7,Inputs!$B$14,0)</f>
        <v>14557590.629919138</v>
      </c>
      <c r="AF4" s="3">
        <f>IF(AND(AF$1&gt;Inputs!$B$6,AF$1&lt;=Inputs!$B$6+Inputs!$B$7),Inputs!$B$2*Inputs!$B$3*12*$C4*(1+$D4)^(AF$1-Inputs!$B$6-1)*(1-$E4),0)-IF(AF$1&lt;Inputs!$B$6,$B4/Inputs!$B$6,0)-IF(AF$1=0,Inputs!$B$13,0)+IF(AF$1=Inputs!$B$6+Inputs!$B$7,Inputs!$B$14,0)</f>
        <v>15285470.161415096</v>
      </c>
      <c r="AG4" s="3">
        <f>IF(AND(AG$1&gt;Inputs!$B$6,AG$1&lt;=Inputs!$B$6+Inputs!$B$7),Inputs!$B$2*Inputs!$B$3*12*$C4*(1+$D4)^(AG$1-Inputs!$B$6-1)*(1-$E4),0)-IF(AG$1&lt;Inputs!$B$6,$B4/Inputs!$B$6,0)-IF(AG$1=0,Inputs!$B$13,0)+IF(AG$1=Inputs!$B$6+Inputs!$B$7,Inputs!$B$14,0)</f>
        <v>16049743.669485852</v>
      </c>
      <c r="AH4" s="3">
        <f>IF(AND(AH$1&gt;Inputs!$B$6,AH$1&lt;=Inputs!$B$6+Inputs!$B$7),Inputs!$B$2*Inputs!$B$3*12*$C4*(1+$D4)^(AH$1-Inputs!$B$6-1)*(1-$E4),0)-IF(AH$1&lt;Inputs!$B$6,$B4/Inputs!$B$6,0)-IF(AH$1=0,Inputs!$B$13,0)+IF(AH$1=Inputs!$B$6+Inputs!$B$7,Inputs!$B$14,0)</f>
        <v>16852230.852960147</v>
      </c>
      <c r="AI4" s="3">
        <f>IF(AND(AI$1&gt;Inputs!$B$6,AI$1&lt;=Inputs!$B$6+Inputs!$B$7),Inputs!$B$2*Inputs!$B$3*12*$C4*(1+$D4)^(AI$1-Inputs!$B$6-1)*(1-$E4),0)-IF(AI$1&lt;Inputs!$B$6,$B4/Inputs!$B$6,0)-IF(AI$1=0,Inputs!$B$13,0)+IF(AI$1=Inputs!$B$6+Inputs!$B$7,Inputs!$B$14,0)</f>
        <v>17694842.395608153</v>
      </c>
      <c r="AJ4" s="3">
        <f>IF(AND(AJ$1&gt;Inputs!$B$6,AJ$1&lt;=Inputs!$B$6+Inputs!$B$7),Inputs!$B$2*Inputs!$B$3*12*$C4*(1+$D4)^(AJ$1-Inputs!$B$6-1)*(1-$E4),0)-IF(AJ$1&lt;Inputs!$B$6,$B4/Inputs!$B$6,0)-IF(AJ$1=0,Inputs!$B$13,0)+IF(AJ$1=Inputs!$B$6+Inputs!$B$7,Inputs!$B$14,0)</f>
        <v>18579584.51538856</v>
      </c>
      <c r="AK4" s="3">
        <f>IF(AND(AK$1&gt;Inputs!$B$6,AK$1&lt;=Inputs!$B$6+Inputs!$B$7),Inputs!$B$2*Inputs!$B$3*12*$C4*(1+$D4)^(AK$1-Inputs!$B$6-1)*(1-$E4),0)-IF(AK$1&lt;Inputs!$B$6,$B4/Inputs!$B$6,0)-IF(AK$1=0,Inputs!$B$13,0)+IF(AK$1=Inputs!$B$6+Inputs!$B$7,Inputs!$B$14,0)</f>
        <v>19508563.74115799</v>
      </c>
      <c r="AL4" s="3">
        <f>IF(AND(AL$1&gt;Inputs!$B$6,AL$1&lt;=Inputs!$B$6+Inputs!$B$7),Inputs!$B$2*Inputs!$B$3*12*$C4*(1+$D4)^(AL$1-Inputs!$B$6-1)*(1-$E4),0)-IF(AL$1&lt;Inputs!$B$6,$B4/Inputs!$B$6,0)-IF(AL$1=0,Inputs!$B$13,0)+IF(AL$1=Inputs!$B$6+Inputs!$B$7,Inputs!$B$14,0)</f>
        <v>20483991.92821589</v>
      </c>
      <c r="AM4" s="3">
        <f>IF(AND(AM$1&gt;Inputs!$B$6,AM$1&lt;=Inputs!$B$6+Inputs!$B$7),Inputs!$B$2*Inputs!$B$3*12*$C4*(1+$D4)^(AM$1-Inputs!$B$6-1)*(1-$E4),0)-IF(AM$1&lt;Inputs!$B$6,$B4/Inputs!$B$6,0)-IF(AM$1=0,Inputs!$B$13,0)+IF(AM$1=Inputs!$B$6+Inputs!$B$7,Inputs!$B$14,0)</f>
        <v>21508191.524626687</v>
      </c>
      <c r="AN4" s="3">
        <f>IF(AND(AN$1&gt;Inputs!$B$6,AN$1&lt;=Inputs!$B$6+Inputs!$B$7),Inputs!$B$2*Inputs!$B$3*12*$C4*(1+$D4)^(AN$1-Inputs!$B$6-1)*(1-$E4),0)-IF(AN$1&lt;Inputs!$B$6,$B4/Inputs!$B$6,0)-IF(AN$1=0,Inputs!$B$13,0)+IF(AN$1=Inputs!$B$6+Inputs!$B$7,Inputs!$B$14,0)</f>
        <v>22583601.10085802</v>
      </c>
      <c r="AO4" s="3">
        <f>IF(AND(AO$1&gt;Inputs!$B$6,AO$1&lt;=Inputs!$B$6+Inputs!$B$7),Inputs!$B$2*Inputs!$B$3*12*$C4*(1+$D4)^(AO$1-Inputs!$B$6-1)*(1-$E4),0)-IF(AO$1&lt;Inputs!$B$6,$B4/Inputs!$B$6,0)-IF(AO$1=0,Inputs!$B$13,0)+IF(AO$1=Inputs!$B$6+Inputs!$B$7,Inputs!$B$14,0)</f>
        <v>23712781.155900925</v>
      </c>
      <c r="AP4" s="3">
        <f>IF(AND(AP$1&gt;Inputs!$B$6,AP$1&lt;=Inputs!$B$6+Inputs!$B$7),Inputs!$B$2*Inputs!$B$3*12*$C4*(1+$D4)^(AP$1-Inputs!$B$6-1)*(1-$E4),0)-IF(AP$1&lt;Inputs!$B$6,$B4/Inputs!$B$6,0)-IF(AP$1=0,Inputs!$B$13,0)+IF(AP$1=Inputs!$B$6+Inputs!$B$7,Inputs!$B$14,0)</f>
        <v>24898420.213695973</v>
      </c>
      <c r="AQ4" s="3">
        <f>IF(AND(AQ$1&gt;Inputs!$B$6,AQ$1&lt;=Inputs!$B$6+Inputs!$B$7),Inputs!$B$2*Inputs!$B$3*12*$C4*(1+$D4)^(AQ$1-Inputs!$B$6-1)*(1-$E4),0)-IF(AQ$1&lt;Inputs!$B$6,$B4/Inputs!$B$6,0)-IF(AQ$1=0,Inputs!$B$13,0)+IF(AQ$1=Inputs!$B$6+Inputs!$B$7,Inputs!$B$14,0)</f>
        <v>26143341.224380773</v>
      </c>
      <c r="AR4" s="3">
        <f>IF(AND(AR$1&gt;Inputs!$B$6,AR$1&lt;=Inputs!$B$6+Inputs!$B$7),Inputs!$B$2*Inputs!$B$3*12*$C4*(1+$D4)^(AR$1-Inputs!$B$6-1)*(1-$E4),0)-IF(AR$1&lt;Inputs!$B$6,$B4/Inputs!$B$6,0)-IF(AR$1=0,Inputs!$B$13,0)+IF(AR$1=Inputs!$B$6+Inputs!$B$7,Inputs!$B$14,0)</f>
        <v>27450508.285599813</v>
      </c>
      <c r="AS4" s="3">
        <f>IF(AND(AS$1&gt;Inputs!$B$6,AS$1&lt;=Inputs!$B$6+Inputs!$B$7),Inputs!$B$2*Inputs!$B$3*12*$C4*(1+$D4)^(AS$1-Inputs!$B$6-1)*(1-$E4),0)-IF(AS$1&lt;Inputs!$B$6,$B4/Inputs!$B$6,0)-IF(AS$1=0,Inputs!$B$13,0)+IF(AS$1=Inputs!$B$6+Inputs!$B$7,Inputs!$B$14,0)</f>
        <v>0.0</v>
      </c>
      <c r="AT4" s="3">
        <f>IF(AND(AT$1&gt;Inputs!$B$6,AT$1&lt;=Inputs!$B$6+Inputs!$B$7),Inputs!$B$2*Inputs!$B$3*12*$C4*(1+$D4)^(AT$1-Inputs!$B$6-1)*(1-$E4),0)-IF(AT$1&lt;Inputs!$B$6,$B4/Inputs!$B$6,0)-IF(AT$1=0,Inputs!$B$13,0)+IF(AT$1=Inputs!$B$6+Inputs!$B$7,Inputs!$B$14,0)</f>
        <v>0.0</v>
      </c>
      <c r="AU4" s="3">
        <f>IF(AND(AU$1&gt;Inputs!$B$6,AU$1&lt;=Inputs!$B$6+Inputs!$B$7),Inputs!$B$2*Inputs!$B$3*12*$C4*(1+$D4)^(AU$1-Inputs!$B$6-1)*(1-$E4),0)-IF(AU$1&lt;Inputs!$B$6,$B4/Inputs!$B$6,0)-IF(AU$1=0,Inputs!$B$13,0)+IF(AU$1=Inputs!$B$6+Inputs!$B$7,Inputs!$B$14,0)</f>
        <v>0.0</v>
      </c>
      <c r="AV4" s="3">
        <f>IF(AND(AV$1&gt;Inputs!$B$6,AV$1&lt;=Inputs!$B$6+Inputs!$B$7),Inputs!$B$2*Inputs!$B$3*12*$C4*(1+$D4)^(AV$1-Inputs!$B$6-1)*(1-$E4),0)-IF(AV$1&lt;Inputs!$B$6,$B4/Inputs!$B$6,0)-IF(AV$1=0,Inputs!$B$13,0)+IF(AV$1=Inputs!$B$6+Inputs!$B$7,Inputs!$B$14,0)</f>
        <v>0.0</v>
      </c>
      <c r="AW4" s="3">
        <f>IF(AND(AW$1&gt;Inputs!$B$6,AW$1&lt;=Inputs!$B$6+Inputs!$B$7),Inputs!$B$2*Inputs!$B$3*12*$C4*(1+$D4)^(AW$1-Inputs!$B$6-1)*(1-$E4),0)-IF(AW$1&lt;Inputs!$B$6,$B4/Inputs!$B$6,0)-IF(AW$1=0,Inputs!$B$13,0)+IF(AW$1=Inputs!$B$6+Inputs!$B$7,Inputs!$B$14,0)</f>
        <v>0.0</v>
      </c>
      <c r="AX4" s="3">
        <f>IF(AND(AX$1&gt;Inputs!$B$6,AX$1&lt;=Inputs!$B$6+Inputs!$B$7),Inputs!$B$2*Inputs!$B$3*12*$C4*(1+$D4)^(AX$1-Inputs!$B$6-1)*(1-$E4),0)-IF(AX$1&lt;Inputs!$B$6,$B4/Inputs!$B$6,0)-IF(AX$1=0,Inputs!$B$13,0)+IF(AX$1=Inputs!$B$6+Inputs!$B$7,Inputs!$B$14,0)</f>
        <v>0.0</v>
      </c>
      <c r="AY4" s="3">
        <f>IF(AND(AY$1&gt;Inputs!$B$6,AY$1&lt;=Inputs!$B$6+Inputs!$B$7),Inputs!$B$2*Inputs!$B$3*12*$C4*(1+$D4)^(AY$1-Inputs!$B$6-1)*(1-$E4),0)-IF(AY$1&lt;Inputs!$B$6,$B4/Inputs!$B$6,0)-IF(AY$1=0,Inputs!$B$13,0)+IF(AY$1=Inputs!$B$6+Inputs!$B$7,Inputs!$B$14,0)</f>
        <v>0.0</v>
      </c>
      <c r="AZ4" s="3">
        <f>IF(AND(AZ$1&gt;Inputs!$B$6,AZ$1&lt;=Inputs!$B$6+Inputs!$B$7),Inputs!$B$2*Inputs!$B$3*12*$C4*(1+$D4)^(AZ$1-Inputs!$B$6-1)*(1-$E4),0)-IF(AZ$1&lt;Inputs!$B$6,$B4/Inputs!$B$6,0)-IF(AZ$1=0,Inputs!$B$13,0)+IF(AZ$1=Inputs!$B$6+Inputs!$B$7,Inputs!$B$14,0)</f>
        <v>0.0</v>
      </c>
      <c r="BA4" s="3">
        <f>IF(AND(BA$1&gt;Inputs!$B$6,BA$1&lt;=Inputs!$B$6+Inputs!$B$7),Inputs!$B$2*Inputs!$B$3*12*$C4*(1+$D4)^(BA$1-Inputs!$B$6-1)*(1-$E4),0)-IF(BA$1&lt;Inputs!$B$6,$B4/Inputs!$B$6,0)-IF(BA$1=0,Inputs!$B$13,0)+IF(BA$1=Inputs!$B$6+Inputs!$B$7,Inputs!$B$14,0)</f>
        <v>0.0</v>
      </c>
      <c r="BB4" s="3">
        <f>IF(AND(BB$1&gt;Inputs!$B$6,BB$1&lt;=Inputs!$B$6+Inputs!$B$7),Inputs!$B$2*Inputs!$B$3*12*$C4*(1+$D4)^(BB$1-Inputs!$B$6-1)*(1-$E4),0)-IF(BB$1&lt;Inputs!$B$6,$B4/Inputs!$B$6,0)-IF(BB$1=0,Inputs!$B$13,0)+IF(BB$1=Inputs!$B$6+Inputs!$B$7,Inputs!$B$14,0)</f>
        <v>0.0</v>
      </c>
      <c r="BC4" s="3">
        <f>IF(AND(BC$1&gt;Inputs!$B$6,BC$1&lt;=Inputs!$B$6+Inputs!$B$7),Inputs!$B$2*Inputs!$B$3*12*$C4*(1+$D4)^(BC$1-Inputs!$B$6-1)*(1-$E4),0)-IF(BC$1&lt;Inputs!$B$6,$B4/Inputs!$B$6,0)-IF(BC$1=0,Inputs!$B$13,0)+IF(BC$1=Inputs!$B$6+Inputs!$B$7,Inputs!$B$14,0)</f>
        <v>0.0</v>
      </c>
      <c r="BD4" s="3">
        <f>IF(AND(BD$1&gt;Inputs!$B$6,BD$1&lt;=Inputs!$B$6+Inputs!$B$7),Inputs!$B$2*Inputs!$B$3*12*$C4*(1+$D4)^(BD$1-Inputs!$B$6-1)*(1-$E4),0)-IF(BD$1&lt;Inputs!$B$6,$B4/Inputs!$B$6,0)-IF(BD$1=0,Inputs!$B$13,0)+IF(BD$1=Inputs!$B$6+Inputs!$B$7,Inputs!$B$14,0)</f>
        <v>0.0</v>
      </c>
      <c r="BE4" s="3">
        <f>IF(AND(BE$1&gt;Inputs!$B$6,BE$1&lt;=Inputs!$B$6+Inputs!$B$7),Inputs!$B$2*Inputs!$B$3*12*$C4*(1+$D4)^(BE$1-Inputs!$B$6-1)*(1-$E4),0)-IF(BE$1&lt;Inputs!$B$6,$B4/Inputs!$B$6,0)-IF(BE$1=0,Inputs!$B$13,0)+IF(BE$1=Inputs!$B$6+Inputs!$B$7,Inputs!$B$14,0)</f>
        <v>0.0</v>
      </c>
      <c r="BF4" s="3">
        <f>IF(AND(BF$1&gt;Inputs!$B$6,BF$1&lt;=Inputs!$B$6+Inputs!$B$7),Inputs!$B$2*Inputs!$B$3*12*$C4*(1+$D4)^(BF$1-Inputs!$B$6-1)*(1-$E4),0)-IF(BF$1&lt;Inputs!$B$6,$B4/Inputs!$B$6,0)-IF(BF$1=0,Inputs!$B$13,0)+IF(BF$1=Inputs!$B$6+Inputs!$B$7,Inputs!$B$14,0)</f>
        <v>0.0</v>
      </c>
      <c r="BG4" s="3">
        <f>IF(AND(BG$1&gt;Inputs!$B$6,BG$1&lt;=Inputs!$B$6+Inputs!$B$7),Inputs!$B$2*Inputs!$B$3*12*$C4*(1+$D4)^(BG$1-Inputs!$B$6-1)*(1-$E4),0)-IF(BG$1&lt;Inputs!$B$6,$B4/Inputs!$B$6,0)-IF(BG$1=0,Inputs!$B$13,0)+IF(BG$1=Inputs!$B$6+Inputs!$B$7,Inputs!$B$14,0)</f>
        <v>0.0</v>
      </c>
      <c r="BH4" s="3">
        <f>IF(AND(BH$1&gt;Inputs!$B$6,BH$1&lt;=Inputs!$B$6+Inputs!$B$7),Inputs!$B$2*Inputs!$B$3*12*$C4*(1+$D4)^(BH$1-Inputs!$B$6-1)*(1-$E4),0)-IF(BH$1&lt;Inputs!$B$6,$B4/Inputs!$B$6,0)-IF(BH$1=0,Inputs!$B$13,0)+IF(BH$1=Inputs!$B$6+Inputs!$B$7,Inputs!$B$14,0)</f>
        <v>0.0</v>
      </c>
      <c r="BI4" s="3">
        <f>IF(AND(BI$1&gt;Inputs!$B$6,BI$1&lt;=Inputs!$B$6+Inputs!$B$7),Inputs!$B$2*Inputs!$B$3*12*$C4*(1+$D4)^(BI$1-Inputs!$B$6-1)*(1-$E4),0)-IF(BI$1&lt;Inputs!$B$6,$B4/Inputs!$B$6,0)-IF(BI$1=0,Inputs!$B$13,0)+IF(BI$1=Inputs!$B$6+Inputs!$B$7,Inputs!$B$14,0)</f>
        <v>0.0</v>
      </c>
      <c r="BJ4" s="3">
        <f>IF(AND(BJ$1&gt;Inputs!$B$6,BJ$1&lt;=Inputs!$B$6+Inputs!$B$7),Inputs!$B$2*Inputs!$B$3*12*$C4*(1+$D4)^(BJ$1-Inputs!$B$6-1)*(1-$E4),0)-IF(BJ$1&lt;Inputs!$B$6,$B4/Inputs!$B$6,0)-IF(BJ$1=0,Inputs!$B$13,0)+IF(BJ$1=Inputs!$B$6+Inputs!$B$7,Inputs!$B$14,0)</f>
        <v>0.0</v>
      </c>
      <c r="BK4" s="3">
        <f>IF(AND(BK$1&gt;Inputs!$B$6,BK$1&lt;=Inputs!$B$6+Inputs!$B$7),Inputs!$B$2*Inputs!$B$3*12*$C4*(1+$D4)^(BK$1-Inputs!$B$6-1)*(1-$E4),0)-IF(BK$1&lt;Inputs!$B$6,$B4/Inputs!$B$6,0)-IF(BK$1=0,Inputs!$B$13,0)+IF(BK$1=Inputs!$B$6+Inputs!$B$7,Inputs!$B$14,0)</f>
        <v>0.0</v>
      </c>
      <c r="BL4" s="3">
        <f>IF(AND(BL$1&gt;Inputs!$B$6,BL$1&lt;=Inputs!$B$6+Inputs!$B$7),Inputs!$B$2*Inputs!$B$3*12*$C4*(1+$D4)^(BL$1-Inputs!$B$6-1)*(1-$E4),0)-IF(BL$1&lt;Inputs!$B$6,$B4/Inputs!$B$6,0)-IF(BL$1=0,Inputs!$B$13,0)+IF(BL$1=Inputs!$B$6+Inputs!$B$7,Inputs!$B$14,0)</f>
        <v>0.0</v>
      </c>
      <c r="BM4" s="3">
        <f>IF(AND(BM$1&gt;Inputs!$B$6,BM$1&lt;=Inputs!$B$6+Inputs!$B$7),Inputs!$B$2*Inputs!$B$3*12*$C4*(1+$D4)^(BM$1-Inputs!$B$6-1)*(1-$E4),0)-IF(BM$1&lt;Inputs!$B$6,$B4/Inputs!$B$6,0)-IF(BM$1=0,Inputs!$B$13,0)+IF(BM$1=Inputs!$B$6+Inputs!$B$7,Inputs!$B$14,0)</f>
        <v>0.0</v>
      </c>
      <c r="BN4" s="3">
        <f>IF(AND(BN$1&gt;Inputs!$B$6,BN$1&lt;=Inputs!$B$6+Inputs!$B$7),Inputs!$B$2*Inputs!$B$3*12*$C4*(1+$D4)^(BN$1-Inputs!$B$6-1)*(1-$E4),0)-IF(BN$1&lt;Inputs!$B$6,$B4/Inputs!$B$6,0)-IF(BN$1=0,Inputs!$B$13,0)+IF(BN$1=Inputs!$B$6+Inputs!$B$7,Inputs!$B$14,0)</f>
        <v>0.0</v>
      </c>
      <c r="BO4" s="3">
        <f>IF(AND(BO$1&gt;Inputs!$B$6,BO$1&lt;=Inputs!$B$6+Inputs!$B$7),Inputs!$B$2*Inputs!$B$3*12*$C4*(1+$D4)^(BO$1-Inputs!$B$6-1)*(1-$E4),0)-IF(BO$1&lt;Inputs!$B$6,$B4/Inputs!$B$6,0)-IF(BO$1=0,Inputs!$B$13,0)+IF(BO$1=Inputs!$B$6+Inputs!$B$7,Inputs!$B$14,0)</f>
        <v>0.0</v>
      </c>
      <c r="BP4" s="3">
        <f>IF(AND(BP$1&gt;Inputs!$B$6,BP$1&lt;=Inputs!$B$6+Inputs!$B$7),Inputs!$B$2*Inputs!$B$3*12*$C4*(1+$D4)^(BP$1-Inputs!$B$6-1)*(1-$E4),0)-IF(BP$1&lt;Inputs!$B$6,$B4/Inputs!$B$6,0)-IF(BP$1=0,Inputs!$B$13,0)+IF(BP$1=Inputs!$B$6+Inputs!$B$7,Inputs!$B$14,0)</f>
        <v>0.0</v>
      </c>
      <c r="BQ4" s="3">
        <f>IF(AND(BQ$1&gt;Inputs!$B$6,BQ$1&lt;=Inputs!$B$6+Inputs!$B$7),Inputs!$B$2*Inputs!$B$3*12*$C4*(1+$D4)^(BQ$1-Inputs!$B$6-1)*(1-$E4),0)-IF(BQ$1&lt;Inputs!$B$6,$B4/Inputs!$B$6,0)-IF(BQ$1=0,Inputs!$B$13,0)+IF(BQ$1=Inputs!$B$6+Inputs!$B$7,Inputs!$B$14,0)</f>
        <v>0.0</v>
      </c>
      <c r="BR4" s="3">
        <f>IF(AND(BR$1&gt;Inputs!$B$6,BR$1&lt;=Inputs!$B$6+Inputs!$B$7),Inputs!$B$2*Inputs!$B$3*12*$C4*(1+$D4)^(BR$1-Inputs!$B$6-1)*(1-$E4),0)-IF(BR$1&lt;Inputs!$B$6,$B4/Inputs!$B$6,0)-IF(BR$1=0,Inputs!$B$13,0)+IF(BR$1=Inputs!$B$6+Inputs!$B$7,Inputs!$B$14,0)</f>
        <v>0.0</v>
      </c>
      <c r="BS4" s="3">
        <f>IF(AND(BS$1&gt;Inputs!$B$6,BS$1&lt;=Inputs!$B$6+Inputs!$B$7),Inputs!$B$2*Inputs!$B$3*12*$C4*(1+$D4)^(BS$1-Inputs!$B$6-1)*(1-$E4),0)-IF(BS$1&lt;Inputs!$B$6,$B4/Inputs!$B$6,0)-IF(BS$1=0,Inputs!$B$13,0)+IF(BS$1=Inputs!$B$6+Inputs!$B$7,Inputs!$B$14,0)</f>
        <v>0.0</v>
      </c>
      <c r="BT4" s="3">
        <f>IF(AND(BT$1&gt;Inputs!$B$6,BT$1&lt;=Inputs!$B$6+Inputs!$B$7),Inputs!$B$2*Inputs!$B$3*12*$C4*(1+$D4)^(BT$1-Inputs!$B$6-1)*(1-$E4),0)-IF(BT$1&lt;Inputs!$B$6,$B4/Inputs!$B$6,0)-IF(BT$1=0,Inputs!$B$13,0)+IF(BT$1=Inputs!$B$6+Inputs!$B$7,Inputs!$B$14,0)</f>
        <v>0.0</v>
      </c>
    </row>
    <row r="5" ht="48" customHeight="1">
      <c r="A5" s="4" t="inlineStr">
        <is>
          <t>Project risk +4 percentage points</t>
        </is>
      </c>
      <c r="B5" s="9">
        <f>Inputs!$B$5*1</f>
        <v>15000000</v>
      </c>
      <c r="C5" s="5">
        <f>Inputs!$B$8</f>
        <v>0.95</v>
      </c>
      <c r="D5" s="5">
        <f>Inputs!$B$4</f>
        <v>0.05</v>
      </c>
      <c r="E5" s="5">
        <f>Inputs!$B$9+Inputs!$B$10</f>
        <v>0.35</v>
      </c>
      <c r="F5" s="5">
        <f>Inputs!$B$17+0.04</f>
        <v>0.08299999999999999</v>
      </c>
      <c r="G5" s="9">
        <f>NPV(F5,M5:BT5)+L5</f>
        <v>89781625.59253375</v>
      </c>
      <c r="H5" s="5">
        <f>IFERROR(IRR(L5:BT5),"Not defined")</f>
        <v>0.33503129257441</v>
      </c>
      <c r="I5" s="7">
        <f>IF(MAX(L31:BT31)&gt;0,MAX(L31:BT31),"Not reached")</f>
        <v>4.180691859889855</v>
      </c>
      <c r="J5" s="7">
        <f>IF(MAX(L33:BT33)&gt;0,MAX(L33:BT33),"Not reached")</f>
        <v>4.82770114966562</v>
      </c>
      <c r="K5" s="9" t="str">
        <f>IF(AND(G5&gt;0,ISNUMBER(H5),H5&gt;F5,ISNUMBER(I5),I5&lt;=Inputs!$B$12),"PASS","FAIL")</f>
        <v>PASS</v>
      </c>
      <c r="L5" s="9">
        <f>IF(AND(L$1&gt;Inputs!$B$6,L$1&lt;=Inputs!$B$6+Inputs!$B$7),Inputs!$B$2*Inputs!$B$3*12*$C5*(1+$D5)^(L$1-Inputs!$B$6-1)*(1-$E5),0)-IF(L$1&lt;Inputs!$B$6,$B5/Inputs!$B$6,0)-IF(L$1=0,Inputs!$B$13,0)+IF(L$1=Inputs!$B$6+Inputs!$B$7,Inputs!$B$14,0)</f>
        <v>-7500000.0</v>
      </c>
      <c r="M5" s="9">
        <f>IF(AND(M$1&gt;Inputs!$B$6,M$1&lt;=Inputs!$B$6+Inputs!$B$7),Inputs!$B$2*Inputs!$B$3*12*$C5*(1+$D5)^(M$1-Inputs!$B$6-1)*(1-$E5),0)-IF(M$1&lt;Inputs!$B$6,$B5/Inputs!$B$6,0)-IF(M$1=0,Inputs!$B$13,0)+IF(M$1=Inputs!$B$6+Inputs!$B$7,Inputs!$B$14,0)</f>
        <v>-7500000.0</v>
      </c>
      <c r="N5" s="9">
        <f>IF(AND(N$1&gt;Inputs!$B$6,N$1&lt;=Inputs!$B$6+Inputs!$B$7),Inputs!$B$2*Inputs!$B$3*12*$C5*(1+$D5)^(N$1-Inputs!$B$6-1)*(1-$E5),0)-IF(N$1&lt;Inputs!$B$6,$B5/Inputs!$B$6,0)-IF(N$1=0,Inputs!$B$13,0)+IF(N$1=Inputs!$B$6+Inputs!$B$7,Inputs!$B$14,0)</f>
        <v>0.0</v>
      </c>
      <c r="O5" s="9">
        <f>IF(AND(O$1&gt;Inputs!$B$6,O$1&lt;=Inputs!$B$6+Inputs!$B$7),Inputs!$B$2*Inputs!$B$3*12*$C5*(1+$D5)^(O$1-Inputs!$B$6-1)*(1-$E5),0)-IF(O$1&lt;Inputs!$B$6,$B5/Inputs!$B$6,0)-IF(O$1=0,Inputs!$B$13,0)+IF(O$1=Inputs!$B$6+Inputs!$B$7,Inputs!$B$14,0)</f>
        <v>6669000.0</v>
      </c>
      <c r="P5" s="9">
        <f>IF(AND(P$1&gt;Inputs!$B$6,P$1&lt;=Inputs!$B$6+Inputs!$B$7),Inputs!$B$2*Inputs!$B$3*12*$C5*(1+$D5)^(P$1-Inputs!$B$6-1)*(1-$E5),0)-IF(P$1&lt;Inputs!$B$6,$B5/Inputs!$B$6,0)-IF(P$1=0,Inputs!$B$13,0)+IF(P$1=Inputs!$B$6+Inputs!$B$7,Inputs!$B$14,0)</f>
        <v>7002450.0</v>
      </c>
      <c r="Q5" s="9">
        <f>IF(AND(Q$1&gt;Inputs!$B$6,Q$1&lt;=Inputs!$B$6+Inputs!$B$7),Inputs!$B$2*Inputs!$B$3*12*$C5*(1+$D5)^(Q$1-Inputs!$B$6-1)*(1-$E5),0)-IF(Q$1&lt;Inputs!$B$6,$B5/Inputs!$B$6,0)-IF(Q$1=0,Inputs!$B$13,0)+IF(Q$1=Inputs!$B$6+Inputs!$B$7,Inputs!$B$14,0)</f>
        <v>7352572.5</v>
      </c>
      <c r="R5" s="9">
        <f>IF(AND(R$1&gt;Inputs!$B$6,R$1&lt;=Inputs!$B$6+Inputs!$B$7),Inputs!$B$2*Inputs!$B$3*12*$C5*(1+$D5)^(R$1-Inputs!$B$6-1)*(1-$E5),0)-IF(R$1&lt;Inputs!$B$6,$B5/Inputs!$B$6,0)-IF(R$1=0,Inputs!$B$13,0)+IF(R$1=Inputs!$B$6+Inputs!$B$7,Inputs!$B$14,0)</f>
        <v>7720201.125000003</v>
      </c>
      <c r="S5" s="9">
        <f>IF(AND(S$1&gt;Inputs!$B$6,S$1&lt;=Inputs!$B$6+Inputs!$B$7),Inputs!$B$2*Inputs!$B$3*12*$C5*(1+$D5)^(S$1-Inputs!$B$6-1)*(1-$E5),0)-IF(S$1&lt;Inputs!$B$6,$B5/Inputs!$B$6,0)-IF(S$1=0,Inputs!$B$13,0)+IF(S$1=Inputs!$B$6+Inputs!$B$7,Inputs!$B$14,0)</f>
        <v>8106211.181250002</v>
      </c>
      <c r="T5" s="9">
        <f>IF(AND(T$1&gt;Inputs!$B$6,T$1&lt;=Inputs!$B$6+Inputs!$B$7),Inputs!$B$2*Inputs!$B$3*12*$C5*(1+$D5)^(T$1-Inputs!$B$6-1)*(1-$E5),0)-IF(T$1&lt;Inputs!$B$6,$B5/Inputs!$B$6,0)-IF(T$1=0,Inputs!$B$13,0)+IF(T$1=Inputs!$B$6+Inputs!$B$7,Inputs!$B$14,0)</f>
        <v>8511521.740312502</v>
      </c>
      <c r="U5" s="9">
        <f>IF(AND(U$1&gt;Inputs!$B$6,U$1&lt;=Inputs!$B$6+Inputs!$B$7),Inputs!$B$2*Inputs!$B$3*12*$C5*(1+$D5)^(U$1-Inputs!$B$6-1)*(1-$E5),0)-IF(U$1&lt;Inputs!$B$6,$B5/Inputs!$B$6,0)-IF(U$1=0,Inputs!$B$13,0)+IF(U$1=Inputs!$B$6+Inputs!$B$7,Inputs!$B$14,0)</f>
        <v>8937097.827328129</v>
      </c>
      <c r="V5" s="9">
        <f>IF(AND(V$1&gt;Inputs!$B$6,V$1&lt;=Inputs!$B$6+Inputs!$B$7),Inputs!$B$2*Inputs!$B$3*12*$C5*(1+$D5)^(V$1-Inputs!$B$6-1)*(1-$E5),0)-IF(V$1&lt;Inputs!$B$6,$B5/Inputs!$B$6,0)-IF(V$1=0,Inputs!$B$13,0)+IF(V$1=Inputs!$B$6+Inputs!$B$7,Inputs!$B$14,0)</f>
        <v>9383952.718694534</v>
      </c>
      <c r="W5" s="9">
        <f>IF(AND(W$1&gt;Inputs!$B$6,W$1&lt;=Inputs!$B$6+Inputs!$B$7),Inputs!$B$2*Inputs!$B$3*12*$C5*(1+$D5)^(W$1-Inputs!$B$6-1)*(1-$E5),0)-IF(W$1&lt;Inputs!$B$6,$B5/Inputs!$B$6,0)-IF(W$1=0,Inputs!$B$13,0)+IF(W$1=Inputs!$B$6+Inputs!$B$7,Inputs!$B$14,0)</f>
        <v>9853150.354629261</v>
      </c>
      <c r="X5" s="9">
        <f>IF(AND(X$1&gt;Inputs!$B$6,X$1&lt;=Inputs!$B$6+Inputs!$B$7),Inputs!$B$2*Inputs!$B$3*12*$C5*(1+$D5)^(X$1-Inputs!$B$6-1)*(1-$E5),0)-IF(X$1&lt;Inputs!$B$6,$B5/Inputs!$B$6,0)-IF(X$1=0,Inputs!$B$13,0)+IF(X$1=Inputs!$B$6+Inputs!$B$7,Inputs!$B$14,0)</f>
        <v>10345807.872360723</v>
      </c>
      <c r="Y5" s="9">
        <f>IF(AND(Y$1&gt;Inputs!$B$6,Y$1&lt;=Inputs!$B$6+Inputs!$B$7),Inputs!$B$2*Inputs!$B$3*12*$C5*(1+$D5)^(Y$1-Inputs!$B$6-1)*(1-$E5),0)-IF(Y$1&lt;Inputs!$B$6,$B5/Inputs!$B$6,0)-IF(Y$1=0,Inputs!$B$13,0)+IF(Y$1=Inputs!$B$6+Inputs!$B$7,Inputs!$B$14,0)</f>
        <v>10863098.26597876</v>
      </c>
      <c r="Z5" s="9">
        <f>IF(AND(Z$1&gt;Inputs!$B$6,Z$1&lt;=Inputs!$B$6+Inputs!$B$7),Inputs!$B$2*Inputs!$B$3*12*$C5*(1+$D5)^(Z$1-Inputs!$B$6-1)*(1-$E5),0)-IF(Z$1&lt;Inputs!$B$6,$B5/Inputs!$B$6,0)-IF(Z$1=0,Inputs!$B$13,0)+IF(Z$1=Inputs!$B$6+Inputs!$B$7,Inputs!$B$14,0)</f>
        <v>11406253.1792777</v>
      </c>
      <c r="AA5" s="9">
        <f>IF(AND(AA$1&gt;Inputs!$B$6,AA$1&lt;=Inputs!$B$6+Inputs!$B$7),Inputs!$B$2*Inputs!$B$3*12*$C5*(1+$D5)^(AA$1-Inputs!$B$6-1)*(1-$E5),0)-IF(AA$1&lt;Inputs!$B$6,$B5/Inputs!$B$6,0)-IF(AA$1=0,Inputs!$B$13,0)+IF(AA$1=Inputs!$B$6+Inputs!$B$7,Inputs!$B$14,0)</f>
        <v>11976565.838241586</v>
      </c>
      <c r="AB5" s="9">
        <f>IF(AND(AB$1&gt;Inputs!$B$6,AB$1&lt;=Inputs!$B$6+Inputs!$B$7),Inputs!$B$2*Inputs!$B$3*12*$C5*(1+$D5)^(AB$1-Inputs!$B$6-1)*(1-$E5),0)-IF(AB$1&lt;Inputs!$B$6,$B5/Inputs!$B$6,0)-IF(AB$1=0,Inputs!$B$13,0)+IF(AB$1=Inputs!$B$6+Inputs!$B$7,Inputs!$B$14,0)</f>
        <v>12575394.130153665</v>
      </c>
      <c r="AC5" s="9">
        <f>IF(AND(AC$1&gt;Inputs!$B$6,AC$1&lt;=Inputs!$B$6+Inputs!$B$7),Inputs!$B$2*Inputs!$B$3*12*$C5*(1+$D5)^(AC$1-Inputs!$B$6-1)*(1-$E5),0)-IF(AC$1&lt;Inputs!$B$6,$B5/Inputs!$B$6,0)-IF(AC$1=0,Inputs!$B$13,0)+IF(AC$1=Inputs!$B$6+Inputs!$B$7,Inputs!$B$14,0)</f>
        <v>13204163.836661352</v>
      </c>
      <c r="AD5" s="9">
        <f>IF(AND(AD$1&gt;Inputs!$B$6,AD$1&lt;=Inputs!$B$6+Inputs!$B$7),Inputs!$B$2*Inputs!$B$3*12*$C5*(1+$D5)^(AD$1-Inputs!$B$6-1)*(1-$E5),0)-IF(AD$1&lt;Inputs!$B$6,$B5/Inputs!$B$6,0)-IF(AD$1=0,Inputs!$B$13,0)+IF(AD$1=Inputs!$B$6+Inputs!$B$7,Inputs!$B$14,0)</f>
        <v>13864372.02849442</v>
      </c>
      <c r="AE5" s="9">
        <f>IF(AND(AE$1&gt;Inputs!$B$6,AE$1&lt;=Inputs!$B$6+Inputs!$B$7),Inputs!$B$2*Inputs!$B$3*12*$C5*(1+$D5)^(AE$1-Inputs!$B$6-1)*(1-$E5),0)-IF(AE$1&lt;Inputs!$B$6,$B5/Inputs!$B$6,0)-IF(AE$1=0,Inputs!$B$13,0)+IF(AE$1=Inputs!$B$6+Inputs!$B$7,Inputs!$B$14,0)</f>
        <v>14557590.629919138</v>
      </c>
      <c r="AF5" s="9">
        <f>IF(AND(AF$1&gt;Inputs!$B$6,AF$1&lt;=Inputs!$B$6+Inputs!$B$7),Inputs!$B$2*Inputs!$B$3*12*$C5*(1+$D5)^(AF$1-Inputs!$B$6-1)*(1-$E5),0)-IF(AF$1&lt;Inputs!$B$6,$B5/Inputs!$B$6,0)-IF(AF$1=0,Inputs!$B$13,0)+IF(AF$1=Inputs!$B$6+Inputs!$B$7,Inputs!$B$14,0)</f>
        <v>15285470.161415096</v>
      </c>
      <c r="AG5" s="9">
        <f>IF(AND(AG$1&gt;Inputs!$B$6,AG$1&lt;=Inputs!$B$6+Inputs!$B$7),Inputs!$B$2*Inputs!$B$3*12*$C5*(1+$D5)^(AG$1-Inputs!$B$6-1)*(1-$E5),0)-IF(AG$1&lt;Inputs!$B$6,$B5/Inputs!$B$6,0)-IF(AG$1=0,Inputs!$B$13,0)+IF(AG$1=Inputs!$B$6+Inputs!$B$7,Inputs!$B$14,0)</f>
        <v>16049743.669485852</v>
      </c>
      <c r="AH5" s="9">
        <f>IF(AND(AH$1&gt;Inputs!$B$6,AH$1&lt;=Inputs!$B$6+Inputs!$B$7),Inputs!$B$2*Inputs!$B$3*12*$C5*(1+$D5)^(AH$1-Inputs!$B$6-1)*(1-$E5),0)-IF(AH$1&lt;Inputs!$B$6,$B5/Inputs!$B$6,0)-IF(AH$1=0,Inputs!$B$13,0)+IF(AH$1=Inputs!$B$6+Inputs!$B$7,Inputs!$B$14,0)</f>
        <v>16852230.852960147</v>
      </c>
      <c r="AI5" s="9">
        <f>IF(AND(AI$1&gt;Inputs!$B$6,AI$1&lt;=Inputs!$B$6+Inputs!$B$7),Inputs!$B$2*Inputs!$B$3*12*$C5*(1+$D5)^(AI$1-Inputs!$B$6-1)*(1-$E5),0)-IF(AI$1&lt;Inputs!$B$6,$B5/Inputs!$B$6,0)-IF(AI$1=0,Inputs!$B$13,0)+IF(AI$1=Inputs!$B$6+Inputs!$B$7,Inputs!$B$14,0)</f>
        <v>17694842.395608153</v>
      </c>
      <c r="AJ5" s="9">
        <f>IF(AND(AJ$1&gt;Inputs!$B$6,AJ$1&lt;=Inputs!$B$6+Inputs!$B$7),Inputs!$B$2*Inputs!$B$3*12*$C5*(1+$D5)^(AJ$1-Inputs!$B$6-1)*(1-$E5),0)-IF(AJ$1&lt;Inputs!$B$6,$B5/Inputs!$B$6,0)-IF(AJ$1=0,Inputs!$B$13,0)+IF(AJ$1=Inputs!$B$6+Inputs!$B$7,Inputs!$B$14,0)</f>
        <v>18579584.51538856</v>
      </c>
      <c r="AK5" s="9">
        <f>IF(AND(AK$1&gt;Inputs!$B$6,AK$1&lt;=Inputs!$B$6+Inputs!$B$7),Inputs!$B$2*Inputs!$B$3*12*$C5*(1+$D5)^(AK$1-Inputs!$B$6-1)*(1-$E5),0)-IF(AK$1&lt;Inputs!$B$6,$B5/Inputs!$B$6,0)-IF(AK$1=0,Inputs!$B$13,0)+IF(AK$1=Inputs!$B$6+Inputs!$B$7,Inputs!$B$14,0)</f>
        <v>19508563.74115799</v>
      </c>
      <c r="AL5" s="9">
        <f>IF(AND(AL$1&gt;Inputs!$B$6,AL$1&lt;=Inputs!$B$6+Inputs!$B$7),Inputs!$B$2*Inputs!$B$3*12*$C5*(1+$D5)^(AL$1-Inputs!$B$6-1)*(1-$E5),0)-IF(AL$1&lt;Inputs!$B$6,$B5/Inputs!$B$6,0)-IF(AL$1=0,Inputs!$B$13,0)+IF(AL$1=Inputs!$B$6+Inputs!$B$7,Inputs!$B$14,0)</f>
        <v>20483991.92821589</v>
      </c>
      <c r="AM5" s="9">
        <f>IF(AND(AM$1&gt;Inputs!$B$6,AM$1&lt;=Inputs!$B$6+Inputs!$B$7),Inputs!$B$2*Inputs!$B$3*12*$C5*(1+$D5)^(AM$1-Inputs!$B$6-1)*(1-$E5),0)-IF(AM$1&lt;Inputs!$B$6,$B5/Inputs!$B$6,0)-IF(AM$1=0,Inputs!$B$13,0)+IF(AM$1=Inputs!$B$6+Inputs!$B$7,Inputs!$B$14,0)</f>
        <v>21508191.524626687</v>
      </c>
      <c r="AN5" s="9">
        <f>IF(AND(AN$1&gt;Inputs!$B$6,AN$1&lt;=Inputs!$B$6+Inputs!$B$7),Inputs!$B$2*Inputs!$B$3*12*$C5*(1+$D5)^(AN$1-Inputs!$B$6-1)*(1-$E5),0)-IF(AN$1&lt;Inputs!$B$6,$B5/Inputs!$B$6,0)-IF(AN$1=0,Inputs!$B$13,0)+IF(AN$1=Inputs!$B$6+Inputs!$B$7,Inputs!$B$14,0)</f>
        <v>22583601.10085802</v>
      </c>
      <c r="AO5" s="9">
        <f>IF(AND(AO$1&gt;Inputs!$B$6,AO$1&lt;=Inputs!$B$6+Inputs!$B$7),Inputs!$B$2*Inputs!$B$3*12*$C5*(1+$D5)^(AO$1-Inputs!$B$6-1)*(1-$E5),0)-IF(AO$1&lt;Inputs!$B$6,$B5/Inputs!$B$6,0)-IF(AO$1=0,Inputs!$B$13,0)+IF(AO$1=Inputs!$B$6+Inputs!$B$7,Inputs!$B$14,0)</f>
        <v>23712781.155900925</v>
      </c>
      <c r="AP5" s="9">
        <f>IF(AND(AP$1&gt;Inputs!$B$6,AP$1&lt;=Inputs!$B$6+Inputs!$B$7),Inputs!$B$2*Inputs!$B$3*12*$C5*(1+$D5)^(AP$1-Inputs!$B$6-1)*(1-$E5),0)-IF(AP$1&lt;Inputs!$B$6,$B5/Inputs!$B$6,0)-IF(AP$1=0,Inputs!$B$13,0)+IF(AP$1=Inputs!$B$6+Inputs!$B$7,Inputs!$B$14,0)</f>
        <v>24898420.213695973</v>
      </c>
      <c r="AQ5" s="9">
        <f>IF(AND(AQ$1&gt;Inputs!$B$6,AQ$1&lt;=Inputs!$B$6+Inputs!$B$7),Inputs!$B$2*Inputs!$B$3*12*$C5*(1+$D5)^(AQ$1-Inputs!$B$6-1)*(1-$E5),0)-IF(AQ$1&lt;Inputs!$B$6,$B5/Inputs!$B$6,0)-IF(AQ$1=0,Inputs!$B$13,0)+IF(AQ$1=Inputs!$B$6+Inputs!$B$7,Inputs!$B$14,0)</f>
        <v>26143341.224380773</v>
      </c>
      <c r="AR5" s="9">
        <f>IF(AND(AR$1&gt;Inputs!$B$6,AR$1&lt;=Inputs!$B$6+Inputs!$B$7),Inputs!$B$2*Inputs!$B$3*12*$C5*(1+$D5)^(AR$1-Inputs!$B$6-1)*(1-$E5),0)-IF(AR$1&lt;Inputs!$B$6,$B5/Inputs!$B$6,0)-IF(AR$1=0,Inputs!$B$13,0)+IF(AR$1=Inputs!$B$6+Inputs!$B$7,Inputs!$B$14,0)</f>
        <v>27450508.285599813</v>
      </c>
      <c r="AS5" s="9">
        <f>IF(AND(AS$1&gt;Inputs!$B$6,AS$1&lt;=Inputs!$B$6+Inputs!$B$7),Inputs!$B$2*Inputs!$B$3*12*$C5*(1+$D5)^(AS$1-Inputs!$B$6-1)*(1-$E5),0)-IF(AS$1&lt;Inputs!$B$6,$B5/Inputs!$B$6,0)-IF(AS$1=0,Inputs!$B$13,0)+IF(AS$1=Inputs!$B$6+Inputs!$B$7,Inputs!$B$14,0)</f>
        <v>0.0</v>
      </c>
      <c r="AT5" s="9">
        <f>IF(AND(AT$1&gt;Inputs!$B$6,AT$1&lt;=Inputs!$B$6+Inputs!$B$7),Inputs!$B$2*Inputs!$B$3*12*$C5*(1+$D5)^(AT$1-Inputs!$B$6-1)*(1-$E5),0)-IF(AT$1&lt;Inputs!$B$6,$B5/Inputs!$B$6,0)-IF(AT$1=0,Inputs!$B$13,0)+IF(AT$1=Inputs!$B$6+Inputs!$B$7,Inputs!$B$14,0)</f>
        <v>0.0</v>
      </c>
      <c r="AU5" s="9">
        <f>IF(AND(AU$1&gt;Inputs!$B$6,AU$1&lt;=Inputs!$B$6+Inputs!$B$7),Inputs!$B$2*Inputs!$B$3*12*$C5*(1+$D5)^(AU$1-Inputs!$B$6-1)*(1-$E5),0)-IF(AU$1&lt;Inputs!$B$6,$B5/Inputs!$B$6,0)-IF(AU$1=0,Inputs!$B$13,0)+IF(AU$1=Inputs!$B$6+Inputs!$B$7,Inputs!$B$14,0)</f>
        <v>0.0</v>
      </c>
      <c r="AV5" s="9">
        <f>IF(AND(AV$1&gt;Inputs!$B$6,AV$1&lt;=Inputs!$B$6+Inputs!$B$7),Inputs!$B$2*Inputs!$B$3*12*$C5*(1+$D5)^(AV$1-Inputs!$B$6-1)*(1-$E5),0)-IF(AV$1&lt;Inputs!$B$6,$B5/Inputs!$B$6,0)-IF(AV$1=0,Inputs!$B$13,0)+IF(AV$1=Inputs!$B$6+Inputs!$B$7,Inputs!$B$14,0)</f>
        <v>0.0</v>
      </c>
      <c r="AW5" s="9">
        <f>IF(AND(AW$1&gt;Inputs!$B$6,AW$1&lt;=Inputs!$B$6+Inputs!$B$7),Inputs!$B$2*Inputs!$B$3*12*$C5*(1+$D5)^(AW$1-Inputs!$B$6-1)*(1-$E5),0)-IF(AW$1&lt;Inputs!$B$6,$B5/Inputs!$B$6,0)-IF(AW$1=0,Inputs!$B$13,0)+IF(AW$1=Inputs!$B$6+Inputs!$B$7,Inputs!$B$14,0)</f>
        <v>0.0</v>
      </c>
      <c r="AX5" s="9">
        <f>IF(AND(AX$1&gt;Inputs!$B$6,AX$1&lt;=Inputs!$B$6+Inputs!$B$7),Inputs!$B$2*Inputs!$B$3*12*$C5*(1+$D5)^(AX$1-Inputs!$B$6-1)*(1-$E5),0)-IF(AX$1&lt;Inputs!$B$6,$B5/Inputs!$B$6,0)-IF(AX$1=0,Inputs!$B$13,0)+IF(AX$1=Inputs!$B$6+Inputs!$B$7,Inputs!$B$14,0)</f>
        <v>0.0</v>
      </c>
      <c r="AY5" s="9">
        <f>IF(AND(AY$1&gt;Inputs!$B$6,AY$1&lt;=Inputs!$B$6+Inputs!$B$7),Inputs!$B$2*Inputs!$B$3*12*$C5*(1+$D5)^(AY$1-Inputs!$B$6-1)*(1-$E5),0)-IF(AY$1&lt;Inputs!$B$6,$B5/Inputs!$B$6,0)-IF(AY$1=0,Inputs!$B$13,0)+IF(AY$1=Inputs!$B$6+Inputs!$B$7,Inputs!$B$14,0)</f>
        <v>0.0</v>
      </c>
      <c r="AZ5" s="9">
        <f>IF(AND(AZ$1&gt;Inputs!$B$6,AZ$1&lt;=Inputs!$B$6+Inputs!$B$7),Inputs!$B$2*Inputs!$B$3*12*$C5*(1+$D5)^(AZ$1-Inputs!$B$6-1)*(1-$E5),0)-IF(AZ$1&lt;Inputs!$B$6,$B5/Inputs!$B$6,0)-IF(AZ$1=0,Inputs!$B$13,0)+IF(AZ$1=Inputs!$B$6+Inputs!$B$7,Inputs!$B$14,0)</f>
        <v>0.0</v>
      </c>
      <c r="BA5" s="9">
        <f>IF(AND(BA$1&gt;Inputs!$B$6,BA$1&lt;=Inputs!$B$6+Inputs!$B$7),Inputs!$B$2*Inputs!$B$3*12*$C5*(1+$D5)^(BA$1-Inputs!$B$6-1)*(1-$E5),0)-IF(BA$1&lt;Inputs!$B$6,$B5/Inputs!$B$6,0)-IF(BA$1=0,Inputs!$B$13,0)+IF(BA$1=Inputs!$B$6+Inputs!$B$7,Inputs!$B$14,0)</f>
        <v>0.0</v>
      </c>
      <c r="BB5" s="9">
        <f>IF(AND(BB$1&gt;Inputs!$B$6,BB$1&lt;=Inputs!$B$6+Inputs!$B$7),Inputs!$B$2*Inputs!$B$3*12*$C5*(1+$D5)^(BB$1-Inputs!$B$6-1)*(1-$E5),0)-IF(BB$1&lt;Inputs!$B$6,$B5/Inputs!$B$6,0)-IF(BB$1=0,Inputs!$B$13,0)+IF(BB$1=Inputs!$B$6+Inputs!$B$7,Inputs!$B$14,0)</f>
        <v>0.0</v>
      </c>
      <c r="BC5" s="9">
        <f>IF(AND(BC$1&gt;Inputs!$B$6,BC$1&lt;=Inputs!$B$6+Inputs!$B$7),Inputs!$B$2*Inputs!$B$3*12*$C5*(1+$D5)^(BC$1-Inputs!$B$6-1)*(1-$E5),0)-IF(BC$1&lt;Inputs!$B$6,$B5/Inputs!$B$6,0)-IF(BC$1=0,Inputs!$B$13,0)+IF(BC$1=Inputs!$B$6+Inputs!$B$7,Inputs!$B$14,0)</f>
        <v>0.0</v>
      </c>
      <c r="BD5" s="9">
        <f>IF(AND(BD$1&gt;Inputs!$B$6,BD$1&lt;=Inputs!$B$6+Inputs!$B$7),Inputs!$B$2*Inputs!$B$3*12*$C5*(1+$D5)^(BD$1-Inputs!$B$6-1)*(1-$E5),0)-IF(BD$1&lt;Inputs!$B$6,$B5/Inputs!$B$6,0)-IF(BD$1=0,Inputs!$B$13,0)+IF(BD$1=Inputs!$B$6+Inputs!$B$7,Inputs!$B$14,0)</f>
        <v>0.0</v>
      </c>
      <c r="BE5" s="9">
        <f>IF(AND(BE$1&gt;Inputs!$B$6,BE$1&lt;=Inputs!$B$6+Inputs!$B$7),Inputs!$B$2*Inputs!$B$3*12*$C5*(1+$D5)^(BE$1-Inputs!$B$6-1)*(1-$E5),0)-IF(BE$1&lt;Inputs!$B$6,$B5/Inputs!$B$6,0)-IF(BE$1=0,Inputs!$B$13,0)+IF(BE$1=Inputs!$B$6+Inputs!$B$7,Inputs!$B$14,0)</f>
        <v>0.0</v>
      </c>
      <c r="BF5" s="9">
        <f>IF(AND(BF$1&gt;Inputs!$B$6,BF$1&lt;=Inputs!$B$6+Inputs!$B$7),Inputs!$B$2*Inputs!$B$3*12*$C5*(1+$D5)^(BF$1-Inputs!$B$6-1)*(1-$E5),0)-IF(BF$1&lt;Inputs!$B$6,$B5/Inputs!$B$6,0)-IF(BF$1=0,Inputs!$B$13,0)+IF(BF$1=Inputs!$B$6+Inputs!$B$7,Inputs!$B$14,0)</f>
        <v>0.0</v>
      </c>
      <c r="BG5" s="9">
        <f>IF(AND(BG$1&gt;Inputs!$B$6,BG$1&lt;=Inputs!$B$6+Inputs!$B$7),Inputs!$B$2*Inputs!$B$3*12*$C5*(1+$D5)^(BG$1-Inputs!$B$6-1)*(1-$E5),0)-IF(BG$1&lt;Inputs!$B$6,$B5/Inputs!$B$6,0)-IF(BG$1=0,Inputs!$B$13,0)+IF(BG$1=Inputs!$B$6+Inputs!$B$7,Inputs!$B$14,0)</f>
        <v>0.0</v>
      </c>
      <c r="BH5" s="9">
        <f>IF(AND(BH$1&gt;Inputs!$B$6,BH$1&lt;=Inputs!$B$6+Inputs!$B$7),Inputs!$B$2*Inputs!$B$3*12*$C5*(1+$D5)^(BH$1-Inputs!$B$6-1)*(1-$E5),0)-IF(BH$1&lt;Inputs!$B$6,$B5/Inputs!$B$6,0)-IF(BH$1=0,Inputs!$B$13,0)+IF(BH$1=Inputs!$B$6+Inputs!$B$7,Inputs!$B$14,0)</f>
        <v>0.0</v>
      </c>
      <c r="BI5" s="9">
        <f>IF(AND(BI$1&gt;Inputs!$B$6,BI$1&lt;=Inputs!$B$6+Inputs!$B$7),Inputs!$B$2*Inputs!$B$3*12*$C5*(1+$D5)^(BI$1-Inputs!$B$6-1)*(1-$E5),0)-IF(BI$1&lt;Inputs!$B$6,$B5/Inputs!$B$6,0)-IF(BI$1=0,Inputs!$B$13,0)+IF(BI$1=Inputs!$B$6+Inputs!$B$7,Inputs!$B$14,0)</f>
        <v>0.0</v>
      </c>
      <c r="BJ5" s="9">
        <f>IF(AND(BJ$1&gt;Inputs!$B$6,BJ$1&lt;=Inputs!$B$6+Inputs!$B$7),Inputs!$B$2*Inputs!$B$3*12*$C5*(1+$D5)^(BJ$1-Inputs!$B$6-1)*(1-$E5),0)-IF(BJ$1&lt;Inputs!$B$6,$B5/Inputs!$B$6,0)-IF(BJ$1=0,Inputs!$B$13,0)+IF(BJ$1=Inputs!$B$6+Inputs!$B$7,Inputs!$B$14,0)</f>
        <v>0.0</v>
      </c>
      <c r="BK5" s="9">
        <f>IF(AND(BK$1&gt;Inputs!$B$6,BK$1&lt;=Inputs!$B$6+Inputs!$B$7),Inputs!$B$2*Inputs!$B$3*12*$C5*(1+$D5)^(BK$1-Inputs!$B$6-1)*(1-$E5),0)-IF(BK$1&lt;Inputs!$B$6,$B5/Inputs!$B$6,0)-IF(BK$1=0,Inputs!$B$13,0)+IF(BK$1=Inputs!$B$6+Inputs!$B$7,Inputs!$B$14,0)</f>
        <v>0.0</v>
      </c>
      <c r="BL5" s="9">
        <f>IF(AND(BL$1&gt;Inputs!$B$6,BL$1&lt;=Inputs!$B$6+Inputs!$B$7),Inputs!$B$2*Inputs!$B$3*12*$C5*(1+$D5)^(BL$1-Inputs!$B$6-1)*(1-$E5),0)-IF(BL$1&lt;Inputs!$B$6,$B5/Inputs!$B$6,0)-IF(BL$1=0,Inputs!$B$13,0)+IF(BL$1=Inputs!$B$6+Inputs!$B$7,Inputs!$B$14,0)</f>
        <v>0.0</v>
      </c>
      <c r="BM5" s="9">
        <f>IF(AND(BM$1&gt;Inputs!$B$6,BM$1&lt;=Inputs!$B$6+Inputs!$B$7),Inputs!$B$2*Inputs!$B$3*12*$C5*(1+$D5)^(BM$1-Inputs!$B$6-1)*(1-$E5),0)-IF(BM$1&lt;Inputs!$B$6,$B5/Inputs!$B$6,0)-IF(BM$1=0,Inputs!$B$13,0)+IF(BM$1=Inputs!$B$6+Inputs!$B$7,Inputs!$B$14,0)</f>
        <v>0.0</v>
      </c>
      <c r="BN5" s="9">
        <f>IF(AND(BN$1&gt;Inputs!$B$6,BN$1&lt;=Inputs!$B$6+Inputs!$B$7),Inputs!$B$2*Inputs!$B$3*12*$C5*(1+$D5)^(BN$1-Inputs!$B$6-1)*(1-$E5),0)-IF(BN$1&lt;Inputs!$B$6,$B5/Inputs!$B$6,0)-IF(BN$1=0,Inputs!$B$13,0)+IF(BN$1=Inputs!$B$6+Inputs!$B$7,Inputs!$B$14,0)</f>
        <v>0.0</v>
      </c>
      <c r="BO5" s="9">
        <f>IF(AND(BO$1&gt;Inputs!$B$6,BO$1&lt;=Inputs!$B$6+Inputs!$B$7),Inputs!$B$2*Inputs!$B$3*12*$C5*(1+$D5)^(BO$1-Inputs!$B$6-1)*(1-$E5),0)-IF(BO$1&lt;Inputs!$B$6,$B5/Inputs!$B$6,0)-IF(BO$1=0,Inputs!$B$13,0)+IF(BO$1=Inputs!$B$6+Inputs!$B$7,Inputs!$B$14,0)</f>
        <v>0.0</v>
      </c>
      <c r="BP5" s="9">
        <f>IF(AND(BP$1&gt;Inputs!$B$6,BP$1&lt;=Inputs!$B$6+Inputs!$B$7),Inputs!$B$2*Inputs!$B$3*12*$C5*(1+$D5)^(BP$1-Inputs!$B$6-1)*(1-$E5),0)-IF(BP$1&lt;Inputs!$B$6,$B5/Inputs!$B$6,0)-IF(BP$1=0,Inputs!$B$13,0)+IF(BP$1=Inputs!$B$6+Inputs!$B$7,Inputs!$B$14,0)</f>
        <v>0.0</v>
      </c>
      <c r="BQ5" s="9">
        <f>IF(AND(BQ$1&gt;Inputs!$B$6,BQ$1&lt;=Inputs!$B$6+Inputs!$B$7),Inputs!$B$2*Inputs!$B$3*12*$C5*(1+$D5)^(BQ$1-Inputs!$B$6-1)*(1-$E5),0)-IF(BQ$1&lt;Inputs!$B$6,$B5/Inputs!$B$6,0)-IF(BQ$1=0,Inputs!$B$13,0)+IF(BQ$1=Inputs!$B$6+Inputs!$B$7,Inputs!$B$14,0)</f>
        <v>0.0</v>
      </c>
      <c r="BR5" s="9">
        <f>IF(AND(BR$1&gt;Inputs!$B$6,BR$1&lt;=Inputs!$B$6+Inputs!$B$7),Inputs!$B$2*Inputs!$B$3*12*$C5*(1+$D5)^(BR$1-Inputs!$B$6-1)*(1-$E5),0)-IF(BR$1&lt;Inputs!$B$6,$B5/Inputs!$B$6,0)-IF(BR$1=0,Inputs!$B$13,0)+IF(BR$1=Inputs!$B$6+Inputs!$B$7,Inputs!$B$14,0)</f>
        <v>0.0</v>
      </c>
      <c r="BS5" s="9">
        <f>IF(AND(BS$1&gt;Inputs!$B$6,BS$1&lt;=Inputs!$B$6+Inputs!$B$7),Inputs!$B$2*Inputs!$B$3*12*$C5*(1+$D5)^(BS$1-Inputs!$B$6-1)*(1-$E5),0)-IF(BS$1&lt;Inputs!$B$6,$B5/Inputs!$B$6,0)-IF(BS$1=0,Inputs!$B$13,0)+IF(BS$1=Inputs!$B$6+Inputs!$B$7,Inputs!$B$14,0)</f>
        <v>0.0</v>
      </c>
      <c r="BT5" s="9">
        <f>IF(AND(BT$1&gt;Inputs!$B$6,BT$1&lt;=Inputs!$B$6+Inputs!$B$7),Inputs!$B$2*Inputs!$B$3*12*$C5*(1+$D5)^(BT$1-Inputs!$B$6-1)*(1-$E5),0)-IF(BT$1&lt;Inputs!$B$6,$B5/Inputs!$B$6,0)-IF(BT$1=0,Inputs!$B$13,0)+IF(BT$1=Inputs!$B$6+Inputs!$B$7,Inputs!$B$14,0)</f>
        <v>0.0</v>
      </c>
    </row>
    <row r="6" ht="48" customHeight="1">
      <c r="A6" s="2" t="inlineStr">
        <is>
          <t>Combined stress</t>
        </is>
      </c>
      <c r="B6" s="3">
        <f>Inputs!$B$5*2</f>
        <v>30000000</v>
      </c>
      <c r="C6" s="8" t="n">
        <v>0.8</v>
      </c>
      <c r="D6" s="8" t="n">
        <v>0</v>
      </c>
      <c r="E6" s="8" t="n">
        <v>0.45</v>
      </c>
      <c r="F6" s="8">
        <f>Inputs!$B$17+0.04</f>
        <v>0.08299999999999999</v>
      </c>
      <c r="G6" s="3">
        <f>NPV(F6,M6:BT6)+L6</f>
        <v>15499625.343058512</v>
      </c>
      <c r="H6" s="8">
        <f>IFERROR(IRR(L6:BT6),"Not defined")</f>
        <v>0.12838949662920796</v>
      </c>
      <c r="I6" s="6">
        <f>IF(MAX(L36:BT36)&gt;0,MAX(L36:BT36),"Not reached")</f>
        <v>8.313131313131313</v>
      </c>
      <c r="J6" s="6">
        <f>IF(MAX(L38:BT38)&gt;0,MAX(L38:BT38),"Not reached")</f>
        <v>13.220362069325763</v>
      </c>
      <c r="K6" s="3" t="str">
        <f>IF(AND(G6&gt;0,ISNUMBER(H6),H6&gt;F6,ISNUMBER(I6),I6&lt;=Inputs!$B$12),"PASS","FAIL")</f>
        <v>PASS</v>
      </c>
      <c r="L6" s="3">
        <f>IF(AND(L$1&gt;Inputs!$B$6,L$1&lt;=Inputs!$B$6+Inputs!$B$7),Inputs!$B$2*Inputs!$B$3*12*$C6*(1+$D6)^(L$1-Inputs!$B$6-1)*(1-$E6),0)-IF(L$1&lt;Inputs!$B$6,$B6/Inputs!$B$6,0)-IF(L$1=0,Inputs!$B$13,0)+IF(L$1=Inputs!$B$6+Inputs!$B$7,Inputs!$B$14,0)</f>
        <v>-15000000.0</v>
      </c>
      <c r="M6" s="3">
        <f>IF(AND(M$1&gt;Inputs!$B$6,M$1&lt;=Inputs!$B$6+Inputs!$B$7),Inputs!$B$2*Inputs!$B$3*12*$C6*(1+$D6)^(M$1-Inputs!$B$6-1)*(1-$E6),0)-IF(M$1&lt;Inputs!$B$6,$B6/Inputs!$B$6,0)-IF(M$1=0,Inputs!$B$13,0)+IF(M$1=Inputs!$B$6+Inputs!$B$7,Inputs!$B$14,0)</f>
        <v>-15000000.0</v>
      </c>
      <c r="N6" s="3">
        <f>IF(AND(N$1&gt;Inputs!$B$6,N$1&lt;=Inputs!$B$6+Inputs!$B$7),Inputs!$B$2*Inputs!$B$3*12*$C6*(1+$D6)^(N$1-Inputs!$B$6-1)*(1-$E6),0)-IF(N$1&lt;Inputs!$B$6,$B6/Inputs!$B$6,0)-IF(N$1=0,Inputs!$B$13,0)+IF(N$1=Inputs!$B$6+Inputs!$B$7,Inputs!$B$14,0)</f>
        <v>0.0</v>
      </c>
      <c r="O6" s="3">
        <f>IF(AND(O$1&gt;Inputs!$B$6,O$1&lt;=Inputs!$B$6+Inputs!$B$7),Inputs!$B$2*Inputs!$B$3*12*$C6*(1+$D6)^(O$1-Inputs!$B$6-1)*(1-$E6),0)-IF(O$1&lt;Inputs!$B$6,$B6/Inputs!$B$6,0)-IF(O$1=0,Inputs!$B$13,0)+IF(O$1=Inputs!$B$6+Inputs!$B$7,Inputs!$B$14,0)</f>
        <v>4752000.0</v>
      </c>
      <c r="P6" s="3">
        <f>IF(AND(P$1&gt;Inputs!$B$6,P$1&lt;=Inputs!$B$6+Inputs!$B$7),Inputs!$B$2*Inputs!$B$3*12*$C6*(1+$D6)^(P$1-Inputs!$B$6-1)*(1-$E6),0)-IF(P$1&lt;Inputs!$B$6,$B6/Inputs!$B$6,0)-IF(P$1=0,Inputs!$B$13,0)+IF(P$1=Inputs!$B$6+Inputs!$B$7,Inputs!$B$14,0)</f>
        <v>4752000.0</v>
      </c>
      <c r="Q6" s="3">
        <f>IF(AND(Q$1&gt;Inputs!$B$6,Q$1&lt;=Inputs!$B$6+Inputs!$B$7),Inputs!$B$2*Inputs!$B$3*12*$C6*(1+$D6)^(Q$1-Inputs!$B$6-1)*(1-$E6),0)-IF(Q$1&lt;Inputs!$B$6,$B6/Inputs!$B$6,0)-IF(Q$1=0,Inputs!$B$13,0)+IF(Q$1=Inputs!$B$6+Inputs!$B$7,Inputs!$B$14,0)</f>
        <v>4752000.0</v>
      </c>
      <c r="R6" s="3">
        <f>IF(AND(R$1&gt;Inputs!$B$6,R$1&lt;=Inputs!$B$6+Inputs!$B$7),Inputs!$B$2*Inputs!$B$3*12*$C6*(1+$D6)^(R$1-Inputs!$B$6-1)*(1-$E6),0)-IF(R$1&lt;Inputs!$B$6,$B6/Inputs!$B$6,0)-IF(R$1=0,Inputs!$B$13,0)+IF(R$1=Inputs!$B$6+Inputs!$B$7,Inputs!$B$14,0)</f>
        <v>4752000.0</v>
      </c>
      <c r="S6" s="3">
        <f>IF(AND(S$1&gt;Inputs!$B$6,S$1&lt;=Inputs!$B$6+Inputs!$B$7),Inputs!$B$2*Inputs!$B$3*12*$C6*(1+$D6)^(S$1-Inputs!$B$6-1)*(1-$E6),0)-IF(S$1&lt;Inputs!$B$6,$B6/Inputs!$B$6,0)-IF(S$1=0,Inputs!$B$13,0)+IF(S$1=Inputs!$B$6+Inputs!$B$7,Inputs!$B$14,0)</f>
        <v>4752000.0</v>
      </c>
      <c r="T6" s="3">
        <f>IF(AND(T$1&gt;Inputs!$B$6,T$1&lt;=Inputs!$B$6+Inputs!$B$7),Inputs!$B$2*Inputs!$B$3*12*$C6*(1+$D6)^(T$1-Inputs!$B$6-1)*(1-$E6),0)-IF(T$1&lt;Inputs!$B$6,$B6/Inputs!$B$6,0)-IF(T$1=0,Inputs!$B$13,0)+IF(T$1=Inputs!$B$6+Inputs!$B$7,Inputs!$B$14,0)</f>
        <v>4752000.0</v>
      </c>
      <c r="U6" s="3">
        <f>IF(AND(U$1&gt;Inputs!$B$6,U$1&lt;=Inputs!$B$6+Inputs!$B$7),Inputs!$B$2*Inputs!$B$3*12*$C6*(1+$D6)^(U$1-Inputs!$B$6-1)*(1-$E6),0)-IF(U$1&lt;Inputs!$B$6,$B6/Inputs!$B$6,0)-IF(U$1=0,Inputs!$B$13,0)+IF(U$1=Inputs!$B$6+Inputs!$B$7,Inputs!$B$14,0)</f>
        <v>4752000.0</v>
      </c>
      <c r="V6" s="3">
        <f>IF(AND(V$1&gt;Inputs!$B$6,V$1&lt;=Inputs!$B$6+Inputs!$B$7),Inputs!$B$2*Inputs!$B$3*12*$C6*(1+$D6)^(V$1-Inputs!$B$6-1)*(1-$E6),0)-IF(V$1&lt;Inputs!$B$6,$B6/Inputs!$B$6,0)-IF(V$1=0,Inputs!$B$13,0)+IF(V$1=Inputs!$B$6+Inputs!$B$7,Inputs!$B$14,0)</f>
        <v>4752000.0</v>
      </c>
      <c r="W6" s="3">
        <f>IF(AND(W$1&gt;Inputs!$B$6,W$1&lt;=Inputs!$B$6+Inputs!$B$7),Inputs!$B$2*Inputs!$B$3*12*$C6*(1+$D6)^(W$1-Inputs!$B$6-1)*(1-$E6),0)-IF(W$1&lt;Inputs!$B$6,$B6/Inputs!$B$6,0)-IF(W$1=0,Inputs!$B$13,0)+IF(W$1=Inputs!$B$6+Inputs!$B$7,Inputs!$B$14,0)</f>
        <v>4752000.0</v>
      </c>
      <c r="X6" s="3">
        <f>IF(AND(X$1&gt;Inputs!$B$6,X$1&lt;=Inputs!$B$6+Inputs!$B$7),Inputs!$B$2*Inputs!$B$3*12*$C6*(1+$D6)^(X$1-Inputs!$B$6-1)*(1-$E6),0)-IF(X$1&lt;Inputs!$B$6,$B6/Inputs!$B$6,0)-IF(X$1=0,Inputs!$B$13,0)+IF(X$1=Inputs!$B$6+Inputs!$B$7,Inputs!$B$14,0)</f>
        <v>4752000.0</v>
      </c>
      <c r="Y6" s="3">
        <f>IF(AND(Y$1&gt;Inputs!$B$6,Y$1&lt;=Inputs!$B$6+Inputs!$B$7),Inputs!$B$2*Inputs!$B$3*12*$C6*(1+$D6)^(Y$1-Inputs!$B$6-1)*(1-$E6),0)-IF(Y$1&lt;Inputs!$B$6,$B6/Inputs!$B$6,0)-IF(Y$1=0,Inputs!$B$13,0)+IF(Y$1=Inputs!$B$6+Inputs!$B$7,Inputs!$B$14,0)</f>
        <v>4752000.0</v>
      </c>
      <c r="Z6" s="3">
        <f>IF(AND(Z$1&gt;Inputs!$B$6,Z$1&lt;=Inputs!$B$6+Inputs!$B$7),Inputs!$B$2*Inputs!$B$3*12*$C6*(1+$D6)^(Z$1-Inputs!$B$6-1)*(1-$E6),0)-IF(Z$1&lt;Inputs!$B$6,$B6/Inputs!$B$6,0)-IF(Z$1=0,Inputs!$B$13,0)+IF(Z$1=Inputs!$B$6+Inputs!$B$7,Inputs!$B$14,0)</f>
        <v>4752000.0</v>
      </c>
      <c r="AA6" s="3">
        <f>IF(AND(AA$1&gt;Inputs!$B$6,AA$1&lt;=Inputs!$B$6+Inputs!$B$7),Inputs!$B$2*Inputs!$B$3*12*$C6*(1+$D6)^(AA$1-Inputs!$B$6-1)*(1-$E6),0)-IF(AA$1&lt;Inputs!$B$6,$B6/Inputs!$B$6,0)-IF(AA$1=0,Inputs!$B$13,0)+IF(AA$1=Inputs!$B$6+Inputs!$B$7,Inputs!$B$14,0)</f>
        <v>4752000.0</v>
      </c>
      <c r="AB6" s="3">
        <f>IF(AND(AB$1&gt;Inputs!$B$6,AB$1&lt;=Inputs!$B$6+Inputs!$B$7),Inputs!$B$2*Inputs!$B$3*12*$C6*(1+$D6)^(AB$1-Inputs!$B$6-1)*(1-$E6),0)-IF(AB$1&lt;Inputs!$B$6,$B6/Inputs!$B$6,0)-IF(AB$1=0,Inputs!$B$13,0)+IF(AB$1=Inputs!$B$6+Inputs!$B$7,Inputs!$B$14,0)</f>
        <v>4752000.0</v>
      </c>
      <c r="AC6" s="3">
        <f>IF(AND(AC$1&gt;Inputs!$B$6,AC$1&lt;=Inputs!$B$6+Inputs!$B$7),Inputs!$B$2*Inputs!$B$3*12*$C6*(1+$D6)^(AC$1-Inputs!$B$6-1)*(1-$E6),0)-IF(AC$1&lt;Inputs!$B$6,$B6/Inputs!$B$6,0)-IF(AC$1=0,Inputs!$B$13,0)+IF(AC$1=Inputs!$B$6+Inputs!$B$7,Inputs!$B$14,0)</f>
        <v>4752000.0</v>
      </c>
      <c r="AD6" s="3">
        <f>IF(AND(AD$1&gt;Inputs!$B$6,AD$1&lt;=Inputs!$B$6+Inputs!$B$7),Inputs!$B$2*Inputs!$B$3*12*$C6*(1+$D6)^(AD$1-Inputs!$B$6-1)*(1-$E6),0)-IF(AD$1&lt;Inputs!$B$6,$B6/Inputs!$B$6,0)-IF(AD$1=0,Inputs!$B$13,0)+IF(AD$1=Inputs!$B$6+Inputs!$B$7,Inputs!$B$14,0)</f>
        <v>4752000.0</v>
      </c>
      <c r="AE6" s="3">
        <f>IF(AND(AE$1&gt;Inputs!$B$6,AE$1&lt;=Inputs!$B$6+Inputs!$B$7),Inputs!$B$2*Inputs!$B$3*12*$C6*(1+$D6)^(AE$1-Inputs!$B$6-1)*(1-$E6),0)-IF(AE$1&lt;Inputs!$B$6,$B6/Inputs!$B$6,0)-IF(AE$1=0,Inputs!$B$13,0)+IF(AE$1=Inputs!$B$6+Inputs!$B$7,Inputs!$B$14,0)</f>
        <v>4752000.0</v>
      </c>
      <c r="AF6" s="3">
        <f>IF(AND(AF$1&gt;Inputs!$B$6,AF$1&lt;=Inputs!$B$6+Inputs!$B$7),Inputs!$B$2*Inputs!$B$3*12*$C6*(1+$D6)^(AF$1-Inputs!$B$6-1)*(1-$E6),0)-IF(AF$1&lt;Inputs!$B$6,$B6/Inputs!$B$6,0)-IF(AF$1=0,Inputs!$B$13,0)+IF(AF$1=Inputs!$B$6+Inputs!$B$7,Inputs!$B$14,0)</f>
        <v>4752000.0</v>
      </c>
      <c r="AG6" s="3">
        <f>IF(AND(AG$1&gt;Inputs!$B$6,AG$1&lt;=Inputs!$B$6+Inputs!$B$7),Inputs!$B$2*Inputs!$B$3*12*$C6*(1+$D6)^(AG$1-Inputs!$B$6-1)*(1-$E6),0)-IF(AG$1&lt;Inputs!$B$6,$B6/Inputs!$B$6,0)-IF(AG$1=0,Inputs!$B$13,0)+IF(AG$1=Inputs!$B$6+Inputs!$B$7,Inputs!$B$14,0)</f>
        <v>4752000.0</v>
      </c>
      <c r="AH6" s="3">
        <f>IF(AND(AH$1&gt;Inputs!$B$6,AH$1&lt;=Inputs!$B$6+Inputs!$B$7),Inputs!$B$2*Inputs!$B$3*12*$C6*(1+$D6)^(AH$1-Inputs!$B$6-1)*(1-$E6),0)-IF(AH$1&lt;Inputs!$B$6,$B6/Inputs!$B$6,0)-IF(AH$1=0,Inputs!$B$13,0)+IF(AH$1=Inputs!$B$6+Inputs!$B$7,Inputs!$B$14,0)</f>
        <v>4752000.0</v>
      </c>
      <c r="AI6" s="3">
        <f>IF(AND(AI$1&gt;Inputs!$B$6,AI$1&lt;=Inputs!$B$6+Inputs!$B$7),Inputs!$B$2*Inputs!$B$3*12*$C6*(1+$D6)^(AI$1-Inputs!$B$6-1)*(1-$E6),0)-IF(AI$1&lt;Inputs!$B$6,$B6/Inputs!$B$6,0)-IF(AI$1=0,Inputs!$B$13,0)+IF(AI$1=Inputs!$B$6+Inputs!$B$7,Inputs!$B$14,0)</f>
        <v>4752000.0</v>
      </c>
      <c r="AJ6" s="3">
        <f>IF(AND(AJ$1&gt;Inputs!$B$6,AJ$1&lt;=Inputs!$B$6+Inputs!$B$7),Inputs!$B$2*Inputs!$B$3*12*$C6*(1+$D6)^(AJ$1-Inputs!$B$6-1)*(1-$E6),0)-IF(AJ$1&lt;Inputs!$B$6,$B6/Inputs!$B$6,0)-IF(AJ$1=0,Inputs!$B$13,0)+IF(AJ$1=Inputs!$B$6+Inputs!$B$7,Inputs!$B$14,0)</f>
        <v>4752000.0</v>
      </c>
      <c r="AK6" s="3">
        <f>IF(AND(AK$1&gt;Inputs!$B$6,AK$1&lt;=Inputs!$B$6+Inputs!$B$7),Inputs!$B$2*Inputs!$B$3*12*$C6*(1+$D6)^(AK$1-Inputs!$B$6-1)*(1-$E6),0)-IF(AK$1&lt;Inputs!$B$6,$B6/Inputs!$B$6,0)-IF(AK$1=0,Inputs!$B$13,0)+IF(AK$1=Inputs!$B$6+Inputs!$B$7,Inputs!$B$14,0)</f>
        <v>4752000.0</v>
      </c>
      <c r="AL6" s="3">
        <f>IF(AND(AL$1&gt;Inputs!$B$6,AL$1&lt;=Inputs!$B$6+Inputs!$B$7),Inputs!$B$2*Inputs!$B$3*12*$C6*(1+$D6)^(AL$1-Inputs!$B$6-1)*(1-$E6),0)-IF(AL$1&lt;Inputs!$B$6,$B6/Inputs!$B$6,0)-IF(AL$1=0,Inputs!$B$13,0)+IF(AL$1=Inputs!$B$6+Inputs!$B$7,Inputs!$B$14,0)</f>
        <v>4752000.0</v>
      </c>
      <c r="AM6" s="3">
        <f>IF(AND(AM$1&gt;Inputs!$B$6,AM$1&lt;=Inputs!$B$6+Inputs!$B$7),Inputs!$B$2*Inputs!$B$3*12*$C6*(1+$D6)^(AM$1-Inputs!$B$6-1)*(1-$E6),0)-IF(AM$1&lt;Inputs!$B$6,$B6/Inputs!$B$6,0)-IF(AM$1=0,Inputs!$B$13,0)+IF(AM$1=Inputs!$B$6+Inputs!$B$7,Inputs!$B$14,0)</f>
        <v>4752000.0</v>
      </c>
      <c r="AN6" s="3">
        <f>IF(AND(AN$1&gt;Inputs!$B$6,AN$1&lt;=Inputs!$B$6+Inputs!$B$7),Inputs!$B$2*Inputs!$B$3*12*$C6*(1+$D6)^(AN$1-Inputs!$B$6-1)*(1-$E6),0)-IF(AN$1&lt;Inputs!$B$6,$B6/Inputs!$B$6,0)-IF(AN$1=0,Inputs!$B$13,0)+IF(AN$1=Inputs!$B$6+Inputs!$B$7,Inputs!$B$14,0)</f>
        <v>4752000.0</v>
      </c>
      <c r="AO6" s="3">
        <f>IF(AND(AO$1&gt;Inputs!$B$6,AO$1&lt;=Inputs!$B$6+Inputs!$B$7),Inputs!$B$2*Inputs!$B$3*12*$C6*(1+$D6)^(AO$1-Inputs!$B$6-1)*(1-$E6),0)-IF(AO$1&lt;Inputs!$B$6,$B6/Inputs!$B$6,0)-IF(AO$1=0,Inputs!$B$13,0)+IF(AO$1=Inputs!$B$6+Inputs!$B$7,Inputs!$B$14,0)</f>
        <v>4752000.0</v>
      </c>
      <c r="AP6" s="3">
        <f>IF(AND(AP$1&gt;Inputs!$B$6,AP$1&lt;=Inputs!$B$6+Inputs!$B$7),Inputs!$B$2*Inputs!$B$3*12*$C6*(1+$D6)^(AP$1-Inputs!$B$6-1)*(1-$E6),0)-IF(AP$1&lt;Inputs!$B$6,$B6/Inputs!$B$6,0)-IF(AP$1=0,Inputs!$B$13,0)+IF(AP$1=Inputs!$B$6+Inputs!$B$7,Inputs!$B$14,0)</f>
        <v>4752000.0</v>
      </c>
      <c r="AQ6" s="3">
        <f>IF(AND(AQ$1&gt;Inputs!$B$6,AQ$1&lt;=Inputs!$B$6+Inputs!$B$7),Inputs!$B$2*Inputs!$B$3*12*$C6*(1+$D6)^(AQ$1-Inputs!$B$6-1)*(1-$E6),0)-IF(AQ$1&lt;Inputs!$B$6,$B6/Inputs!$B$6,0)-IF(AQ$1=0,Inputs!$B$13,0)+IF(AQ$1=Inputs!$B$6+Inputs!$B$7,Inputs!$B$14,0)</f>
        <v>4752000.0</v>
      </c>
      <c r="AR6" s="3">
        <f>IF(AND(AR$1&gt;Inputs!$B$6,AR$1&lt;=Inputs!$B$6+Inputs!$B$7),Inputs!$B$2*Inputs!$B$3*12*$C6*(1+$D6)^(AR$1-Inputs!$B$6-1)*(1-$E6),0)-IF(AR$1&lt;Inputs!$B$6,$B6/Inputs!$B$6,0)-IF(AR$1=0,Inputs!$B$13,0)+IF(AR$1=Inputs!$B$6+Inputs!$B$7,Inputs!$B$14,0)</f>
        <v>4752000.0</v>
      </c>
      <c r="AS6" s="3">
        <f>IF(AND(AS$1&gt;Inputs!$B$6,AS$1&lt;=Inputs!$B$6+Inputs!$B$7),Inputs!$B$2*Inputs!$B$3*12*$C6*(1+$D6)^(AS$1-Inputs!$B$6-1)*(1-$E6),0)-IF(AS$1&lt;Inputs!$B$6,$B6/Inputs!$B$6,0)-IF(AS$1=0,Inputs!$B$13,0)+IF(AS$1=Inputs!$B$6+Inputs!$B$7,Inputs!$B$14,0)</f>
        <v>0.0</v>
      </c>
      <c r="AT6" s="3">
        <f>IF(AND(AT$1&gt;Inputs!$B$6,AT$1&lt;=Inputs!$B$6+Inputs!$B$7),Inputs!$B$2*Inputs!$B$3*12*$C6*(1+$D6)^(AT$1-Inputs!$B$6-1)*(1-$E6),0)-IF(AT$1&lt;Inputs!$B$6,$B6/Inputs!$B$6,0)-IF(AT$1=0,Inputs!$B$13,0)+IF(AT$1=Inputs!$B$6+Inputs!$B$7,Inputs!$B$14,0)</f>
        <v>0.0</v>
      </c>
      <c r="AU6" s="3">
        <f>IF(AND(AU$1&gt;Inputs!$B$6,AU$1&lt;=Inputs!$B$6+Inputs!$B$7),Inputs!$B$2*Inputs!$B$3*12*$C6*(1+$D6)^(AU$1-Inputs!$B$6-1)*(1-$E6),0)-IF(AU$1&lt;Inputs!$B$6,$B6/Inputs!$B$6,0)-IF(AU$1=0,Inputs!$B$13,0)+IF(AU$1=Inputs!$B$6+Inputs!$B$7,Inputs!$B$14,0)</f>
        <v>0.0</v>
      </c>
      <c r="AV6" s="3">
        <f>IF(AND(AV$1&gt;Inputs!$B$6,AV$1&lt;=Inputs!$B$6+Inputs!$B$7),Inputs!$B$2*Inputs!$B$3*12*$C6*(1+$D6)^(AV$1-Inputs!$B$6-1)*(1-$E6),0)-IF(AV$1&lt;Inputs!$B$6,$B6/Inputs!$B$6,0)-IF(AV$1=0,Inputs!$B$13,0)+IF(AV$1=Inputs!$B$6+Inputs!$B$7,Inputs!$B$14,0)</f>
        <v>0.0</v>
      </c>
      <c r="AW6" s="3">
        <f>IF(AND(AW$1&gt;Inputs!$B$6,AW$1&lt;=Inputs!$B$6+Inputs!$B$7),Inputs!$B$2*Inputs!$B$3*12*$C6*(1+$D6)^(AW$1-Inputs!$B$6-1)*(1-$E6),0)-IF(AW$1&lt;Inputs!$B$6,$B6/Inputs!$B$6,0)-IF(AW$1=0,Inputs!$B$13,0)+IF(AW$1=Inputs!$B$6+Inputs!$B$7,Inputs!$B$14,0)</f>
        <v>0.0</v>
      </c>
      <c r="AX6" s="3">
        <f>IF(AND(AX$1&gt;Inputs!$B$6,AX$1&lt;=Inputs!$B$6+Inputs!$B$7),Inputs!$B$2*Inputs!$B$3*12*$C6*(1+$D6)^(AX$1-Inputs!$B$6-1)*(1-$E6),0)-IF(AX$1&lt;Inputs!$B$6,$B6/Inputs!$B$6,0)-IF(AX$1=0,Inputs!$B$13,0)+IF(AX$1=Inputs!$B$6+Inputs!$B$7,Inputs!$B$14,0)</f>
        <v>0.0</v>
      </c>
      <c r="AY6" s="3">
        <f>IF(AND(AY$1&gt;Inputs!$B$6,AY$1&lt;=Inputs!$B$6+Inputs!$B$7),Inputs!$B$2*Inputs!$B$3*12*$C6*(1+$D6)^(AY$1-Inputs!$B$6-1)*(1-$E6),0)-IF(AY$1&lt;Inputs!$B$6,$B6/Inputs!$B$6,0)-IF(AY$1=0,Inputs!$B$13,0)+IF(AY$1=Inputs!$B$6+Inputs!$B$7,Inputs!$B$14,0)</f>
        <v>0.0</v>
      </c>
      <c r="AZ6" s="3">
        <f>IF(AND(AZ$1&gt;Inputs!$B$6,AZ$1&lt;=Inputs!$B$6+Inputs!$B$7),Inputs!$B$2*Inputs!$B$3*12*$C6*(1+$D6)^(AZ$1-Inputs!$B$6-1)*(1-$E6),0)-IF(AZ$1&lt;Inputs!$B$6,$B6/Inputs!$B$6,0)-IF(AZ$1=0,Inputs!$B$13,0)+IF(AZ$1=Inputs!$B$6+Inputs!$B$7,Inputs!$B$14,0)</f>
        <v>0.0</v>
      </c>
      <c r="BA6" s="3">
        <f>IF(AND(BA$1&gt;Inputs!$B$6,BA$1&lt;=Inputs!$B$6+Inputs!$B$7),Inputs!$B$2*Inputs!$B$3*12*$C6*(1+$D6)^(BA$1-Inputs!$B$6-1)*(1-$E6),0)-IF(BA$1&lt;Inputs!$B$6,$B6/Inputs!$B$6,0)-IF(BA$1=0,Inputs!$B$13,0)+IF(BA$1=Inputs!$B$6+Inputs!$B$7,Inputs!$B$14,0)</f>
        <v>0.0</v>
      </c>
      <c r="BB6" s="3">
        <f>IF(AND(BB$1&gt;Inputs!$B$6,BB$1&lt;=Inputs!$B$6+Inputs!$B$7),Inputs!$B$2*Inputs!$B$3*12*$C6*(1+$D6)^(BB$1-Inputs!$B$6-1)*(1-$E6),0)-IF(BB$1&lt;Inputs!$B$6,$B6/Inputs!$B$6,0)-IF(BB$1=0,Inputs!$B$13,0)+IF(BB$1=Inputs!$B$6+Inputs!$B$7,Inputs!$B$14,0)</f>
        <v>0.0</v>
      </c>
      <c r="BC6" s="3">
        <f>IF(AND(BC$1&gt;Inputs!$B$6,BC$1&lt;=Inputs!$B$6+Inputs!$B$7),Inputs!$B$2*Inputs!$B$3*12*$C6*(1+$D6)^(BC$1-Inputs!$B$6-1)*(1-$E6),0)-IF(BC$1&lt;Inputs!$B$6,$B6/Inputs!$B$6,0)-IF(BC$1=0,Inputs!$B$13,0)+IF(BC$1=Inputs!$B$6+Inputs!$B$7,Inputs!$B$14,0)</f>
        <v>0.0</v>
      </c>
      <c r="BD6" s="3">
        <f>IF(AND(BD$1&gt;Inputs!$B$6,BD$1&lt;=Inputs!$B$6+Inputs!$B$7),Inputs!$B$2*Inputs!$B$3*12*$C6*(1+$D6)^(BD$1-Inputs!$B$6-1)*(1-$E6),0)-IF(BD$1&lt;Inputs!$B$6,$B6/Inputs!$B$6,0)-IF(BD$1=0,Inputs!$B$13,0)+IF(BD$1=Inputs!$B$6+Inputs!$B$7,Inputs!$B$14,0)</f>
        <v>0.0</v>
      </c>
      <c r="BE6" s="3">
        <f>IF(AND(BE$1&gt;Inputs!$B$6,BE$1&lt;=Inputs!$B$6+Inputs!$B$7),Inputs!$B$2*Inputs!$B$3*12*$C6*(1+$D6)^(BE$1-Inputs!$B$6-1)*(1-$E6),0)-IF(BE$1&lt;Inputs!$B$6,$B6/Inputs!$B$6,0)-IF(BE$1=0,Inputs!$B$13,0)+IF(BE$1=Inputs!$B$6+Inputs!$B$7,Inputs!$B$14,0)</f>
        <v>0.0</v>
      </c>
      <c r="BF6" s="3">
        <f>IF(AND(BF$1&gt;Inputs!$B$6,BF$1&lt;=Inputs!$B$6+Inputs!$B$7),Inputs!$B$2*Inputs!$B$3*12*$C6*(1+$D6)^(BF$1-Inputs!$B$6-1)*(1-$E6),0)-IF(BF$1&lt;Inputs!$B$6,$B6/Inputs!$B$6,0)-IF(BF$1=0,Inputs!$B$13,0)+IF(BF$1=Inputs!$B$6+Inputs!$B$7,Inputs!$B$14,0)</f>
        <v>0.0</v>
      </c>
      <c r="BG6" s="3">
        <f>IF(AND(BG$1&gt;Inputs!$B$6,BG$1&lt;=Inputs!$B$6+Inputs!$B$7),Inputs!$B$2*Inputs!$B$3*12*$C6*(1+$D6)^(BG$1-Inputs!$B$6-1)*(1-$E6),0)-IF(BG$1&lt;Inputs!$B$6,$B6/Inputs!$B$6,0)-IF(BG$1=0,Inputs!$B$13,0)+IF(BG$1=Inputs!$B$6+Inputs!$B$7,Inputs!$B$14,0)</f>
        <v>0.0</v>
      </c>
      <c r="BH6" s="3">
        <f>IF(AND(BH$1&gt;Inputs!$B$6,BH$1&lt;=Inputs!$B$6+Inputs!$B$7),Inputs!$B$2*Inputs!$B$3*12*$C6*(1+$D6)^(BH$1-Inputs!$B$6-1)*(1-$E6),0)-IF(BH$1&lt;Inputs!$B$6,$B6/Inputs!$B$6,0)-IF(BH$1=0,Inputs!$B$13,0)+IF(BH$1=Inputs!$B$6+Inputs!$B$7,Inputs!$B$14,0)</f>
        <v>0.0</v>
      </c>
      <c r="BI6" s="3">
        <f>IF(AND(BI$1&gt;Inputs!$B$6,BI$1&lt;=Inputs!$B$6+Inputs!$B$7),Inputs!$B$2*Inputs!$B$3*12*$C6*(1+$D6)^(BI$1-Inputs!$B$6-1)*(1-$E6),0)-IF(BI$1&lt;Inputs!$B$6,$B6/Inputs!$B$6,0)-IF(BI$1=0,Inputs!$B$13,0)+IF(BI$1=Inputs!$B$6+Inputs!$B$7,Inputs!$B$14,0)</f>
        <v>0.0</v>
      </c>
      <c r="BJ6" s="3">
        <f>IF(AND(BJ$1&gt;Inputs!$B$6,BJ$1&lt;=Inputs!$B$6+Inputs!$B$7),Inputs!$B$2*Inputs!$B$3*12*$C6*(1+$D6)^(BJ$1-Inputs!$B$6-1)*(1-$E6),0)-IF(BJ$1&lt;Inputs!$B$6,$B6/Inputs!$B$6,0)-IF(BJ$1=0,Inputs!$B$13,0)+IF(BJ$1=Inputs!$B$6+Inputs!$B$7,Inputs!$B$14,0)</f>
        <v>0.0</v>
      </c>
      <c r="BK6" s="3">
        <f>IF(AND(BK$1&gt;Inputs!$B$6,BK$1&lt;=Inputs!$B$6+Inputs!$B$7),Inputs!$B$2*Inputs!$B$3*12*$C6*(1+$D6)^(BK$1-Inputs!$B$6-1)*(1-$E6),0)-IF(BK$1&lt;Inputs!$B$6,$B6/Inputs!$B$6,0)-IF(BK$1=0,Inputs!$B$13,0)+IF(BK$1=Inputs!$B$6+Inputs!$B$7,Inputs!$B$14,0)</f>
        <v>0.0</v>
      </c>
      <c r="BL6" s="3">
        <f>IF(AND(BL$1&gt;Inputs!$B$6,BL$1&lt;=Inputs!$B$6+Inputs!$B$7),Inputs!$B$2*Inputs!$B$3*12*$C6*(1+$D6)^(BL$1-Inputs!$B$6-1)*(1-$E6),0)-IF(BL$1&lt;Inputs!$B$6,$B6/Inputs!$B$6,0)-IF(BL$1=0,Inputs!$B$13,0)+IF(BL$1=Inputs!$B$6+Inputs!$B$7,Inputs!$B$14,0)</f>
        <v>0.0</v>
      </c>
      <c r="BM6" s="3">
        <f>IF(AND(BM$1&gt;Inputs!$B$6,BM$1&lt;=Inputs!$B$6+Inputs!$B$7),Inputs!$B$2*Inputs!$B$3*12*$C6*(1+$D6)^(BM$1-Inputs!$B$6-1)*(1-$E6),0)-IF(BM$1&lt;Inputs!$B$6,$B6/Inputs!$B$6,0)-IF(BM$1=0,Inputs!$B$13,0)+IF(BM$1=Inputs!$B$6+Inputs!$B$7,Inputs!$B$14,0)</f>
        <v>0.0</v>
      </c>
      <c r="BN6" s="3">
        <f>IF(AND(BN$1&gt;Inputs!$B$6,BN$1&lt;=Inputs!$B$6+Inputs!$B$7),Inputs!$B$2*Inputs!$B$3*12*$C6*(1+$D6)^(BN$1-Inputs!$B$6-1)*(1-$E6),0)-IF(BN$1&lt;Inputs!$B$6,$B6/Inputs!$B$6,0)-IF(BN$1=0,Inputs!$B$13,0)+IF(BN$1=Inputs!$B$6+Inputs!$B$7,Inputs!$B$14,0)</f>
        <v>0.0</v>
      </c>
      <c r="BO6" s="3">
        <f>IF(AND(BO$1&gt;Inputs!$B$6,BO$1&lt;=Inputs!$B$6+Inputs!$B$7),Inputs!$B$2*Inputs!$B$3*12*$C6*(1+$D6)^(BO$1-Inputs!$B$6-1)*(1-$E6),0)-IF(BO$1&lt;Inputs!$B$6,$B6/Inputs!$B$6,0)-IF(BO$1=0,Inputs!$B$13,0)+IF(BO$1=Inputs!$B$6+Inputs!$B$7,Inputs!$B$14,0)</f>
        <v>0.0</v>
      </c>
      <c r="BP6" s="3">
        <f>IF(AND(BP$1&gt;Inputs!$B$6,BP$1&lt;=Inputs!$B$6+Inputs!$B$7),Inputs!$B$2*Inputs!$B$3*12*$C6*(1+$D6)^(BP$1-Inputs!$B$6-1)*(1-$E6),0)-IF(BP$1&lt;Inputs!$B$6,$B6/Inputs!$B$6,0)-IF(BP$1=0,Inputs!$B$13,0)+IF(BP$1=Inputs!$B$6+Inputs!$B$7,Inputs!$B$14,0)</f>
        <v>0.0</v>
      </c>
      <c r="BQ6" s="3">
        <f>IF(AND(BQ$1&gt;Inputs!$B$6,BQ$1&lt;=Inputs!$B$6+Inputs!$B$7),Inputs!$B$2*Inputs!$B$3*12*$C6*(1+$D6)^(BQ$1-Inputs!$B$6-1)*(1-$E6),0)-IF(BQ$1&lt;Inputs!$B$6,$B6/Inputs!$B$6,0)-IF(BQ$1=0,Inputs!$B$13,0)+IF(BQ$1=Inputs!$B$6+Inputs!$B$7,Inputs!$B$14,0)</f>
        <v>0.0</v>
      </c>
      <c r="BR6" s="3">
        <f>IF(AND(BR$1&gt;Inputs!$B$6,BR$1&lt;=Inputs!$B$6+Inputs!$B$7),Inputs!$B$2*Inputs!$B$3*12*$C6*(1+$D6)^(BR$1-Inputs!$B$6-1)*(1-$E6),0)-IF(BR$1&lt;Inputs!$B$6,$B6/Inputs!$B$6,0)-IF(BR$1=0,Inputs!$B$13,0)+IF(BR$1=Inputs!$B$6+Inputs!$B$7,Inputs!$B$14,0)</f>
        <v>0.0</v>
      </c>
      <c r="BS6" s="3">
        <f>IF(AND(BS$1&gt;Inputs!$B$6,BS$1&lt;=Inputs!$B$6+Inputs!$B$7),Inputs!$B$2*Inputs!$B$3*12*$C6*(1+$D6)^(BS$1-Inputs!$B$6-1)*(1-$E6),0)-IF(BS$1&lt;Inputs!$B$6,$B6/Inputs!$B$6,0)-IF(BS$1=0,Inputs!$B$13,0)+IF(BS$1=Inputs!$B$6+Inputs!$B$7,Inputs!$B$14,0)</f>
        <v>0.0</v>
      </c>
      <c r="BT6" s="3">
        <f>IF(AND(BT$1&gt;Inputs!$B$6,BT$1&lt;=Inputs!$B$6+Inputs!$B$7),Inputs!$B$2*Inputs!$B$3*12*$C6*(1+$D6)^(BT$1-Inputs!$B$6-1)*(1-$E6),0)-IF(BT$1&lt;Inputs!$B$6,$B6/Inputs!$B$6,0)-IF(BT$1=0,Inputs!$B$13,0)+IF(BT$1=Inputs!$B$6+Inputs!$B$7,Inputs!$B$14,0)</f>
        <v>0.0</v>
      </c>
    </row>
    <row r="7" ht="48" customHeight="1">
      <c r="A7" s="4" t="inlineStr">
        <is>
          <t>Cost feasibility stress: EUR 75k/room</t>
        </is>
      </c>
      <c r="B7" s="9">
        <f>Inputs!$B$5*10</f>
        <v>150000000</v>
      </c>
      <c r="C7" s="5">
        <f>Inputs!$B$8</f>
        <v>0.95</v>
      </c>
      <c r="D7" s="5">
        <f>Inputs!$B$4</f>
        <v>0.05</v>
      </c>
      <c r="E7" s="5">
        <f>Inputs!$B$9+Inputs!$B$10</f>
        <v>0.35</v>
      </c>
      <c r="F7" s="5">
        <f>Inputs!$B$17+0.04</f>
        <v>0.08299999999999999</v>
      </c>
      <c r="G7" s="9">
        <f>NPV(F7,M7:BT7)+L7</f>
        <v>-40045244.21356048</v>
      </c>
      <c r="H7" s="5">
        <f>IFERROR(IRR(L7:BT7),"Not defined")</f>
        <v>0.06051145211559683</v>
      </c>
      <c r="I7" s="7">
        <f>IF(MAX(L41:BT41)&gt;0,MAX(L41:BT41),"Not reached")</f>
        <v>17.439439984558277</v>
      </c>
      <c r="J7" s="7" t="str">
        <f>IF(MAX(L43:BT43)&gt;0,MAX(L43:BT43),"Not reached")</f>
        <v>Not reached</v>
      </c>
      <c r="K7" s="9" t="str">
        <f>IF(AND(G7&gt;0,ISNUMBER(H7),H7&gt;F7,ISNUMBER(I7),I7&lt;=Inputs!$B$12),"PASS","FAIL")</f>
        <v>FAIL</v>
      </c>
      <c r="L7" s="9">
        <f>IF(AND(L$1&gt;Inputs!$B$6,L$1&lt;=Inputs!$B$6+Inputs!$B$7),Inputs!$B$2*Inputs!$B$3*12*$C7*(1+$D7)^(L$1-Inputs!$B$6-1)*(1-$E7),0)-IF(L$1&lt;Inputs!$B$6,$B7/Inputs!$B$6,0)-IF(L$1=0,Inputs!$B$13,0)+IF(L$1=Inputs!$B$6+Inputs!$B$7,Inputs!$B$14,0)</f>
        <v>-75000000.0</v>
      </c>
      <c r="M7" s="9">
        <f>IF(AND(M$1&gt;Inputs!$B$6,M$1&lt;=Inputs!$B$6+Inputs!$B$7),Inputs!$B$2*Inputs!$B$3*12*$C7*(1+$D7)^(M$1-Inputs!$B$6-1)*(1-$E7),0)-IF(M$1&lt;Inputs!$B$6,$B7/Inputs!$B$6,0)-IF(M$1=0,Inputs!$B$13,0)+IF(M$1=Inputs!$B$6+Inputs!$B$7,Inputs!$B$14,0)</f>
        <v>-75000000.0</v>
      </c>
      <c r="N7" s="9">
        <f>IF(AND(N$1&gt;Inputs!$B$6,N$1&lt;=Inputs!$B$6+Inputs!$B$7),Inputs!$B$2*Inputs!$B$3*12*$C7*(1+$D7)^(N$1-Inputs!$B$6-1)*(1-$E7),0)-IF(N$1&lt;Inputs!$B$6,$B7/Inputs!$B$6,0)-IF(N$1=0,Inputs!$B$13,0)+IF(N$1=Inputs!$B$6+Inputs!$B$7,Inputs!$B$14,0)</f>
        <v>0.0</v>
      </c>
      <c r="O7" s="9">
        <f>IF(AND(O$1&gt;Inputs!$B$6,O$1&lt;=Inputs!$B$6+Inputs!$B$7),Inputs!$B$2*Inputs!$B$3*12*$C7*(1+$D7)^(O$1-Inputs!$B$6-1)*(1-$E7),0)-IF(O$1&lt;Inputs!$B$6,$B7/Inputs!$B$6,0)-IF(O$1=0,Inputs!$B$13,0)+IF(O$1=Inputs!$B$6+Inputs!$B$7,Inputs!$B$14,0)</f>
        <v>6669000.0</v>
      </c>
      <c r="P7" s="9">
        <f>IF(AND(P$1&gt;Inputs!$B$6,P$1&lt;=Inputs!$B$6+Inputs!$B$7),Inputs!$B$2*Inputs!$B$3*12*$C7*(1+$D7)^(P$1-Inputs!$B$6-1)*(1-$E7),0)-IF(P$1&lt;Inputs!$B$6,$B7/Inputs!$B$6,0)-IF(P$1=0,Inputs!$B$13,0)+IF(P$1=Inputs!$B$6+Inputs!$B$7,Inputs!$B$14,0)</f>
        <v>7002450.0</v>
      </c>
      <c r="Q7" s="9">
        <f>IF(AND(Q$1&gt;Inputs!$B$6,Q$1&lt;=Inputs!$B$6+Inputs!$B$7),Inputs!$B$2*Inputs!$B$3*12*$C7*(1+$D7)^(Q$1-Inputs!$B$6-1)*(1-$E7),0)-IF(Q$1&lt;Inputs!$B$6,$B7/Inputs!$B$6,0)-IF(Q$1=0,Inputs!$B$13,0)+IF(Q$1=Inputs!$B$6+Inputs!$B$7,Inputs!$B$14,0)</f>
        <v>7352572.5</v>
      </c>
      <c r="R7" s="9">
        <f>IF(AND(R$1&gt;Inputs!$B$6,R$1&lt;=Inputs!$B$6+Inputs!$B$7),Inputs!$B$2*Inputs!$B$3*12*$C7*(1+$D7)^(R$1-Inputs!$B$6-1)*(1-$E7),0)-IF(R$1&lt;Inputs!$B$6,$B7/Inputs!$B$6,0)-IF(R$1=0,Inputs!$B$13,0)+IF(R$1=Inputs!$B$6+Inputs!$B$7,Inputs!$B$14,0)</f>
        <v>7720201.125000003</v>
      </c>
      <c r="S7" s="9">
        <f>IF(AND(S$1&gt;Inputs!$B$6,S$1&lt;=Inputs!$B$6+Inputs!$B$7),Inputs!$B$2*Inputs!$B$3*12*$C7*(1+$D7)^(S$1-Inputs!$B$6-1)*(1-$E7),0)-IF(S$1&lt;Inputs!$B$6,$B7/Inputs!$B$6,0)-IF(S$1=0,Inputs!$B$13,0)+IF(S$1=Inputs!$B$6+Inputs!$B$7,Inputs!$B$14,0)</f>
        <v>8106211.181250002</v>
      </c>
      <c r="T7" s="9">
        <f>IF(AND(T$1&gt;Inputs!$B$6,T$1&lt;=Inputs!$B$6+Inputs!$B$7),Inputs!$B$2*Inputs!$B$3*12*$C7*(1+$D7)^(T$1-Inputs!$B$6-1)*(1-$E7),0)-IF(T$1&lt;Inputs!$B$6,$B7/Inputs!$B$6,0)-IF(T$1=0,Inputs!$B$13,0)+IF(T$1=Inputs!$B$6+Inputs!$B$7,Inputs!$B$14,0)</f>
        <v>8511521.740312502</v>
      </c>
      <c r="U7" s="9">
        <f>IF(AND(U$1&gt;Inputs!$B$6,U$1&lt;=Inputs!$B$6+Inputs!$B$7),Inputs!$B$2*Inputs!$B$3*12*$C7*(1+$D7)^(U$1-Inputs!$B$6-1)*(1-$E7),0)-IF(U$1&lt;Inputs!$B$6,$B7/Inputs!$B$6,0)-IF(U$1=0,Inputs!$B$13,0)+IF(U$1=Inputs!$B$6+Inputs!$B$7,Inputs!$B$14,0)</f>
        <v>8937097.827328129</v>
      </c>
      <c r="V7" s="9">
        <f>IF(AND(V$1&gt;Inputs!$B$6,V$1&lt;=Inputs!$B$6+Inputs!$B$7),Inputs!$B$2*Inputs!$B$3*12*$C7*(1+$D7)^(V$1-Inputs!$B$6-1)*(1-$E7),0)-IF(V$1&lt;Inputs!$B$6,$B7/Inputs!$B$6,0)-IF(V$1=0,Inputs!$B$13,0)+IF(V$1=Inputs!$B$6+Inputs!$B$7,Inputs!$B$14,0)</f>
        <v>9383952.718694534</v>
      </c>
      <c r="W7" s="9">
        <f>IF(AND(W$1&gt;Inputs!$B$6,W$1&lt;=Inputs!$B$6+Inputs!$B$7),Inputs!$B$2*Inputs!$B$3*12*$C7*(1+$D7)^(W$1-Inputs!$B$6-1)*(1-$E7),0)-IF(W$1&lt;Inputs!$B$6,$B7/Inputs!$B$6,0)-IF(W$1=0,Inputs!$B$13,0)+IF(W$1=Inputs!$B$6+Inputs!$B$7,Inputs!$B$14,0)</f>
        <v>9853150.354629261</v>
      </c>
      <c r="X7" s="9">
        <f>IF(AND(X$1&gt;Inputs!$B$6,X$1&lt;=Inputs!$B$6+Inputs!$B$7),Inputs!$B$2*Inputs!$B$3*12*$C7*(1+$D7)^(X$1-Inputs!$B$6-1)*(1-$E7),0)-IF(X$1&lt;Inputs!$B$6,$B7/Inputs!$B$6,0)-IF(X$1=0,Inputs!$B$13,0)+IF(X$1=Inputs!$B$6+Inputs!$B$7,Inputs!$B$14,0)</f>
        <v>10345807.872360723</v>
      </c>
      <c r="Y7" s="9">
        <f>IF(AND(Y$1&gt;Inputs!$B$6,Y$1&lt;=Inputs!$B$6+Inputs!$B$7),Inputs!$B$2*Inputs!$B$3*12*$C7*(1+$D7)^(Y$1-Inputs!$B$6-1)*(1-$E7),0)-IF(Y$1&lt;Inputs!$B$6,$B7/Inputs!$B$6,0)-IF(Y$1=0,Inputs!$B$13,0)+IF(Y$1=Inputs!$B$6+Inputs!$B$7,Inputs!$B$14,0)</f>
        <v>10863098.26597876</v>
      </c>
      <c r="Z7" s="9">
        <f>IF(AND(Z$1&gt;Inputs!$B$6,Z$1&lt;=Inputs!$B$6+Inputs!$B$7),Inputs!$B$2*Inputs!$B$3*12*$C7*(1+$D7)^(Z$1-Inputs!$B$6-1)*(1-$E7),0)-IF(Z$1&lt;Inputs!$B$6,$B7/Inputs!$B$6,0)-IF(Z$1=0,Inputs!$B$13,0)+IF(Z$1=Inputs!$B$6+Inputs!$B$7,Inputs!$B$14,0)</f>
        <v>11406253.1792777</v>
      </c>
      <c r="AA7" s="9">
        <f>IF(AND(AA$1&gt;Inputs!$B$6,AA$1&lt;=Inputs!$B$6+Inputs!$B$7),Inputs!$B$2*Inputs!$B$3*12*$C7*(1+$D7)^(AA$1-Inputs!$B$6-1)*(1-$E7),0)-IF(AA$1&lt;Inputs!$B$6,$B7/Inputs!$B$6,0)-IF(AA$1=0,Inputs!$B$13,0)+IF(AA$1=Inputs!$B$6+Inputs!$B$7,Inputs!$B$14,0)</f>
        <v>11976565.838241586</v>
      </c>
      <c r="AB7" s="9">
        <f>IF(AND(AB$1&gt;Inputs!$B$6,AB$1&lt;=Inputs!$B$6+Inputs!$B$7),Inputs!$B$2*Inputs!$B$3*12*$C7*(1+$D7)^(AB$1-Inputs!$B$6-1)*(1-$E7),0)-IF(AB$1&lt;Inputs!$B$6,$B7/Inputs!$B$6,0)-IF(AB$1=0,Inputs!$B$13,0)+IF(AB$1=Inputs!$B$6+Inputs!$B$7,Inputs!$B$14,0)</f>
        <v>12575394.130153665</v>
      </c>
      <c r="AC7" s="9">
        <f>IF(AND(AC$1&gt;Inputs!$B$6,AC$1&lt;=Inputs!$B$6+Inputs!$B$7),Inputs!$B$2*Inputs!$B$3*12*$C7*(1+$D7)^(AC$1-Inputs!$B$6-1)*(1-$E7),0)-IF(AC$1&lt;Inputs!$B$6,$B7/Inputs!$B$6,0)-IF(AC$1=0,Inputs!$B$13,0)+IF(AC$1=Inputs!$B$6+Inputs!$B$7,Inputs!$B$14,0)</f>
        <v>13204163.836661352</v>
      </c>
      <c r="AD7" s="9">
        <f>IF(AND(AD$1&gt;Inputs!$B$6,AD$1&lt;=Inputs!$B$6+Inputs!$B$7),Inputs!$B$2*Inputs!$B$3*12*$C7*(1+$D7)^(AD$1-Inputs!$B$6-1)*(1-$E7),0)-IF(AD$1&lt;Inputs!$B$6,$B7/Inputs!$B$6,0)-IF(AD$1=0,Inputs!$B$13,0)+IF(AD$1=Inputs!$B$6+Inputs!$B$7,Inputs!$B$14,0)</f>
        <v>13864372.02849442</v>
      </c>
      <c r="AE7" s="9">
        <f>IF(AND(AE$1&gt;Inputs!$B$6,AE$1&lt;=Inputs!$B$6+Inputs!$B$7),Inputs!$B$2*Inputs!$B$3*12*$C7*(1+$D7)^(AE$1-Inputs!$B$6-1)*(1-$E7),0)-IF(AE$1&lt;Inputs!$B$6,$B7/Inputs!$B$6,0)-IF(AE$1=0,Inputs!$B$13,0)+IF(AE$1=Inputs!$B$6+Inputs!$B$7,Inputs!$B$14,0)</f>
        <v>14557590.629919138</v>
      </c>
      <c r="AF7" s="9">
        <f>IF(AND(AF$1&gt;Inputs!$B$6,AF$1&lt;=Inputs!$B$6+Inputs!$B$7),Inputs!$B$2*Inputs!$B$3*12*$C7*(1+$D7)^(AF$1-Inputs!$B$6-1)*(1-$E7),0)-IF(AF$1&lt;Inputs!$B$6,$B7/Inputs!$B$6,0)-IF(AF$1=0,Inputs!$B$13,0)+IF(AF$1=Inputs!$B$6+Inputs!$B$7,Inputs!$B$14,0)</f>
        <v>15285470.161415096</v>
      </c>
      <c r="AG7" s="9">
        <f>IF(AND(AG$1&gt;Inputs!$B$6,AG$1&lt;=Inputs!$B$6+Inputs!$B$7),Inputs!$B$2*Inputs!$B$3*12*$C7*(1+$D7)^(AG$1-Inputs!$B$6-1)*(1-$E7),0)-IF(AG$1&lt;Inputs!$B$6,$B7/Inputs!$B$6,0)-IF(AG$1=0,Inputs!$B$13,0)+IF(AG$1=Inputs!$B$6+Inputs!$B$7,Inputs!$B$14,0)</f>
        <v>16049743.669485852</v>
      </c>
      <c r="AH7" s="9">
        <f>IF(AND(AH$1&gt;Inputs!$B$6,AH$1&lt;=Inputs!$B$6+Inputs!$B$7),Inputs!$B$2*Inputs!$B$3*12*$C7*(1+$D7)^(AH$1-Inputs!$B$6-1)*(1-$E7),0)-IF(AH$1&lt;Inputs!$B$6,$B7/Inputs!$B$6,0)-IF(AH$1=0,Inputs!$B$13,0)+IF(AH$1=Inputs!$B$6+Inputs!$B$7,Inputs!$B$14,0)</f>
        <v>16852230.852960147</v>
      </c>
      <c r="AI7" s="9">
        <f>IF(AND(AI$1&gt;Inputs!$B$6,AI$1&lt;=Inputs!$B$6+Inputs!$B$7),Inputs!$B$2*Inputs!$B$3*12*$C7*(1+$D7)^(AI$1-Inputs!$B$6-1)*(1-$E7),0)-IF(AI$1&lt;Inputs!$B$6,$B7/Inputs!$B$6,0)-IF(AI$1=0,Inputs!$B$13,0)+IF(AI$1=Inputs!$B$6+Inputs!$B$7,Inputs!$B$14,0)</f>
        <v>17694842.395608153</v>
      </c>
      <c r="AJ7" s="9">
        <f>IF(AND(AJ$1&gt;Inputs!$B$6,AJ$1&lt;=Inputs!$B$6+Inputs!$B$7),Inputs!$B$2*Inputs!$B$3*12*$C7*(1+$D7)^(AJ$1-Inputs!$B$6-1)*(1-$E7),0)-IF(AJ$1&lt;Inputs!$B$6,$B7/Inputs!$B$6,0)-IF(AJ$1=0,Inputs!$B$13,0)+IF(AJ$1=Inputs!$B$6+Inputs!$B$7,Inputs!$B$14,0)</f>
        <v>18579584.51538856</v>
      </c>
      <c r="AK7" s="9">
        <f>IF(AND(AK$1&gt;Inputs!$B$6,AK$1&lt;=Inputs!$B$6+Inputs!$B$7),Inputs!$B$2*Inputs!$B$3*12*$C7*(1+$D7)^(AK$1-Inputs!$B$6-1)*(1-$E7),0)-IF(AK$1&lt;Inputs!$B$6,$B7/Inputs!$B$6,0)-IF(AK$1=0,Inputs!$B$13,0)+IF(AK$1=Inputs!$B$6+Inputs!$B$7,Inputs!$B$14,0)</f>
        <v>19508563.74115799</v>
      </c>
      <c r="AL7" s="9">
        <f>IF(AND(AL$1&gt;Inputs!$B$6,AL$1&lt;=Inputs!$B$6+Inputs!$B$7),Inputs!$B$2*Inputs!$B$3*12*$C7*(1+$D7)^(AL$1-Inputs!$B$6-1)*(1-$E7),0)-IF(AL$1&lt;Inputs!$B$6,$B7/Inputs!$B$6,0)-IF(AL$1=0,Inputs!$B$13,0)+IF(AL$1=Inputs!$B$6+Inputs!$B$7,Inputs!$B$14,0)</f>
        <v>20483991.92821589</v>
      </c>
      <c r="AM7" s="9">
        <f>IF(AND(AM$1&gt;Inputs!$B$6,AM$1&lt;=Inputs!$B$6+Inputs!$B$7),Inputs!$B$2*Inputs!$B$3*12*$C7*(1+$D7)^(AM$1-Inputs!$B$6-1)*(1-$E7),0)-IF(AM$1&lt;Inputs!$B$6,$B7/Inputs!$B$6,0)-IF(AM$1=0,Inputs!$B$13,0)+IF(AM$1=Inputs!$B$6+Inputs!$B$7,Inputs!$B$14,0)</f>
        <v>21508191.524626687</v>
      </c>
      <c r="AN7" s="9">
        <f>IF(AND(AN$1&gt;Inputs!$B$6,AN$1&lt;=Inputs!$B$6+Inputs!$B$7),Inputs!$B$2*Inputs!$B$3*12*$C7*(1+$D7)^(AN$1-Inputs!$B$6-1)*(1-$E7),0)-IF(AN$1&lt;Inputs!$B$6,$B7/Inputs!$B$6,0)-IF(AN$1=0,Inputs!$B$13,0)+IF(AN$1=Inputs!$B$6+Inputs!$B$7,Inputs!$B$14,0)</f>
        <v>22583601.10085802</v>
      </c>
      <c r="AO7" s="9">
        <f>IF(AND(AO$1&gt;Inputs!$B$6,AO$1&lt;=Inputs!$B$6+Inputs!$B$7),Inputs!$B$2*Inputs!$B$3*12*$C7*(1+$D7)^(AO$1-Inputs!$B$6-1)*(1-$E7),0)-IF(AO$1&lt;Inputs!$B$6,$B7/Inputs!$B$6,0)-IF(AO$1=0,Inputs!$B$13,0)+IF(AO$1=Inputs!$B$6+Inputs!$B$7,Inputs!$B$14,0)</f>
        <v>23712781.155900925</v>
      </c>
      <c r="AP7" s="9">
        <f>IF(AND(AP$1&gt;Inputs!$B$6,AP$1&lt;=Inputs!$B$6+Inputs!$B$7),Inputs!$B$2*Inputs!$B$3*12*$C7*(1+$D7)^(AP$1-Inputs!$B$6-1)*(1-$E7),0)-IF(AP$1&lt;Inputs!$B$6,$B7/Inputs!$B$6,0)-IF(AP$1=0,Inputs!$B$13,0)+IF(AP$1=Inputs!$B$6+Inputs!$B$7,Inputs!$B$14,0)</f>
        <v>24898420.213695973</v>
      </c>
      <c r="AQ7" s="9">
        <f>IF(AND(AQ$1&gt;Inputs!$B$6,AQ$1&lt;=Inputs!$B$6+Inputs!$B$7),Inputs!$B$2*Inputs!$B$3*12*$C7*(1+$D7)^(AQ$1-Inputs!$B$6-1)*(1-$E7),0)-IF(AQ$1&lt;Inputs!$B$6,$B7/Inputs!$B$6,0)-IF(AQ$1=0,Inputs!$B$13,0)+IF(AQ$1=Inputs!$B$6+Inputs!$B$7,Inputs!$B$14,0)</f>
        <v>26143341.224380773</v>
      </c>
      <c r="AR7" s="9">
        <f>IF(AND(AR$1&gt;Inputs!$B$6,AR$1&lt;=Inputs!$B$6+Inputs!$B$7),Inputs!$B$2*Inputs!$B$3*12*$C7*(1+$D7)^(AR$1-Inputs!$B$6-1)*(1-$E7),0)-IF(AR$1&lt;Inputs!$B$6,$B7/Inputs!$B$6,0)-IF(AR$1=0,Inputs!$B$13,0)+IF(AR$1=Inputs!$B$6+Inputs!$B$7,Inputs!$B$14,0)</f>
        <v>27450508.285599813</v>
      </c>
      <c r="AS7" s="9">
        <f>IF(AND(AS$1&gt;Inputs!$B$6,AS$1&lt;=Inputs!$B$6+Inputs!$B$7),Inputs!$B$2*Inputs!$B$3*12*$C7*(1+$D7)^(AS$1-Inputs!$B$6-1)*(1-$E7),0)-IF(AS$1&lt;Inputs!$B$6,$B7/Inputs!$B$6,0)-IF(AS$1=0,Inputs!$B$13,0)+IF(AS$1=Inputs!$B$6+Inputs!$B$7,Inputs!$B$14,0)</f>
        <v>0.0</v>
      </c>
      <c r="AT7" s="9">
        <f>IF(AND(AT$1&gt;Inputs!$B$6,AT$1&lt;=Inputs!$B$6+Inputs!$B$7),Inputs!$B$2*Inputs!$B$3*12*$C7*(1+$D7)^(AT$1-Inputs!$B$6-1)*(1-$E7),0)-IF(AT$1&lt;Inputs!$B$6,$B7/Inputs!$B$6,0)-IF(AT$1=0,Inputs!$B$13,0)+IF(AT$1=Inputs!$B$6+Inputs!$B$7,Inputs!$B$14,0)</f>
        <v>0.0</v>
      </c>
      <c r="AU7" s="9">
        <f>IF(AND(AU$1&gt;Inputs!$B$6,AU$1&lt;=Inputs!$B$6+Inputs!$B$7),Inputs!$B$2*Inputs!$B$3*12*$C7*(1+$D7)^(AU$1-Inputs!$B$6-1)*(1-$E7),0)-IF(AU$1&lt;Inputs!$B$6,$B7/Inputs!$B$6,0)-IF(AU$1=0,Inputs!$B$13,0)+IF(AU$1=Inputs!$B$6+Inputs!$B$7,Inputs!$B$14,0)</f>
        <v>0.0</v>
      </c>
      <c r="AV7" s="9">
        <f>IF(AND(AV$1&gt;Inputs!$B$6,AV$1&lt;=Inputs!$B$6+Inputs!$B$7),Inputs!$B$2*Inputs!$B$3*12*$C7*(1+$D7)^(AV$1-Inputs!$B$6-1)*(1-$E7),0)-IF(AV$1&lt;Inputs!$B$6,$B7/Inputs!$B$6,0)-IF(AV$1=0,Inputs!$B$13,0)+IF(AV$1=Inputs!$B$6+Inputs!$B$7,Inputs!$B$14,0)</f>
        <v>0.0</v>
      </c>
      <c r="AW7" s="9">
        <f>IF(AND(AW$1&gt;Inputs!$B$6,AW$1&lt;=Inputs!$B$6+Inputs!$B$7),Inputs!$B$2*Inputs!$B$3*12*$C7*(1+$D7)^(AW$1-Inputs!$B$6-1)*(1-$E7),0)-IF(AW$1&lt;Inputs!$B$6,$B7/Inputs!$B$6,0)-IF(AW$1=0,Inputs!$B$13,0)+IF(AW$1=Inputs!$B$6+Inputs!$B$7,Inputs!$B$14,0)</f>
        <v>0.0</v>
      </c>
      <c r="AX7" s="9">
        <f>IF(AND(AX$1&gt;Inputs!$B$6,AX$1&lt;=Inputs!$B$6+Inputs!$B$7),Inputs!$B$2*Inputs!$B$3*12*$C7*(1+$D7)^(AX$1-Inputs!$B$6-1)*(1-$E7),0)-IF(AX$1&lt;Inputs!$B$6,$B7/Inputs!$B$6,0)-IF(AX$1=0,Inputs!$B$13,0)+IF(AX$1=Inputs!$B$6+Inputs!$B$7,Inputs!$B$14,0)</f>
        <v>0.0</v>
      </c>
      <c r="AY7" s="9">
        <f>IF(AND(AY$1&gt;Inputs!$B$6,AY$1&lt;=Inputs!$B$6+Inputs!$B$7),Inputs!$B$2*Inputs!$B$3*12*$C7*(1+$D7)^(AY$1-Inputs!$B$6-1)*(1-$E7),0)-IF(AY$1&lt;Inputs!$B$6,$B7/Inputs!$B$6,0)-IF(AY$1=0,Inputs!$B$13,0)+IF(AY$1=Inputs!$B$6+Inputs!$B$7,Inputs!$B$14,0)</f>
        <v>0.0</v>
      </c>
      <c r="AZ7" s="9">
        <f>IF(AND(AZ$1&gt;Inputs!$B$6,AZ$1&lt;=Inputs!$B$6+Inputs!$B$7),Inputs!$B$2*Inputs!$B$3*12*$C7*(1+$D7)^(AZ$1-Inputs!$B$6-1)*(1-$E7),0)-IF(AZ$1&lt;Inputs!$B$6,$B7/Inputs!$B$6,0)-IF(AZ$1=0,Inputs!$B$13,0)+IF(AZ$1=Inputs!$B$6+Inputs!$B$7,Inputs!$B$14,0)</f>
        <v>0.0</v>
      </c>
      <c r="BA7" s="9">
        <f>IF(AND(BA$1&gt;Inputs!$B$6,BA$1&lt;=Inputs!$B$6+Inputs!$B$7),Inputs!$B$2*Inputs!$B$3*12*$C7*(1+$D7)^(BA$1-Inputs!$B$6-1)*(1-$E7),0)-IF(BA$1&lt;Inputs!$B$6,$B7/Inputs!$B$6,0)-IF(BA$1=0,Inputs!$B$13,0)+IF(BA$1=Inputs!$B$6+Inputs!$B$7,Inputs!$B$14,0)</f>
        <v>0.0</v>
      </c>
      <c r="BB7" s="9">
        <f>IF(AND(BB$1&gt;Inputs!$B$6,BB$1&lt;=Inputs!$B$6+Inputs!$B$7),Inputs!$B$2*Inputs!$B$3*12*$C7*(1+$D7)^(BB$1-Inputs!$B$6-1)*(1-$E7),0)-IF(BB$1&lt;Inputs!$B$6,$B7/Inputs!$B$6,0)-IF(BB$1=0,Inputs!$B$13,0)+IF(BB$1=Inputs!$B$6+Inputs!$B$7,Inputs!$B$14,0)</f>
        <v>0.0</v>
      </c>
      <c r="BC7" s="9">
        <f>IF(AND(BC$1&gt;Inputs!$B$6,BC$1&lt;=Inputs!$B$6+Inputs!$B$7),Inputs!$B$2*Inputs!$B$3*12*$C7*(1+$D7)^(BC$1-Inputs!$B$6-1)*(1-$E7),0)-IF(BC$1&lt;Inputs!$B$6,$B7/Inputs!$B$6,0)-IF(BC$1=0,Inputs!$B$13,0)+IF(BC$1=Inputs!$B$6+Inputs!$B$7,Inputs!$B$14,0)</f>
        <v>0.0</v>
      </c>
      <c r="BD7" s="9">
        <f>IF(AND(BD$1&gt;Inputs!$B$6,BD$1&lt;=Inputs!$B$6+Inputs!$B$7),Inputs!$B$2*Inputs!$B$3*12*$C7*(1+$D7)^(BD$1-Inputs!$B$6-1)*(1-$E7),0)-IF(BD$1&lt;Inputs!$B$6,$B7/Inputs!$B$6,0)-IF(BD$1=0,Inputs!$B$13,0)+IF(BD$1=Inputs!$B$6+Inputs!$B$7,Inputs!$B$14,0)</f>
        <v>0.0</v>
      </c>
      <c r="BE7" s="9">
        <f>IF(AND(BE$1&gt;Inputs!$B$6,BE$1&lt;=Inputs!$B$6+Inputs!$B$7),Inputs!$B$2*Inputs!$B$3*12*$C7*(1+$D7)^(BE$1-Inputs!$B$6-1)*(1-$E7),0)-IF(BE$1&lt;Inputs!$B$6,$B7/Inputs!$B$6,0)-IF(BE$1=0,Inputs!$B$13,0)+IF(BE$1=Inputs!$B$6+Inputs!$B$7,Inputs!$B$14,0)</f>
        <v>0.0</v>
      </c>
      <c r="BF7" s="9">
        <f>IF(AND(BF$1&gt;Inputs!$B$6,BF$1&lt;=Inputs!$B$6+Inputs!$B$7),Inputs!$B$2*Inputs!$B$3*12*$C7*(1+$D7)^(BF$1-Inputs!$B$6-1)*(1-$E7),0)-IF(BF$1&lt;Inputs!$B$6,$B7/Inputs!$B$6,0)-IF(BF$1=0,Inputs!$B$13,0)+IF(BF$1=Inputs!$B$6+Inputs!$B$7,Inputs!$B$14,0)</f>
        <v>0.0</v>
      </c>
      <c r="BG7" s="9">
        <f>IF(AND(BG$1&gt;Inputs!$B$6,BG$1&lt;=Inputs!$B$6+Inputs!$B$7),Inputs!$B$2*Inputs!$B$3*12*$C7*(1+$D7)^(BG$1-Inputs!$B$6-1)*(1-$E7),0)-IF(BG$1&lt;Inputs!$B$6,$B7/Inputs!$B$6,0)-IF(BG$1=0,Inputs!$B$13,0)+IF(BG$1=Inputs!$B$6+Inputs!$B$7,Inputs!$B$14,0)</f>
        <v>0.0</v>
      </c>
      <c r="BH7" s="9">
        <f>IF(AND(BH$1&gt;Inputs!$B$6,BH$1&lt;=Inputs!$B$6+Inputs!$B$7),Inputs!$B$2*Inputs!$B$3*12*$C7*(1+$D7)^(BH$1-Inputs!$B$6-1)*(1-$E7),0)-IF(BH$1&lt;Inputs!$B$6,$B7/Inputs!$B$6,0)-IF(BH$1=0,Inputs!$B$13,0)+IF(BH$1=Inputs!$B$6+Inputs!$B$7,Inputs!$B$14,0)</f>
        <v>0.0</v>
      </c>
      <c r="BI7" s="9">
        <f>IF(AND(BI$1&gt;Inputs!$B$6,BI$1&lt;=Inputs!$B$6+Inputs!$B$7),Inputs!$B$2*Inputs!$B$3*12*$C7*(1+$D7)^(BI$1-Inputs!$B$6-1)*(1-$E7),0)-IF(BI$1&lt;Inputs!$B$6,$B7/Inputs!$B$6,0)-IF(BI$1=0,Inputs!$B$13,0)+IF(BI$1=Inputs!$B$6+Inputs!$B$7,Inputs!$B$14,0)</f>
        <v>0.0</v>
      </c>
      <c r="BJ7" s="9">
        <f>IF(AND(BJ$1&gt;Inputs!$B$6,BJ$1&lt;=Inputs!$B$6+Inputs!$B$7),Inputs!$B$2*Inputs!$B$3*12*$C7*(1+$D7)^(BJ$1-Inputs!$B$6-1)*(1-$E7),0)-IF(BJ$1&lt;Inputs!$B$6,$B7/Inputs!$B$6,0)-IF(BJ$1=0,Inputs!$B$13,0)+IF(BJ$1=Inputs!$B$6+Inputs!$B$7,Inputs!$B$14,0)</f>
        <v>0.0</v>
      </c>
      <c r="BK7" s="9">
        <f>IF(AND(BK$1&gt;Inputs!$B$6,BK$1&lt;=Inputs!$B$6+Inputs!$B$7),Inputs!$B$2*Inputs!$B$3*12*$C7*(1+$D7)^(BK$1-Inputs!$B$6-1)*(1-$E7),0)-IF(BK$1&lt;Inputs!$B$6,$B7/Inputs!$B$6,0)-IF(BK$1=0,Inputs!$B$13,0)+IF(BK$1=Inputs!$B$6+Inputs!$B$7,Inputs!$B$14,0)</f>
        <v>0.0</v>
      </c>
      <c r="BL7" s="9">
        <f>IF(AND(BL$1&gt;Inputs!$B$6,BL$1&lt;=Inputs!$B$6+Inputs!$B$7),Inputs!$B$2*Inputs!$B$3*12*$C7*(1+$D7)^(BL$1-Inputs!$B$6-1)*(1-$E7),0)-IF(BL$1&lt;Inputs!$B$6,$B7/Inputs!$B$6,0)-IF(BL$1=0,Inputs!$B$13,0)+IF(BL$1=Inputs!$B$6+Inputs!$B$7,Inputs!$B$14,0)</f>
        <v>0.0</v>
      </c>
      <c r="BM7" s="9">
        <f>IF(AND(BM$1&gt;Inputs!$B$6,BM$1&lt;=Inputs!$B$6+Inputs!$B$7),Inputs!$B$2*Inputs!$B$3*12*$C7*(1+$D7)^(BM$1-Inputs!$B$6-1)*(1-$E7),0)-IF(BM$1&lt;Inputs!$B$6,$B7/Inputs!$B$6,0)-IF(BM$1=0,Inputs!$B$13,0)+IF(BM$1=Inputs!$B$6+Inputs!$B$7,Inputs!$B$14,0)</f>
        <v>0.0</v>
      </c>
      <c r="BN7" s="9">
        <f>IF(AND(BN$1&gt;Inputs!$B$6,BN$1&lt;=Inputs!$B$6+Inputs!$B$7),Inputs!$B$2*Inputs!$B$3*12*$C7*(1+$D7)^(BN$1-Inputs!$B$6-1)*(1-$E7),0)-IF(BN$1&lt;Inputs!$B$6,$B7/Inputs!$B$6,0)-IF(BN$1=0,Inputs!$B$13,0)+IF(BN$1=Inputs!$B$6+Inputs!$B$7,Inputs!$B$14,0)</f>
        <v>0.0</v>
      </c>
      <c r="BO7" s="9">
        <f>IF(AND(BO$1&gt;Inputs!$B$6,BO$1&lt;=Inputs!$B$6+Inputs!$B$7),Inputs!$B$2*Inputs!$B$3*12*$C7*(1+$D7)^(BO$1-Inputs!$B$6-1)*(1-$E7),0)-IF(BO$1&lt;Inputs!$B$6,$B7/Inputs!$B$6,0)-IF(BO$1=0,Inputs!$B$13,0)+IF(BO$1=Inputs!$B$6+Inputs!$B$7,Inputs!$B$14,0)</f>
        <v>0.0</v>
      </c>
      <c r="BP7" s="9">
        <f>IF(AND(BP$1&gt;Inputs!$B$6,BP$1&lt;=Inputs!$B$6+Inputs!$B$7),Inputs!$B$2*Inputs!$B$3*12*$C7*(1+$D7)^(BP$1-Inputs!$B$6-1)*(1-$E7),0)-IF(BP$1&lt;Inputs!$B$6,$B7/Inputs!$B$6,0)-IF(BP$1=0,Inputs!$B$13,0)+IF(BP$1=Inputs!$B$6+Inputs!$B$7,Inputs!$B$14,0)</f>
        <v>0.0</v>
      </c>
      <c r="BQ7" s="9">
        <f>IF(AND(BQ$1&gt;Inputs!$B$6,BQ$1&lt;=Inputs!$B$6+Inputs!$B$7),Inputs!$B$2*Inputs!$B$3*12*$C7*(1+$D7)^(BQ$1-Inputs!$B$6-1)*(1-$E7),0)-IF(BQ$1&lt;Inputs!$B$6,$B7/Inputs!$B$6,0)-IF(BQ$1=0,Inputs!$B$13,0)+IF(BQ$1=Inputs!$B$6+Inputs!$B$7,Inputs!$B$14,0)</f>
        <v>0.0</v>
      </c>
      <c r="BR7" s="9">
        <f>IF(AND(BR$1&gt;Inputs!$B$6,BR$1&lt;=Inputs!$B$6+Inputs!$B$7),Inputs!$B$2*Inputs!$B$3*12*$C7*(1+$D7)^(BR$1-Inputs!$B$6-1)*(1-$E7),0)-IF(BR$1&lt;Inputs!$B$6,$B7/Inputs!$B$6,0)-IF(BR$1=0,Inputs!$B$13,0)+IF(BR$1=Inputs!$B$6+Inputs!$B$7,Inputs!$B$14,0)</f>
        <v>0.0</v>
      </c>
      <c r="BS7" s="9">
        <f>IF(AND(BS$1&gt;Inputs!$B$6,BS$1&lt;=Inputs!$B$6+Inputs!$B$7),Inputs!$B$2*Inputs!$B$3*12*$C7*(1+$D7)^(BS$1-Inputs!$B$6-1)*(1-$E7),0)-IF(BS$1&lt;Inputs!$B$6,$B7/Inputs!$B$6,0)-IF(BS$1=0,Inputs!$B$13,0)+IF(BS$1=Inputs!$B$6+Inputs!$B$7,Inputs!$B$14,0)</f>
        <v>0.0</v>
      </c>
      <c r="BT7" s="9">
        <f>IF(AND(BT$1&gt;Inputs!$B$6,BT$1&lt;=Inputs!$B$6+Inputs!$B$7),Inputs!$B$2*Inputs!$B$3*12*$C7*(1+$D7)^(BT$1-Inputs!$B$6-1)*(1-$E7),0)-IF(BT$1&lt;Inputs!$B$6,$B7/Inputs!$B$6,0)-IF(BT$1=0,Inputs!$B$13,0)+IF(BT$1=Inputs!$B$6+Inputs!$B$7,Inputs!$B$14,0)</f>
        <v>0.0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</row>
    <row r="10" ht="40" customHeight="1">
      <c r="A10" s="2" t="inlineStr">
        <is>
          <t>All cases keep 2,000 rooms and EUR 450 opening rent. Cost cases are illustrative stresses, not verified market quotes.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>
      <c r="A15" s="4" t="inlineStr">
        <is>
          <t>Requested assumptions | cumulative CF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9">
        <f>SUM($L2:L2)</f>
        <v>-7500000.0</v>
      </c>
      <c r="M15" s="9">
        <f>SUM($L2:M2)</f>
        <v>-15000000.0</v>
      </c>
      <c r="N15" s="9">
        <f>SUM($L2:N2)</f>
        <v>-15000000.0</v>
      </c>
      <c r="O15" s="9">
        <f>SUM($L2:O2)</f>
        <v>-8331000.0</v>
      </c>
      <c r="P15" s="9">
        <f>SUM($L2:P2)</f>
        <v>-1328550.0</v>
      </c>
      <c r="Q15" s="9">
        <f>SUM($L2:Q2)</f>
        <v>6024022.5</v>
      </c>
      <c r="R15" s="9">
        <f>SUM($L2:R2)</f>
        <v>13744223.625000004</v>
      </c>
      <c r="S15" s="9">
        <f>SUM($L2:S2)</f>
        <v>21850434.806250006</v>
      </c>
      <c r="T15" s="9">
        <f>SUM($L2:T2)</f>
        <v>30361956.546562508</v>
      </c>
      <c r="U15" s="9">
        <f>SUM($L2:U2)</f>
        <v>39299054.37389064</v>
      </c>
      <c r="V15" s="9">
        <f>SUM($L2:V2)</f>
        <v>48683007.092585176</v>
      </c>
      <c r="W15" s="9">
        <f>SUM($L2:W2)</f>
        <v>58536157.44721444</v>
      </c>
      <c r="X15" s="9">
        <f>SUM($L2:X2)</f>
        <v>68881965.31957516</v>
      </c>
      <c r="Y15" s="9">
        <f>SUM($L2:Y2)</f>
        <v>79745063.58555391</v>
      </c>
      <c r="Z15" s="9">
        <f>SUM($L2:Z2)</f>
        <v>91151316.76483162</v>
      </c>
      <c r="AA15" s="9">
        <f>SUM($L2:AA2)</f>
        <v>103127882.60307321</v>
      </c>
      <c r="AB15" s="9">
        <f>SUM($L2:AB2)</f>
        <v>115703276.73322688</v>
      </c>
      <c r="AC15" s="9">
        <f>SUM($L2:AC2)</f>
        <v>128907440.56988823</v>
      </c>
      <c r="AD15" s="9">
        <f>SUM($L2:AD2)</f>
        <v>142771812.59838265</v>
      </c>
      <c r="AE15" s="9">
        <f>SUM($L2:AE2)</f>
        <v>157329403.2283018</v>
      </c>
      <c r="AF15" s="9">
        <f>SUM($L2:AF2)</f>
        <v>172614873.3897169</v>
      </c>
      <c r="AG15" s="9">
        <f>SUM($L2:AG2)</f>
        <v>188664617.05920273</v>
      </c>
      <c r="AH15" s="9">
        <f>SUM($L2:AH2)</f>
        <v>205516847.91216287</v>
      </c>
      <c r="AI15" s="9">
        <f>SUM($L2:AI2)</f>
        <v>223211690.30777103</v>
      </c>
      <c r="AJ15" s="9">
        <f>SUM($L2:AJ2)</f>
        <v>241791274.82315958</v>
      </c>
      <c r="AK15" s="9">
        <f>SUM($L2:AK2)</f>
        <v>261299838.56431755</v>
      </c>
      <c r="AL15" s="9">
        <f>SUM($L2:AL2)</f>
        <v>281783830.49253345</v>
      </c>
      <c r="AM15" s="9">
        <f>SUM($L2:AM2)</f>
        <v>303292022.0171601</v>
      </c>
      <c r="AN15" s="9">
        <f>SUM($L2:AN2)</f>
        <v>325875623.11801815</v>
      </c>
      <c r="AO15" s="9">
        <f>SUM($L2:AO2)</f>
        <v>349588404.2739191</v>
      </c>
      <c r="AP15" s="9">
        <f>SUM($L2:AP2)</f>
        <v>374486824.4876151</v>
      </c>
      <c r="AQ15" s="9">
        <f>SUM($L2:AQ2)</f>
        <v>400630165.7119959</v>
      </c>
      <c r="AR15" s="9">
        <f>SUM($L2:AR2)</f>
        <v>428080673.9975957</v>
      </c>
      <c r="AS15" s="9">
        <f>SUM($L2:AS2)</f>
        <v>428080673.9975957</v>
      </c>
      <c r="AT15" s="9">
        <f>SUM($L2:AT2)</f>
        <v>428080673.9975957</v>
      </c>
      <c r="AU15" s="9">
        <f>SUM($L2:AU2)</f>
        <v>428080673.9975957</v>
      </c>
      <c r="AV15" s="9">
        <f>SUM($L2:AV2)</f>
        <v>428080673.9975957</v>
      </c>
      <c r="AW15" s="9">
        <f>SUM($L2:AW2)</f>
        <v>428080673.9975957</v>
      </c>
      <c r="AX15" s="9">
        <f>SUM($L2:AX2)</f>
        <v>428080673.9975957</v>
      </c>
      <c r="AY15" s="9">
        <f>SUM($L2:AY2)</f>
        <v>428080673.9975957</v>
      </c>
      <c r="AZ15" s="9">
        <f>SUM($L2:AZ2)</f>
        <v>428080673.9975957</v>
      </c>
      <c r="BA15" s="9">
        <f>SUM($L2:BA2)</f>
        <v>428080673.9975957</v>
      </c>
      <c r="BB15" s="9">
        <f>SUM($L2:BB2)</f>
        <v>428080673.9975957</v>
      </c>
      <c r="BC15" s="9">
        <f>SUM($L2:BC2)</f>
        <v>428080673.9975957</v>
      </c>
      <c r="BD15" s="9">
        <f>SUM($L2:BD2)</f>
        <v>428080673.9975957</v>
      </c>
      <c r="BE15" s="9">
        <f>SUM($L2:BE2)</f>
        <v>428080673.9975957</v>
      </c>
      <c r="BF15" s="9">
        <f>SUM($L2:BF2)</f>
        <v>428080673.9975957</v>
      </c>
      <c r="BG15" s="9">
        <f>SUM($L2:BG2)</f>
        <v>428080673.9975957</v>
      </c>
      <c r="BH15" s="9">
        <f>SUM($L2:BH2)</f>
        <v>428080673.9975957</v>
      </c>
      <c r="BI15" s="9">
        <f>SUM($L2:BI2)</f>
        <v>428080673.9975957</v>
      </c>
      <c r="BJ15" s="9">
        <f>SUM($L2:BJ2)</f>
        <v>428080673.9975957</v>
      </c>
      <c r="BK15" s="9">
        <f>SUM($L2:BK2)</f>
        <v>428080673.9975957</v>
      </c>
      <c r="BL15" s="9">
        <f>SUM($L2:BL2)</f>
        <v>428080673.9975957</v>
      </c>
      <c r="BM15" s="9">
        <f>SUM($L2:BM2)</f>
        <v>428080673.9975957</v>
      </c>
      <c r="BN15" s="9">
        <f>SUM($L2:BN2)</f>
        <v>428080673.9975957</v>
      </c>
      <c r="BO15" s="9">
        <f>SUM($L2:BO2)</f>
        <v>428080673.9975957</v>
      </c>
      <c r="BP15" s="9">
        <f>SUM($L2:BP2)</f>
        <v>428080673.9975957</v>
      </c>
      <c r="BQ15" s="9">
        <f>SUM($L2:BQ2)</f>
        <v>428080673.9975957</v>
      </c>
      <c r="BR15" s="9">
        <f>SUM($L2:BR2)</f>
        <v>428080673.9975957</v>
      </c>
      <c r="BS15" s="9">
        <f>SUM($L2:BS2)</f>
        <v>428080673.9975957</v>
      </c>
      <c r="BT15" s="9">
        <f>SUM($L2:BT2)</f>
        <v>428080673.9975957</v>
      </c>
    </row>
    <row r="16" hidden="1">
      <c r="A16" s="2" t="inlineStr">
        <is>
          <t>Payback crossing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>
        <f>0</f>
        <v>0</v>
      </c>
      <c r="M16" s="3">
        <f>IF(AND(M$1&gt;Inputs!$B$6,M15&gt;=0,L15&lt;0),M$1-1-L15/M2,0)</f>
        <v>0</v>
      </c>
      <c r="N16" s="3">
        <f>IF(AND(N$1&gt;Inputs!$B$6,N15&gt;=0,M15&lt;0),N$1-1-M15/N2,0)</f>
        <v>0</v>
      </c>
      <c r="O16" s="3">
        <f>IF(AND(O$1&gt;Inputs!$B$6,O15&gt;=0,N15&lt;0),O$1-1-N15/O2,0)</f>
        <v>0</v>
      </c>
      <c r="P16" s="3">
        <f>IF(AND(P$1&gt;Inputs!$B$6,P15&gt;=0,O15&lt;0),P$1-1-O15/P2,0)</f>
        <v>0</v>
      </c>
      <c r="Q16" s="3">
        <f>IF(AND(Q$1&gt;Inputs!$B$6,Q15&gt;=0,P15&lt;0),Q$1-1-P15/Q2,0)</f>
        <v>4.180691859889855</v>
      </c>
      <c r="R16" s="3">
        <f>IF(AND(R$1&gt;Inputs!$B$6,R15&gt;=0,Q15&lt;0),R$1-1-Q15/R2,0)</f>
        <v>0</v>
      </c>
      <c r="S16" s="3">
        <f>IF(AND(S$1&gt;Inputs!$B$6,S15&gt;=0,R15&lt;0),S$1-1-R15/S2,0)</f>
        <v>0</v>
      </c>
      <c r="T16" s="3">
        <f>IF(AND(T$1&gt;Inputs!$B$6,T15&gt;=0,S15&lt;0),T$1-1-S15/T2,0)</f>
        <v>0</v>
      </c>
      <c r="U16" s="3">
        <f>IF(AND(U$1&gt;Inputs!$B$6,U15&gt;=0,T15&lt;0),U$1-1-T15/U2,0)</f>
        <v>0</v>
      </c>
      <c r="V16" s="3">
        <f>IF(AND(V$1&gt;Inputs!$B$6,V15&gt;=0,U15&lt;0),V$1-1-U15/V2,0)</f>
        <v>0</v>
      </c>
      <c r="W16" s="3">
        <f>IF(AND(W$1&gt;Inputs!$B$6,W15&gt;=0,V15&lt;0),W$1-1-V15/W2,0)</f>
        <v>0</v>
      </c>
      <c r="X16" s="3">
        <f>IF(AND(X$1&gt;Inputs!$B$6,X15&gt;=0,W15&lt;0),X$1-1-W15/X2,0)</f>
        <v>0</v>
      </c>
      <c r="Y16" s="3">
        <f>IF(AND(Y$1&gt;Inputs!$B$6,Y15&gt;=0,X15&lt;0),Y$1-1-X15/Y2,0)</f>
        <v>0</v>
      </c>
      <c r="Z16" s="3">
        <f>IF(AND(Z$1&gt;Inputs!$B$6,Z15&gt;=0,Y15&lt;0),Z$1-1-Y15/Z2,0)</f>
        <v>0</v>
      </c>
      <c r="AA16" s="3">
        <f>IF(AND(AA$1&gt;Inputs!$B$6,AA15&gt;=0,Z15&lt;0),AA$1-1-Z15/AA2,0)</f>
        <v>0</v>
      </c>
      <c r="AB16" s="3">
        <f>IF(AND(AB$1&gt;Inputs!$B$6,AB15&gt;=0,AA15&lt;0),AB$1-1-AA15/AB2,0)</f>
        <v>0</v>
      </c>
      <c r="AC16" s="3">
        <f>IF(AND(AC$1&gt;Inputs!$B$6,AC15&gt;=0,AB15&lt;0),AC$1-1-AB15/AC2,0)</f>
        <v>0</v>
      </c>
      <c r="AD16" s="3">
        <f>IF(AND(AD$1&gt;Inputs!$B$6,AD15&gt;=0,AC15&lt;0),AD$1-1-AC15/AD2,0)</f>
        <v>0</v>
      </c>
      <c r="AE16" s="3">
        <f>IF(AND(AE$1&gt;Inputs!$B$6,AE15&gt;=0,AD15&lt;0),AE$1-1-AD15/AE2,0)</f>
        <v>0</v>
      </c>
      <c r="AF16" s="3">
        <f>IF(AND(AF$1&gt;Inputs!$B$6,AF15&gt;=0,AE15&lt;0),AF$1-1-AE15/AF2,0)</f>
        <v>0</v>
      </c>
      <c r="AG16" s="3">
        <f>IF(AND(AG$1&gt;Inputs!$B$6,AG15&gt;=0,AF15&lt;0),AG$1-1-AF15/AG2,0)</f>
        <v>0</v>
      </c>
      <c r="AH16" s="3">
        <f>IF(AND(AH$1&gt;Inputs!$B$6,AH15&gt;=0,AG15&lt;0),AH$1-1-AG15/AH2,0)</f>
        <v>0</v>
      </c>
      <c r="AI16" s="3">
        <f>IF(AND(AI$1&gt;Inputs!$B$6,AI15&gt;=0,AH15&lt;0),AI$1-1-AH15/AI2,0)</f>
        <v>0</v>
      </c>
      <c r="AJ16" s="3">
        <f>IF(AND(AJ$1&gt;Inputs!$B$6,AJ15&gt;=0,AI15&lt;0),AJ$1-1-AI15/AJ2,0)</f>
        <v>0</v>
      </c>
      <c r="AK16" s="3">
        <f>IF(AND(AK$1&gt;Inputs!$B$6,AK15&gt;=0,AJ15&lt;0),AK$1-1-AJ15/AK2,0)</f>
        <v>0</v>
      </c>
      <c r="AL16" s="3">
        <f>IF(AND(AL$1&gt;Inputs!$B$6,AL15&gt;=0,AK15&lt;0),AL$1-1-AK15/AL2,0)</f>
        <v>0</v>
      </c>
      <c r="AM16" s="3">
        <f>IF(AND(AM$1&gt;Inputs!$B$6,AM15&gt;=0,AL15&lt;0),AM$1-1-AL15/AM2,0)</f>
        <v>0</v>
      </c>
      <c r="AN16" s="3">
        <f>IF(AND(AN$1&gt;Inputs!$B$6,AN15&gt;=0,AM15&lt;0),AN$1-1-AM15/AN2,0)</f>
        <v>0</v>
      </c>
      <c r="AO16" s="3">
        <f>IF(AND(AO$1&gt;Inputs!$B$6,AO15&gt;=0,AN15&lt;0),AO$1-1-AN15/AO2,0)</f>
        <v>0</v>
      </c>
      <c r="AP16" s="3">
        <f>IF(AND(AP$1&gt;Inputs!$B$6,AP15&gt;=0,AO15&lt;0),AP$1-1-AO15/AP2,0)</f>
        <v>0</v>
      </c>
      <c r="AQ16" s="3">
        <f>IF(AND(AQ$1&gt;Inputs!$B$6,AQ15&gt;=0,AP15&lt;0),AQ$1-1-AP15/AQ2,0)</f>
        <v>0</v>
      </c>
      <c r="AR16" s="3">
        <f>IF(AND(AR$1&gt;Inputs!$B$6,AR15&gt;=0,AQ15&lt;0),AR$1-1-AQ15/AR2,0)</f>
        <v>0</v>
      </c>
      <c r="AS16" s="3">
        <f>IF(AND(AS$1&gt;Inputs!$B$6,AS15&gt;=0,AR15&lt;0),AS$1-1-AR15/AS2,0)</f>
        <v>0</v>
      </c>
      <c r="AT16" s="3">
        <f>IF(AND(AT$1&gt;Inputs!$B$6,AT15&gt;=0,AS15&lt;0),AT$1-1-AS15/AT2,0)</f>
        <v>0</v>
      </c>
      <c r="AU16" s="3">
        <f>IF(AND(AU$1&gt;Inputs!$B$6,AU15&gt;=0,AT15&lt;0),AU$1-1-AT15/AU2,0)</f>
        <v>0</v>
      </c>
      <c r="AV16" s="3">
        <f>IF(AND(AV$1&gt;Inputs!$B$6,AV15&gt;=0,AU15&lt;0),AV$1-1-AU15/AV2,0)</f>
        <v>0</v>
      </c>
      <c r="AW16" s="3">
        <f>IF(AND(AW$1&gt;Inputs!$B$6,AW15&gt;=0,AV15&lt;0),AW$1-1-AV15/AW2,0)</f>
        <v>0</v>
      </c>
      <c r="AX16" s="3">
        <f>IF(AND(AX$1&gt;Inputs!$B$6,AX15&gt;=0,AW15&lt;0),AX$1-1-AW15/AX2,0)</f>
        <v>0</v>
      </c>
      <c r="AY16" s="3">
        <f>IF(AND(AY$1&gt;Inputs!$B$6,AY15&gt;=0,AX15&lt;0),AY$1-1-AX15/AY2,0)</f>
        <v>0</v>
      </c>
      <c r="AZ16" s="3">
        <f>IF(AND(AZ$1&gt;Inputs!$B$6,AZ15&gt;=0,AY15&lt;0),AZ$1-1-AY15/AZ2,0)</f>
        <v>0</v>
      </c>
      <c r="BA16" s="3">
        <f>IF(AND(BA$1&gt;Inputs!$B$6,BA15&gt;=0,AZ15&lt;0),BA$1-1-AZ15/BA2,0)</f>
        <v>0</v>
      </c>
      <c r="BB16" s="3">
        <f>IF(AND(BB$1&gt;Inputs!$B$6,BB15&gt;=0,BA15&lt;0),BB$1-1-BA15/BB2,0)</f>
        <v>0</v>
      </c>
      <c r="BC16" s="3">
        <f>IF(AND(BC$1&gt;Inputs!$B$6,BC15&gt;=0,BB15&lt;0),BC$1-1-BB15/BC2,0)</f>
        <v>0</v>
      </c>
      <c r="BD16" s="3">
        <f>IF(AND(BD$1&gt;Inputs!$B$6,BD15&gt;=0,BC15&lt;0),BD$1-1-BC15/BD2,0)</f>
        <v>0</v>
      </c>
      <c r="BE16" s="3">
        <f>IF(AND(BE$1&gt;Inputs!$B$6,BE15&gt;=0,BD15&lt;0),BE$1-1-BD15/BE2,0)</f>
        <v>0</v>
      </c>
      <c r="BF16" s="3">
        <f>IF(AND(BF$1&gt;Inputs!$B$6,BF15&gt;=0,BE15&lt;0),BF$1-1-BE15/BF2,0)</f>
        <v>0</v>
      </c>
      <c r="BG16" s="3">
        <f>IF(AND(BG$1&gt;Inputs!$B$6,BG15&gt;=0,BF15&lt;0),BG$1-1-BF15/BG2,0)</f>
        <v>0</v>
      </c>
      <c r="BH16" s="3">
        <f>IF(AND(BH$1&gt;Inputs!$B$6,BH15&gt;=0,BG15&lt;0),BH$1-1-BG15/BH2,0)</f>
        <v>0</v>
      </c>
      <c r="BI16" s="3">
        <f>IF(AND(BI$1&gt;Inputs!$B$6,BI15&gt;=0,BH15&lt;0),BI$1-1-BH15/BI2,0)</f>
        <v>0</v>
      </c>
      <c r="BJ16" s="3">
        <f>IF(AND(BJ$1&gt;Inputs!$B$6,BJ15&gt;=0,BI15&lt;0),BJ$1-1-BI15/BJ2,0)</f>
        <v>0</v>
      </c>
      <c r="BK16" s="3">
        <f>IF(AND(BK$1&gt;Inputs!$B$6,BK15&gt;=0,BJ15&lt;0),BK$1-1-BJ15/BK2,0)</f>
        <v>0</v>
      </c>
      <c r="BL16" s="3">
        <f>IF(AND(BL$1&gt;Inputs!$B$6,BL15&gt;=0,BK15&lt;0),BL$1-1-BK15/BL2,0)</f>
        <v>0</v>
      </c>
      <c r="BM16" s="3">
        <f>IF(AND(BM$1&gt;Inputs!$B$6,BM15&gt;=0,BL15&lt;0),BM$1-1-BL15/BM2,0)</f>
        <v>0</v>
      </c>
      <c r="BN16" s="3">
        <f>IF(AND(BN$1&gt;Inputs!$B$6,BN15&gt;=0,BM15&lt;0),BN$1-1-BM15/BN2,0)</f>
        <v>0</v>
      </c>
      <c r="BO16" s="3">
        <f>IF(AND(BO$1&gt;Inputs!$B$6,BO15&gt;=0,BN15&lt;0),BO$1-1-BN15/BO2,0)</f>
        <v>0</v>
      </c>
      <c r="BP16" s="3">
        <f>IF(AND(BP$1&gt;Inputs!$B$6,BP15&gt;=0,BO15&lt;0),BP$1-1-BO15/BP2,0)</f>
        <v>0</v>
      </c>
      <c r="BQ16" s="3">
        <f>IF(AND(BQ$1&gt;Inputs!$B$6,BQ15&gt;=0,BP15&lt;0),BQ$1-1-BP15/BQ2,0)</f>
        <v>0</v>
      </c>
      <c r="BR16" s="3">
        <f>IF(AND(BR$1&gt;Inputs!$B$6,BR15&gt;=0,BQ15&lt;0),BR$1-1-BQ15/BR2,0)</f>
        <v>0</v>
      </c>
      <c r="BS16" s="3">
        <f>IF(AND(BS$1&gt;Inputs!$B$6,BS15&gt;=0,BR15&lt;0),BS$1-1-BR15/BS2,0)</f>
        <v>0</v>
      </c>
      <c r="BT16" s="3">
        <f>IF(AND(BT$1&gt;Inputs!$B$6,BT15&gt;=0,BS15&lt;0),BT$1-1-BS15/BT2,0)</f>
        <v>0</v>
      </c>
    </row>
    <row r="17" hidden="1">
      <c r="A17" s="4" t="inlineStr">
        <is>
          <t>Cumulative PV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9">
        <f>L2/(1+$F$2)^L$1</f>
        <v>-7500000.0</v>
      </c>
      <c r="M17" s="9">
        <f>M2/(1+$F$2)^M$1+L17</f>
        <v>-14690795.781399809</v>
      </c>
      <c r="N17" s="9">
        <f>N2/(1+$F$2)^N$1+M17</f>
        <v>-14690795.781399809</v>
      </c>
      <c r="O17" s="9">
        <f>O2/(1+$F$2)^O$1+N17</f>
        <v>-8813090.68738335</v>
      </c>
      <c r="P17" s="9">
        <f>P2/(1+$F$2)^P$1+O17</f>
        <v>-2895937.908172149</v>
      </c>
      <c r="Q17" s="9">
        <f>Q2/(1+$F$2)^Q$1+P17</f>
        <v>3060927.3057988584</v>
      </c>
      <c r="R17" s="9">
        <f>R2/(1+$F$2)^R$1+Q17</f>
        <v>9057771.480937459</v>
      </c>
      <c r="S17" s="9">
        <f>S2/(1+$F$2)^S$1+R17</f>
        <v>15094862.93241927</v>
      </c>
      <c r="T17" s="9">
        <f>T2/(1+$F$2)^T$1+S17</f>
        <v>21172471.776192907</v>
      </c>
      <c r="U17" s="9">
        <f>U2/(1+$F$2)^U$1+T17</f>
        <v>27290869.9410657</v>
      </c>
      <c r="V17" s="9">
        <f>V2/(1+$F$2)^V$1+U17</f>
        <v>33450331.18087052</v>
      </c>
      <c r="W17" s="9">
        <f>W2/(1+$F$2)^W$1+V17</f>
        <v>39651131.086714305</v>
      </c>
      <c r="X17" s="9">
        <f>X2/(1+$F$2)^X$1+W17</f>
        <v>45893547.099308714</v>
      </c>
      <c r="Y17" s="9">
        <f>Y2/(1+$F$2)^Y$1+X17</f>
        <v>52177858.52138363</v>
      </c>
      <c r="Z17" s="9">
        <f>Z2/(1+$F$2)^Z$1+Y17</f>
        <v>58504346.530183874</v>
      </c>
      <c r="AA17" s="9">
        <f>AA2/(1+$F$2)^AA$1+Z17</f>
        <v>64873294.190049894</v>
      </c>
      <c r="AB17" s="9">
        <f>AB2/(1+$F$2)^AB$1+AA17</f>
        <v>71284986.46508281</v>
      </c>
      <c r="AC17" s="9">
        <f>AC2/(1+$F$2)^AC$1+AB17</f>
        <v>77739710.23189446</v>
      </c>
      <c r="AD17" s="9">
        <f>AD2/(1+$F$2)^AD$1+AC17</f>
        <v>84237754.29244311</v>
      </c>
      <c r="AE17" s="9">
        <f>AE2/(1+$F$2)^AE$1+AD17</f>
        <v>90779409.38695517</v>
      </c>
      <c r="AF17" s="9">
        <f>AF2/(1+$F$2)^AF$1+AE17</f>
        <v>97364968.20693375</v>
      </c>
      <c r="AG17" s="9">
        <f>AG2/(1+$F$2)^AG$1+AF17</f>
        <v>103994725.40825447</v>
      </c>
      <c r="AH17" s="9">
        <f>AH2/(1+$F$2)^AH$1+AG17</f>
        <v>110668977.62434916</v>
      </c>
      <c r="AI17" s="9">
        <f>AI2/(1+$F$2)^AI$1+AH17</f>
        <v>117388023.47947805</v>
      </c>
      <c r="AJ17" s="9">
        <f>AJ2/(1+$F$2)^AJ$1+AI17</f>
        <v>124152163.60209101</v>
      </c>
      <c r="AK17" s="9">
        <f>AK2/(1+$F$2)^AK$1+AJ17</f>
        <v>130961700.63827857</v>
      </c>
      <c r="AL17" s="9">
        <f>AL2/(1+$F$2)^AL$1+AK17</f>
        <v>137816939.26531303</v>
      </c>
      <c r="AM17" s="9">
        <f>AM2/(1+$F$2)^AM$1+AL17</f>
        <v>144718186.2052806</v>
      </c>
      <c r="AN17" s="9">
        <f>AN2/(1+$F$2)^AN$1+AM17</f>
        <v>151665750.238805</v>
      </c>
      <c r="AO17" s="9">
        <f>AO2/(1+$F$2)^AO$1+AN17</f>
        <v>158659942.21886313</v>
      </c>
      <c r="AP17" s="9">
        <f>AP2/(1+$F$2)^AP$1+AO17</f>
        <v>165701075.08469346</v>
      </c>
      <c r="AQ17" s="9">
        <f>AQ2/(1+$F$2)^AQ$1+AP17</f>
        <v>172789463.8757978</v>
      </c>
      <c r="AR17" s="9">
        <f>AR2/(1+$F$2)^AR$1+AQ17</f>
        <v>179925425.7460371</v>
      </c>
      <c r="AS17" s="9">
        <f>AS2/(1+$F$2)^AS$1+AR17</f>
        <v>179925425.7460371</v>
      </c>
      <c r="AT17" s="9">
        <f>AT2/(1+$F$2)^AT$1+AS17</f>
        <v>179925425.7460371</v>
      </c>
      <c r="AU17" s="9">
        <f>AU2/(1+$F$2)^AU$1+AT17</f>
        <v>179925425.7460371</v>
      </c>
      <c r="AV17" s="9">
        <f>AV2/(1+$F$2)^AV$1+AU17</f>
        <v>179925425.7460371</v>
      </c>
      <c r="AW17" s="9">
        <f>AW2/(1+$F$2)^AW$1+AV17</f>
        <v>179925425.7460371</v>
      </c>
      <c r="AX17" s="9">
        <f>AX2/(1+$F$2)^AX$1+AW17</f>
        <v>179925425.7460371</v>
      </c>
      <c r="AY17" s="9">
        <f>AY2/(1+$F$2)^AY$1+AX17</f>
        <v>179925425.7460371</v>
      </c>
      <c r="AZ17" s="9">
        <f>AZ2/(1+$F$2)^AZ$1+AY17</f>
        <v>179925425.7460371</v>
      </c>
      <c r="BA17" s="9">
        <f>BA2/(1+$F$2)^BA$1+AZ17</f>
        <v>179925425.7460371</v>
      </c>
      <c r="BB17" s="9">
        <f>BB2/(1+$F$2)^BB$1+BA17</f>
        <v>179925425.7460371</v>
      </c>
      <c r="BC17" s="9">
        <f>BC2/(1+$F$2)^BC$1+BB17</f>
        <v>179925425.7460371</v>
      </c>
      <c r="BD17" s="9">
        <f>BD2/(1+$F$2)^BD$1+BC17</f>
        <v>179925425.7460371</v>
      </c>
      <c r="BE17" s="9">
        <f>BE2/(1+$F$2)^BE$1+BD17</f>
        <v>179925425.7460371</v>
      </c>
      <c r="BF17" s="9">
        <f>BF2/(1+$F$2)^BF$1+BE17</f>
        <v>179925425.7460371</v>
      </c>
      <c r="BG17" s="9">
        <f>BG2/(1+$F$2)^BG$1+BF17</f>
        <v>179925425.7460371</v>
      </c>
      <c r="BH17" s="9">
        <f>BH2/(1+$F$2)^BH$1+BG17</f>
        <v>179925425.7460371</v>
      </c>
      <c r="BI17" s="9">
        <f>BI2/(1+$F$2)^BI$1+BH17</f>
        <v>179925425.7460371</v>
      </c>
      <c r="BJ17" s="9">
        <f>BJ2/(1+$F$2)^BJ$1+BI17</f>
        <v>179925425.7460371</v>
      </c>
      <c r="BK17" s="9">
        <f>BK2/(1+$F$2)^BK$1+BJ17</f>
        <v>179925425.7460371</v>
      </c>
      <c r="BL17" s="9">
        <f>BL2/(1+$F$2)^BL$1+BK17</f>
        <v>179925425.7460371</v>
      </c>
      <c r="BM17" s="9">
        <f>BM2/(1+$F$2)^BM$1+BL17</f>
        <v>179925425.7460371</v>
      </c>
      <c r="BN17" s="9">
        <f>BN2/(1+$F$2)^BN$1+BM17</f>
        <v>179925425.7460371</v>
      </c>
      <c r="BO17" s="9">
        <f>BO2/(1+$F$2)^BO$1+BN17</f>
        <v>179925425.7460371</v>
      </c>
      <c r="BP17" s="9">
        <f>BP2/(1+$F$2)^BP$1+BO17</f>
        <v>179925425.7460371</v>
      </c>
      <c r="BQ17" s="9">
        <f>BQ2/(1+$F$2)^BQ$1+BP17</f>
        <v>179925425.7460371</v>
      </c>
      <c r="BR17" s="9">
        <f>BR2/(1+$F$2)^BR$1+BQ17</f>
        <v>179925425.7460371</v>
      </c>
      <c r="BS17" s="9">
        <f>BS2/(1+$F$2)^BS$1+BR17</f>
        <v>179925425.7460371</v>
      </c>
      <c r="BT17" s="9">
        <f>BT2/(1+$F$2)^BT$1+BS17</f>
        <v>179925425.7460371</v>
      </c>
    </row>
    <row r="18" hidden="1">
      <c r="A18" s="2" t="inlineStr">
        <is>
          <t>Discounted crossing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>
        <f>0</f>
        <v>0</v>
      </c>
      <c r="M18" s="3">
        <f>IF(AND(M$1&gt;Inputs!$B$6,M17&gt;=0,L17&lt;0),M$1-1-L17/(M2/(1+$F$2)^M$1),0)</f>
        <v>0</v>
      </c>
      <c r="N18" s="3">
        <f>IF(AND(N$1&gt;Inputs!$B$6,N17&gt;=0,M17&lt;0),N$1-1-M17/(N2/(1+$F$2)^N$1),0)</f>
        <v>0</v>
      </c>
      <c r="O18" s="3">
        <f>IF(AND(O$1&gt;Inputs!$B$6,O17&gt;=0,N17&lt;0),O$1-1-N17/(O2/(1+$F$2)^O$1),0)</f>
        <v>0</v>
      </c>
      <c r="P18" s="3">
        <f>IF(AND(P$1&gt;Inputs!$B$6,P17&gt;=0,O17&lt;0),P$1-1-O17/(P2/(1+$F$2)^P$1),0)</f>
        <v>0</v>
      </c>
      <c r="Q18" s="3">
        <f>IF(AND(Q$1&gt;Inputs!$B$6,Q17&gt;=0,P17&lt;0),Q$1-1-P17/(Q2/(1+$F$2)^Q$1),0)</f>
        <v>4.486151323582096</v>
      </c>
      <c r="R18" s="3">
        <f>IF(AND(R$1&gt;Inputs!$B$6,R17&gt;=0,Q17&lt;0),R$1-1-Q17/(R2/(1+$F$2)^R$1),0)</f>
        <v>0</v>
      </c>
      <c r="S18" s="3">
        <f>IF(AND(S$1&gt;Inputs!$B$6,S17&gt;=0,R17&lt;0),S$1-1-R17/(S2/(1+$F$2)^S$1),0)</f>
        <v>0</v>
      </c>
      <c r="T18" s="3">
        <f>IF(AND(T$1&gt;Inputs!$B$6,T17&gt;=0,S17&lt;0),T$1-1-S17/(T2/(1+$F$2)^T$1),0)</f>
        <v>0</v>
      </c>
      <c r="U18" s="3">
        <f>IF(AND(U$1&gt;Inputs!$B$6,U17&gt;=0,T17&lt;0),U$1-1-T17/(U2/(1+$F$2)^U$1),0)</f>
        <v>0</v>
      </c>
      <c r="V18" s="3">
        <f>IF(AND(V$1&gt;Inputs!$B$6,V17&gt;=0,U17&lt;0),V$1-1-U17/(V2/(1+$F$2)^V$1),0)</f>
        <v>0</v>
      </c>
      <c r="W18" s="3">
        <f>IF(AND(W$1&gt;Inputs!$B$6,W17&gt;=0,V17&lt;0),W$1-1-V17/(W2/(1+$F$2)^W$1),0)</f>
        <v>0</v>
      </c>
      <c r="X18" s="3">
        <f>IF(AND(X$1&gt;Inputs!$B$6,X17&gt;=0,W17&lt;0),X$1-1-W17/(X2/(1+$F$2)^X$1),0)</f>
        <v>0</v>
      </c>
      <c r="Y18" s="3">
        <f>IF(AND(Y$1&gt;Inputs!$B$6,Y17&gt;=0,X17&lt;0),Y$1-1-X17/(Y2/(1+$F$2)^Y$1),0)</f>
        <v>0</v>
      </c>
      <c r="Z18" s="3">
        <f>IF(AND(Z$1&gt;Inputs!$B$6,Z17&gt;=0,Y17&lt;0),Z$1-1-Y17/(Z2/(1+$F$2)^Z$1),0)</f>
        <v>0</v>
      </c>
      <c r="AA18" s="3">
        <f>IF(AND(AA$1&gt;Inputs!$B$6,AA17&gt;=0,Z17&lt;0),AA$1-1-Z17/(AA2/(1+$F$2)^AA$1),0)</f>
        <v>0</v>
      </c>
      <c r="AB18" s="3">
        <f>IF(AND(AB$1&gt;Inputs!$B$6,AB17&gt;=0,AA17&lt;0),AB$1-1-AA17/(AB2/(1+$F$2)^AB$1),0)</f>
        <v>0</v>
      </c>
      <c r="AC18" s="3">
        <f>IF(AND(AC$1&gt;Inputs!$B$6,AC17&gt;=0,AB17&lt;0),AC$1-1-AB17/(AC2/(1+$F$2)^AC$1),0)</f>
        <v>0</v>
      </c>
      <c r="AD18" s="3">
        <f>IF(AND(AD$1&gt;Inputs!$B$6,AD17&gt;=0,AC17&lt;0),AD$1-1-AC17/(AD2/(1+$F$2)^AD$1),0)</f>
        <v>0</v>
      </c>
      <c r="AE18" s="3">
        <f>IF(AND(AE$1&gt;Inputs!$B$6,AE17&gt;=0,AD17&lt;0),AE$1-1-AD17/(AE2/(1+$F$2)^AE$1),0)</f>
        <v>0</v>
      </c>
      <c r="AF18" s="3">
        <f>IF(AND(AF$1&gt;Inputs!$B$6,AF17&gt;=0,AE17&lt;0),AF$1-1-AE17/(AF2/(1+$F$2)^AF$1),0)</f>
        <v>0</v>
      </c>
      <c r="AG18" s="3">
        <f>IF(AND(AG$1&gt;Inputs!$B$6,AG17&gt;=0,AF17&lt;0),AG$1-1-AF17/(AG2/(1+$F$2)^AG$1),0)</f>
        <v>0</v>
      </c>
      <c r="AH18" s="3">
        <f>IF(AND(AH$1&gt;Inputs!$B$6,AH17&gt;=0,AG17&lt;0),AH$1-1-AG17/(AH2/(1+$F$2)^AH$1),0)</f>
        <v>0</v>
      </c>
      <c r="AI18" s="3">
        <f>IF(AND(AI$1&gt;Inputs!$B$6,AI17&gt;=0,AH17&lt;0),AI$1-1-AH17/(AI2/(1+$F$2)^AI$1),0)</f>
        <v>0</v>
      </c>
      <c r="AJ18" s="3">
        <f>IF(AND(AJ$1&gt;Inputs!$B$6,AJ17&gt;=0,AI17&lt;0),AJ$1-1-AI17/(AJ2/(1+$F$2)^AJ$1),0)</f>
        <v>0</v>
      </c>
      <c r="AK18" s="3">
        <f>IF(AND(AK$1&gt;Inputs!$B$6,AK17&gt;=0,AJ17&lt;0),AK$1-1-AJ17/(AK2/(1+$F$2)^AK$1),0)</f>
        <v>0</v>
      </c>
      <c r="AL18" s="3">
        <f>IF(AND(AL$1&gt;Inputs!$B$6,AL17&gt;=0,AK17&lt;0),AL$1-1-AK17/(AL2/(1+$F$2)^AL$1),0)</f>
        <v>0</v>
      </c>
      <c r="AM18" s="3">
        <f>IF(AND(AM$1&gt;Inputs!$B$6,AM17&gt;=0,AL17&lt;0),AM$1-1-AL17/(AM2/(1+$F$2)^AM$1),0)</f>
        <v>0</v>
      </c>
      <c r="AN18" s="3">
        <f>IF(AND(AN$1&gt;Inputs!$B$6,AN17&gt;=0,AM17&lt;0),AN$1-1-AM17/(AN2/(1+$F$2)^AN$1),0)</f>
        <v>0</v>
      </c>
      <c r="AO18" s="3">
        <f>IF(AND(AO$1&gt;Inputs!$B$6,AO17&gt;=0,AN17&lt;0),AO$1-1-AN17/(AO2/(1+$F$2)^AO$1),0)</f>
        <v>0</v>
      </c>
      <c r="AP18" s="3">
        <f>IF(AND(AP$1&gt;Inputs!$B$6,AP17&gt;=0,AO17&lt;0),AP$1-1-AO17/(AP2/(1+$F$2)^AP$1),0)</f>
        <v>0</v>
      </c>
      <c r="AQ18" s="3">
        <f>IF(AND(AQ$1&gt;Inputs!$B$6,AQ17&gt;=0,AP17&lt;0),AQ$1-1-AP17/(AQ2/(1+$F$2)^AQ$1),0)</f>
        <v>0</v>
      </c>
      <c r="AR18" s="3">
        <f>IF(AND(AR$1&gt;Inputs!$B$6,AR17&gt;=0,AQ17&lt;0),AR$1-1-AQ17/(AR2/(1+$F$2)^AR$1),0)</f>
        <v>0</v>
      </c>
      <c r="AS18" s="3">
        <f>IF(AND(AS$1&gt;Inputs!$B$6,AS17&gt;=0,AR17&lt;0),AS$1-1-AR17/(AS2/(1+$F$2)^AS$1),0)</f>
        <v>0</v>
      </c>
      <c r="AT18" s="3">
        <f>IF(AND(AT$1&gt;Inputs!$B$6,AT17&gt;=0,AS17&lt;0),AT$1-1-AS17/(AT2/(1+$F$2)^AT$1),0)</f>
        <v>0</v>
      </c>
      <c r="AU18" s="3">
        <f>IF(AND(AU$1&gt;Inputs!$B$6,AU17&gt;=0,AT17&lt;0),AU$1-1-AT17/(AU2/(1+$F$2)^AU$1),0)</f>
        <v>0</v>
      </c>
      <c r="AV18" s="3">
        <f>IF(AND(AV$1&gt;Inputs!$B$6,AV17&gt;=0,AU17&lt;0),AV$1-1-AU17/(AV2/(1+$F$2)^AV$1),0)</f>
        <v>0</v>
      </c>
      <c r="AW18" s="3">
        <f>IF(AND(AW$1&gt;Inputs!$B$6,AW17&gt;=0,AV17&lt;0),AW$1-1-AV17/(AW2/(1+$F$2)^AW$1),0)</f>
        <v>0</v>
      </c>
      <c r="AX18" s="3">
        <f>IF(AND(AX$1&gt;Inputs!$B$6,AX17&gt;=0,AW17&lt;0),AX$1-1-AW17/(AX2/(1+$F$2)^AX$1),0)</f>
        <v>0</v>
      </c>
      <c r="AY18" s="3">
        <f>IF(AND(AY$1&gt;Inputs!$B$6,AY17&gt;=0,AX17&lt;0),AY$1-1-AX17/(AY2/(1+$F$2)^AY$1),0)</f>
        <v>0</v>
      </c>
      <c r="AZ18" s="3">
        <f>IF(AND(AZ$1&gt;Inputs!$B$6,AZ17&gt;=0,AY17&lt;0),AZ$1-1-AY17/(AZ2/(1+$F$2)^AZ$1),0)</f>
        <v>0</v>
      </c>
      <c r="BA18" s="3">
        <f>IF(AND(BA$1&gt;Inputs!$B$6,BA17&gt;=0,AZ17&lt;0),BA$1-1-AZ17/(BA2/(1+$F$2)^BA$1),0)</f>
        <v>0</v>
      </c>
      <c r="BB18" s="3">
        <f>IF(AND(BB$1&gt;Inputs!$B$6,BB17&gt;=0,BA17&lt;0),BB$1-1-BA17/(BB2/(1+$F$2)^BB$1),0)</f>
        <v>0</v>
      </c>
      <c r="BC18" s="3">
        <f>IF(AND(BC$1&gt;Inputs!$B$6,BC17&gt;=0,BB17&lt;0),BC$1-1-BB17/(BC2/(1+$F$2)^BC$1),0)</f>
        <v>0</v>
      </c>
      <c r="BD18" s="3">
        <f>IF(AND(BD$1&gt;Inputs!$B$6,BD17&gt;=0,BC17&lt;0),BD$1-1-BC17/(BD2/(1+$F$2)^BD$1),0)</f>
        <v>0</v>
      </c>
      <c r="BE18" s="3">
        <f>IF(AND(BE$1&gt;Inputs!$B$6,BE17&gt;=0,BD17&lt;0),BE$1-1-BD17/(BE2/(1+$F$2)^BE$1),0)</f>
        <v>0</v>
      </c>
      <c r="BF18" s="3">
        <f>IF(AND(BF$1&gt;Inputs!$B$6,BF17&gt;=0,BE17&lt;0),BF$1-1-BE17/(BF2/(1+$F$2)^BF$1),0)</f>
        <v>0</v>
      </c>
      <c r="BG18" s="3">
        <f>IF(AND(BG$1&gt;Inputs!$B$6,BG17&gt;=0,BF17&lt;0),BG$1-1-BF17/(BG2/(1+$F$2)^BG$1),0)</f>
        <v>0</v>
      </c>
      <c r="BH18" s="3">
        <f>IF(AND(BH$1&gt;Inputs!$B$6,BH17&gt;=0,BG17&lt;0),BH$1-1-BG17/(BH2/(1+$F$2)^BH$1),0)</f>
        <v>0</v>
      </c>
      <c r="BI18" s="3">
        <f>IF(AND(BI$1&gt;Inputs!$B$6,BI17&gt;=0,BH17&lt;0),BI$1-1-BH17/(BI2/(1+$F$2)^BI$1),0)</f>
        <v>0</v>
      </c>
      <c r="BJ18" s="3">
        <f>IF(AND(BJ$1&gt;Inputs!$B$6,BJ17&gt;=0,BI17&lt;0),BJ$1-1-BI17/(BJ2/(1+$F$2)^BJ$1),0)</f>
        <v>0</v>
      </c>
      <c r="BK18" s="3">
        <f>IF(AND(BK$1&gt;Inputs!$B$6,BK17&gt;=0,BJ17&lt;0),BK$1-1-BJ17/(BK2/(1+$F$2)^BK$1),0)</f>
        <v>0</v>
      </c>
      <c r="BL18" s="3">
        <f>IF(AND(BL$1&gt;Inputs!$B$6,BL17&gt;=0,BK17&lt;0),BL$1-1-BK17/(BL2/(1+$F$2)^BL$1),0)</f>
        <v>0</v>
      </c>
      <c r="BM18" s="3">
        <f>IF(AND(BM$1&gt;Inputs!$B$6,BM17&gt;=0,BL17&lt;0),BM$1-1-BL17/(BM2/(1+$F$2)^BM$1),0)</f>
        <v>0</v>
      </c>
      <c r="BN18" s="3">
        <f>IF(AND(BN$1&gt;Inputs!$B$6,BN17&gt;=0,BM17&lt;0),BN$1-1-BM17/(BN2/(1+$F$2)^BN$1),0)</f>
        <v>0</v>
      </c>
      <c r="BO18" s="3">
        <f>IF(AND(BO$1&gt;Inputs!$B$6,BO17&gt;=0,BN17&lt;0),BO$1-1-BN17/(BO2/(1+$F$2)^BO$1),0)</f>
        <v>0</v>
      </c>
      <c r="BP18" s="3">
        <f>IF(AND(BP$1&gt;Inputs!$B$6,BP17&gt;=0,BO17&lt;0),BP$1-1-BO17/(BP2/(1+$F$2)^BP$1),0)</f>
        <v>0</v>
      </c>
      <c r="BQ18" s="3">
        <f>IF(AND(BQ$1&gt;Inputs!$B$6,BQ17&gt;=0,BP17&lt;0),BQ$1-1-BP17/(BQ2/(1+$F$2)^BQ$1),0)</f>
        <v>0</v>
      </c>
      <c r="BR18" s="3">
        <f>IF(AND(BR$1&gt;Inputs!$B$6,BR17&gt;=0,BQ17&lt;0),BR$1-1-BQ17/(BR2/(1+$F$2)^BR$1),0)</f>
        <v>0</v>
      </c>
      <c r="BS18" s="3">
        <f>IF(AND(BS$1&gt;Inputs!$B$6,BS17&gt;=0,BR17&lt;0),BS$1-1-BR17/(BS2/(1+$F$2)^BS$1),0)</f>
        <v>0</v>
      </c>
      <c r="BT18" s="3">
        <f>IF(AND(BT$1&gt;Inputs!$B$6,BT17&gt;=0,BS17&lt;0),BT$1-1-BS17/(BT2/(1+$F$2)^BT$1),0)</f>
        <v>0</v>
      </c>
    </row>
    <row r="19" hidden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</row>
    <row r="20" hidden="1">
      <c r="A20" s="2" t="inlineStr">
        <is>
          <t>Lower occupancy / no rent growth | cumulative CF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3">
        <f>SUM($L3:L3)</f>
        <v>-7500000.0</v>
      </c>
      <c r="M20" s="3">
        <f>SUM($L3:M3)</f>
        <v>-15000000.0</v>
      </c>
      <c r="N20" s="3">
        <f>SUM($L3:N3)</f>
        <v>-15000000.0</v>
      </c>
      <c r="O20" s="3">
        <f>SUM($L3:O3)</f>
        <v>-10248000.0</v>
      </c>
      <c r="P20" s="3">
        <f>SUM($L3:P3)</f>
        <v>-5496000.0</v>
      </c>
      <c r="Q20" s="3">
        <f>SUM($L3:Q3)</f>
        <v>-744000.0</v>
      </c>
      <c r="R20" s="3">
        <f>SUM($L3:R3)</f>
        <v>4008000.0</v>
      </c>
      <c r="S20" s="3">
        <f>SUM($L3:S3)</f>
        <v>8760000.0</v>
      </c>
      <c r="T20" s="3">
        <f>SUM($L3:T3)</f>
        <v>13512000.0</v>
      </c>
      <c r="U20" s="3">
        <f>SUM($L3:U3)</f>
        <v>18264000.0</v>
      </c>
      <c r="V20" s="3">
        <f>SUM($L3:V3)</f>
        <v>23016000.0</v>
      </c>
      <c r="W20" s="3">
        <f>SUM($L3:W3)</f>
        <v>27768000.0</v>
      </c>
      <c r="X20" s="3">
        <f>SUM($L3:X3)</f>
        <v>32520000.0</v>
      </c>
      <c r="Y20" s="3">
        <f>SUM($L3:Y3)</f>
        <v>37272000.0</v>
      </c>
      <c r="Z20" s="3">
        <f>SUM($L3:Z3)</f>
        <v>42024000.0</v>
      </c>
      <c r="AA20" s="3">
        <f>SUM($L3:AA3)</f>
        <v>46776000.0</v>
      </c>
      <c r="AB20" s="3">
        <f>SUM($L3:AB3)</f>
        <v>51528000.0</v>
      </c>
      <c r="AC20" s="3">
        <f>SUM($L3:AC3)</f>
        <v>56280000.0</v>
      </c>
      <c r="AD20" s="3">
        <f>SUM($L3:AD3)</f>
        <v>61032000.0</v>
      </c>
      <c r="AE20" s="3">
        <f>SUM($L3:AE3)</f>
        <v>65784000.0</v>
      </c>
      <c r="AF20" s="3">
        <f>SUM($L3:AF3)</f>
        <v>70536000.0</v>
      </c>
      <c r="AG20" s="3">
        <f>SUM($L3:AG3)</f>
        <v>75288000.0</v>
      </c>
      <c r="AH20" s="3">
        <f>SUM($L3:AH3)</f>
        <v>80040000.0</v>
      </c>
      <c r="AI20" s="3">
        <f>SUM($L3:AI3)</f>
        <v>84792000.0</v>
      </c>
      <c r="AJ20" s="3">
        <f>SUM($L3:AJ3)</f>
        <v>89544000.0</v>
      </c>
      <c r="AK20" s="3">
        <f>SUM($L3:AK3)</f>
        <v>94296000.0</v>
      </c>
      <c r="AL20" s="3">
        <f>SUM($L3:AL3)</f>
        <v>99048000.0</v>
      </c>
      <c r="AM20" s="3">
        <f>SUM($L3:AM3)</f>
        <v>103800000.0</v>
      </c>
      <c r="AN20" s="3">
        <f>SUM($L3:AN3)</f>
        <v>108552000.0</v>
      </c>
      <c r="AO20" s="3">
        <f>SUM($L3:AO3)</f>
        <v>113304000.0</v>
      </c>
      <c r="AP20" s="3">
        <f>SUM($L3:AP3)</f>
        <v>118056000.0</v>
      </c>
      <c r="AQ20" s="3">
        <f>SUM($L3:AQ3)</f>
        <v>122808000.0</v>
      </c>
      <c r="AR20" s="3">
        <f>SUM($L3:AR3)</f>
        <v>127560000.0</v>
      </c>
      <c r="AS20" s="3">
        <f>SUM($L3:AS3)</f>
        <v>127560000.0</v>
      </c>
      <c r="AT20" s="3">
        <f>SUM($L3:AT3)</f>
        <v>127560000.0</v>
      </c>
      <c r="AU20" s="3">
        <f>SUM($L3:AU3)</f>
        <v>127560000.0</v>
      </c>
      <c r="AV20" s="3">
        <f>SUM($L3:AV3)</f>
        <v>127560000.0</v>
      </c>
      <c r="AW20" s="3">
        <f>SUM($L3:AW3)</f>
        <v>127560000.0</v>
      </c>
      <c r="AX20" s="3">
        <f>SUM($L3:AX3)</f>
        <v>127560000.0</v>
      </c>
      <c r="AY20" s="3">
        <f>SUM($L3:AY3)</f>
        <v>127560000.0</v>
      </c>
      <c r="AZ20" s="3">
        <f>SUM($L3:AZ3)</f>
        <v>127560000.0</v>
      </c>
      <c r="BA20" s="3">
        <f>SUM($L3:BA3)</f>
        <v>127560000.0</v>
      </c>
      <c r="BB20" s="3">
        <f>SUM($L3:BB3)</f>
        <v>127560000.0</v>
      </c>
      <c r="BC20" s="3">
        <f>SUM($L3:BC3)</f>
        <v>127560000.0</v>
      </c>
      <c r="BD20" s="3">
        <f>SUM($L3:BD3)</f>
        <v>127560000.0</v>
      </c>
      <c r="BE20" s="3">
        <f>SUM($L3:BE3)</f>
        <v>127560000.0</v>
      </c>
      <c r="BF20" s="3">
        <f>SUM($L3:BF3)</f>
        <v>127560000.0</v>
      </c>
      <c r="BG20" s="3">
        <f>SUM($L3:BG3)</f>
        <v>127560000.0</v>
      </c>
      <c r="BH20" s="3">
        <f>SUM($L3:BH3)</f>
        <v>127560000.0</v>
      </c>
      <c r="BI20" s="3">
        <f>SUM($L3:BI3)</f>
        <v>127560000.0</v>
      </c>
      <c r="BJ20" s="3">
        <f>SUM($L3:BJ3)</f>
        <v>127560000.0</v>
      </c>
      <c r="BK20" s="3">
        <f>SUM($L3:BK3)</f>
        <v>127560000.0</v>
      </c>
      <c r="BL20" s="3">
        <f>SUM($L3:BL3)</f>
        <v>127560000.0</v>
      </c>
      <c r="BM20" s="3">
        <f>SUM($L3:BM3)</f>
        <v>127560000.0</v>
      </c>
      <c r="BN20" s="3">
        <f>SUM($L3:BN3)</f>
        <v>127560000.0</v>
      </c>
      <c r="BO20" s="3">
        <f>SUM($L3:BO3)</f>
        <v>127560000.0</v>
      </c>
      <c r="BP20" s="3">
        <f>SUM($L3:BP3)</f>
        <v>127560000.0</v>
      </c>
      <c r="BQ20" s="3">
        <f>SUM($L3:BQ3)</f>
        <v>127560000.0</v>
      </c>
      <c r="BR20" s="3">
        <f>SUM($L3:BR3)</f>
        <v>127560000.0</v>
      </c>
      <c r="BS20" s="3">
        <f>SUM($L3:BS3)</f>
        <v>127560000.0</v>
      </c>
      <c r="BT20" s="3">
        <f>SUM($L3:BT3)</f>
        <v>127560000.0</v>
      </c>
    </row>
    <row r="21" hidden="1">
      <c r="A21" s="4" t="inlineStr">
        <is>
          <t>Payback crossing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9">
        <f>0</f>
        <v>0</v>
      </c>
      <c r="M21" s="9">
        <f>IF(AND(M$1&gt;Inputs!$B$6,M20&gt;=0,L20&lt;0),M$1-1-L20/M3,0)</f>
        <v>0</v>
      </c>
      <c r="N21" s="9">
        <f>IF(AND(N$1&gt;Inputs!$B$6,N20&gt;=0,M20&lt;0),N$1-1-M20/N3,0)</f>
        <v>0</v>
      </c>
      <c r="O21" s="9">
        <f>IF(AND(O$1&gt;Inputs!$B$6,O20&gt;=0,N20&lt;0),O$1-1-N20/O3,0)</f>
        <v>0</v>
      </c>
      <c r="P21" s="9">
        <f>IF(AND(P$1&gt;Inputs!$B$6,P20&gt;=0,O20&lt;0),P$1-1-O20/P3,0)</f>
        <v>0</v>
      </c>
      <c r="Q21" s="9">
        <f>IF(AND(Q$1&gt;Inputs!$B$6,Q20&gt;=0,P20&lt;0),Q$1-1-P20/Q3,0)</f>
        <v>0</v>
      </c>
      <c r="R21" s="9">
        <f>IF(AND(R$1&gt;Inputs!$B$6,R20&gt;=0,Q20&lt;0),R$1-1-Q20/R3,0)</f>
        <v>5.156565656565657</v>
      </c>
      <c r="S21" s="9">
        <f>IF(AND(S$1&gt;Inputs!$B$6,S20&gt;=0,R20&lt;0),S$1-1-R20/S3,0)</f>
        <v>0</v>
      </c>
      <c r="T21" s="9">
        <f>IF(AND(T$1&gt;Inputs!$B$6,T20&gt;=0,S20&lt;0),T$1-1-S20/T3,0)</f>
        <v>0</v>
      </c>
      <c r="U21" s="9">
        <f>IF(AND(U$1&gt;Inputs!$B$6,U20&gt;=0,T20&lt;0),U$1-1-T20/U3,0)</f>
        <v>0</v>
      </c>
      <c r="V21" s="9">
        <f>IF(AND(V$1&gt;Inputs!$B$6,V20&gt;=0,U20&lt;0),V$1-1-U20/V3,0)</f>
        <v>0</v>
      </c>
      <c r="W21" s="9">
        <f>IF(AND(W$1&gt;Inputs!$B$6,W20&gt;=0,V20&lt;0),W$1-1-V20/W3,0)</f>
        <v>0</v>
      </c>
      <c r="X21" s="9">
        <f>IF(AND(X$1&gt;Inputs!$B$6,X20&gt;=0,W20&lt;0),X$1-1-W20/X3,0)</f>
        <v>0</v>
      </c>
      <c r="Y21" s="9">
        <f>IF(AND(Y$1&gt;Inputs!$B$6,Y20&gt;=0,X20&lt;0),Y$1-1-X20/Y3,0)</f>
        <v>0</v>
      </c>
      <c r="Z21" s="9">
        <f>IF(AND(Z$1&gt;Inputs!$B$6,Z20&gt;=0,Y20&lt;0),Z$1-1-Y20/Z3,0)</f>
        <v>0</v>
      </c>
      <c r="AA21" s="9">
        <f>IF(AND(AA$1&gt;Inputs!$B$6,AA20&gt;=0,Z20&lt;0),AA$1-1-Z20/AA3,0)</f>
        <v>0</v>
      </c>
      <c r="AB21" s="9">
        <f>IF(AND(AB$1&gt;Inputs!$B$6,AB20&gt;=0,AA20&lt;0),AB$1-1-AA20/AB3,0)</f>
        <v>0</v>
      </c>
      <c r="AC21" s="9">
        <f>IF(AND(AC$1&gt;Inputs!$B$6,AC20&gt;=0,AB20&lt;0),AC$1-1-AB20/AC3,0)</f>
        <v>0</v>
      </c>
      <c r="AD21" s="9">
        <f>IF(AND(AD$1&gt;Inputs!$B$6,AD20&gt;=0,AC20&lt;0),AD$1-1-AC20/AD3,0)</f>
        <v>0</v>
      </c>
      <c r="AE21" s="9">
        <f>IF(AND(AE$1&gt;Inputs!$B$6,AE20&gt;=0,AD20&lt;0),AE$1-1-AD20/AE3,0)</f>
        <v>0</v>
      </c>
      <c r="AF21" s="9">
        <f>IF(AND(AF$1&gt;Inputs!$B$6,AF20&gt;=0,AE20&lt;0),AF$1-1-AE20/AF3,0)</f>
        <v>0</v>
      </c>
      <c r="AG21" s="9">
        <f>IF(AND(AG$1&gt;Inputs!$B$6,AG20&gt;=0,AF20&lt;0),AG$1-1-AF20/AG3,0)</f>
        <v>0</v>
      </c>
      <c r="AH21" s="9">
        <f>IF(AND(AH$1&gt;Inputs!$B$6,AH20&gt;=0,AG20&lt;0),AH$1-1-AG20/AH3,0)</f>
        <v>0</v>
      </c>
      <c r="AI21" s="9">
        <f>IF(AND(AI$1&gt;Inputs!$B$6,AI20&gt;=0,AH20&lt;0),AI$1-1-AH20/AI3,0)</f>
        <v>0</v>
      </c>
      <c r="AJ21" s="9">
        <f>IF(AND(AJ$1&gt;Inputs!$B$6,AJ20&gt;=0,AI20&lt;0),AJ$1-1-AI20/AJ3,0)</f>
        <v>0</v>
      </c>
      <c r="AK21" s="9">
        <f>IF(AND(AK$1&gt;Inputs!$B$6,AK20&gt;=0,AJ20&lt;0),AK$1-1-AJ20/AK3,0)</f>
        <v>0</v>
      </c>
      <c r="AL21" s="9">
        <f>IF(AND(AL$1&gt;Inputs!$B$6,AL20&gt;=0,AK20&lt;0),AL$1-1-AK20/AL3,0)</f>
        <v>0</v>
      </c>
      <c r="AM21" s="9">
        <f>IF(AND(AM$1&gt;Inputs!$B$6,AM20&gt;=0,AL20&lt;0),AM$1-1-AL20/AM3,0)</f>
        <v>0</v>
      </c>
      <c r="AN21" s="9">
        <f>IF(AND(AN$1&gt;Inputs!$B$6,AN20&gt;=0,AM20&lt;0),AN$1-1-AM20/AN3,0)</f>
        <v>0</v>
      </c>
      <c r="AO21" s="9">
        <f>IF(AND(AO$1&gt;Inputs!$B$6,AO20&gt;=0,AN20&lt;0),AO$1-1-AN20/AO3,0)</f>
        <v>0</v>
      </c>
      <c r="AP21" s="9">
        <f>IF(AND(AP$1&gt;Inputs!$B$6,AP20&gt;=0,AO20&lt;0),AP$1-1-AO20/AP3,0)</f>
        <v>0</v>
      </c>
      <c r="AQ21" s="9">
        <f>IF(AND(AQ$1&gt;Inputs!$B$6,AQ20&gt;=0,AP20&lt;0),AQ$1-1-AP20/AQ3,0)</f>
        <v>0</v>
      </c>
      <c r="AR21" s="9">
        <f>IF(AND(AR$1&gt;Inputs!$B$6,AR20&gt;=0,AQ20&lt;0),AR$1-1-AQ20/AR3,0)</f>
        <v>0</v>
      </c>
      <c r="AS21" s="9">
        <f>IF(AND(AS$1&gt;Inputs!$B$6,AS20&gt;=0,AR20&lt;0),AS$1-1-AR20/AS3,0)</f>
        <v>0</v>
      </c>
      <c r="AT21" s="9">
        <f>IF(AND(AT$1&gt;Inputs!$B$6,AT20&gt;=0,AS20&lt;0),AT$1-1-AS20/AT3,0)</f>
        <v>0</v>
      </c>
      <c r="AU21" s="9">
        <f>IF(AND(AU$1&gt;Inputs!$B$6,AU20&gt;=0,AT20&lt;0),AU$1-1-AT20/AU3,0)</f>
        <v>0</v>
      </c>
      <c r="AV21" s="9">
        <f>IF(AND(AV$1&gt;Inputs!$B$6,AV20&gt;=0,AU20&lt;0),AV$1-1-AU20/AV3,0)</f>
        <v>0</v>
      </c>
      <c r="AW21" s="9">
        <f>IF(AND(AW$1&gt;Inputs!$B$6,AW20&gt;=0,AV20&lt;0),AW$1-1-AV20/AW3,0)</f>
        <v>0</v>
      </c>
      <c r="AX21" s="9">
        <f>IF(AND(AX$1&gt;Inputs!$B$6,AX20&gt;=0,AW20&lt;0),AX$1-1-AW20/AX3,0)</f>
        <v>0</v>
      </c>
      <c r="AY21" s="9">
        <f>IF(AND(AY$1&gt;Inputs!$B$6,AY20&gt;=0,AX20&lt;0),AY$1-1-AX20/AY3,0)</f>
        <v>0</v>
      </c>
      <c r="AZ21" s="9">
        <f>IF(AND(AZ$1&gt;Inputs!$B$6,AZ20&gt;=0,AY20&lt;0),AZ$1-1-AY20/AZ3,0)</f>
        <v>0</v>
      </c>
      <c r="BA21" s="9">
        <f>IF(AND(BA$1&gt;Inputs!$B$6,BA20&gt;=0,AZ20&lt;0),BA$1-1-AZ20/BA3,0)</f>
        <v>0</v>
      </c>
      <c r="BB21" s="9">
        <f>IF(AND(BB$1&gt;Inputs!$B$6,BB20&gt;=0,BA20&lt;0),BB$1-1-BA20/BB3,0)</f>
        <v>0</v>
      </c>
      <c r="BC21" s="9">
        <f>IF(AND(BC$1&gt;Inputs!$B$6,BC20&gt;=0,BB20&lt;0),BC$1-1-BB20/BC3,0)</f>
        <v>0</v>
      </c>
      <c r="BD21" s="9">
        <f>IF(AND(BD$1&gt;Inputs!$B$6,BD20&gt;=0,BC20&lt;0),BD$1-1-BC20/BD3,0)</f>
        <v>0</v>
      </c>
      <c r="BE21" s="9">
        <f>IF(AND(BE$1&gt;Inputs!$B$6,BE20&gt;=0,BD20&lt;0),BE$1-1-BD20/BE3,0)</f>
        <v>0</v>
      </c>
      <c r="BF21" s="9">
        <f>IF(AND(BF$1&gt;Inputs!$B$6,BF20&gt;=0,BE20&lt;0),BF$1-1-BE20/BF3,0)</f>
        <v>0</v>
      </c>
      <c r="BG21" s="9">
        <f>IF(AND(BG$1&gt;Inputs!$B$6,BG20&gt;=0,BF20&lt;0),BG$1-1-BF20/BG3,0)</f>
        <v>0</v>
      </c>
      <c r="BH21" s="9">
        <f>IF(AND(BH$1&gt;Inputs!$B$6,BH20&gt;=0,BG20&lt;0),BH$1-1-BG20/BH3,0)</f>
        <v>0</v>
      </c>
      <c r="BI21" s="9">
        <f>IF(AND(BI$1&gt;Inputs!$B$6,BI20&gt;=0,BH20&lt;0),BI$1-1-BH20/BI3,0)</f>
        <v>0</v>
      </c>
      <c r="BJ21" s="9">
        <f>IF(AND(BJ$1&gt;Inputs!$B$6,BJ20&gt;=0,BI20&lt;0),BJ$1-1-BI20/BJ3,0)</f>
        <v>0</v>
      </c>
      <c r="BK21" s="9">
        <f>IF(AND(BK$1&gt;Inputs!$B$6,BK20&gt;=0,BJ20&lt;0),BK$1-1-BJ20/BK3,0)</f>
        <v>0</v>
      </c>
      <c r="BL21" s="9">
        <f>IF(AND(BL$1&gt;Inputs!$B$6,BL20&gt;=0,BK20&lt;0),BL$1-1-BK20/BL3,0)</f>
        <v>0</v>
      </c>
      <c r="BM21" s="9">
        <f>IF(AND(BM$1&gt;Inputs!$B$6,BM20&gt;=0,BL20&lt;0),BM$1-1-BL20/BM3,0)</f>
        <v>0</v>
      </c>
      <c r="BN21" s="9">
        <f>IF(AND(BN$1&gt;Inputs!$B$6,BN20&gt;=0,BM20&lt;0),BN$1-1-BM20/BN3,0)</f>
        <v>0</v>
      </c>
      <c r="BO21" s="9">
        <f>IF(AND(BO$1&gt;Inputs!$B$6,BO20&gt;=0,BN20&lt;0),BO$1-1-BN20/BO3,0)</f>
        <v>0</v>
      </c>
      <c r="BP21" s="9">
        <f>IF(AND(BP$1&gt;Inputs!$B$6,BP20&gt;=0,BO20&lt;0),BP$1-1-BO20/BP3,0)</f>
        <v>0</v>
      </c>
      <c r="BQ21" s="9">
        <f>IF(AND(BQ$1&gt;Inputs!$B$6,BQ20&gt;=0,BP20&lt;0),BQ$1-1-BP20/BQ3,0)</f>
        <v>0</v>
      </c>
      <c r="BR21" s="9">
        <f>IF(AND(BR$1&gt;Inputs!$B$6,BR20&gt;=0,BQ20&lt;0),BR$1-1-BQ20/BR3,0)</f>
        <v>0</v>
      </c>
      <c r="BS21" s="9">
        <f>IF(AND(BS$1&gt;Inputs!$B$6,BS20&gt;=0,BR20&lt;0),BS$1-1-BR20/BS3,0)</f>
        <v>0</v>
      </c>
      <c r="BT21" s="9">
        <f>IF(AND(BT$1&gt;Inputs!$B$6,BT20&gt;=0,BS20&lt;0),BT$1-1-BS20/BT3,0)</f>
        <v>0</v>
      </c>
    </row>
    <row r="22" hidden="1">
      <c r="A22" s="2" t="inlineStr">
        <is>
          <t>Cumulative PV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>
        <f>L3/(1+$F$3)^L$1</f>
        <v>-7500000.0</v>
      </c>
      <c r="M22" s="3">
        <f>M3/(1+$F$3)^M$1+L22</f>
        <v>-14690795.781399809</v>
      </c>
      <c r="N22" s="3">
        <f>N3/(1+$F$3)^N$1+M22</f>
        <v>-14690795.781399809</v>
      </c>
      <c r="O22" s="3">
        <f>O3/(1+$F$3)^O$1+N22</f>
        <v>-10502633.447201846</v>
      </c>
      <c r="P22" s="3">
        <f>P3/(1+$F$3)^P$1+O22</f>
        <v>-6487137.441259408</v>
      </c>
      <c r="Q22" s="3">
        <f>Q3/(1+$F$3)^Q$1+P22</f>
        <v>-2637189.209291586</v>
      </c>
      <c r="R22" s="3">
        <f>R3/(1+$F$3)^R$1+Q22</f>
        <v>1054036.3247139961</v>
      </c>
      <c r="S22" s="3">
        <f>S3/(1+$F$3)^S$1+R22</f>
        <v>4593082.857797009</v>
      </c>
      <c r="T22" s="3">
        <f>T3/(1+$F$3)^T$1+S22</f>
        <v>7986224.308499802</v>
      </c>
      <c r="U22" s="3">
        <f>U3/(1+$F$3)^U$1+T22</f>
        <v>11239475.939087331</v>
      </c>
      <c r="V22" s="3">
        <f>V3/(1+$F$3)^V$1+U22</f>
        <v>14358605.019228779</v>
      </c>
      <c r="W22" s="3">
        <f>W3/(1+$F$3)^W$1+V22</f>
        <v>17349141.050045125</v>
      </c>
      <c r="X22" s="3">
        <f>X3/(1+$F$3)^X$1+W22</f>
        <v>20216385.566647567</v>
      </c>
      <c r="Y22" s="3">
        <f>Y3/(1+$F$3)^Y$1+X22</f>
        <v>22965421.536544442</v>
      </c>
      <c r="Z22" s="3">
        <f>Z3/(1+$F$3)^Z$1+Y22</f>
        <v>25601122.37057788</v>
      </c>
      <c r="AA22" s="3">
        <f>AA3/(1+$F$3)^AA$1+Z22</f>
        <v>28128160.562364493</v>
      </c>
      <c r="AB22" s="3">
        <f>AB3/(1+$F$3)^AB$1+AA22</f>
        <v>30551015.971555877</v>
      </c>
      <c r="AC22" s="3">
        <f>AC3/(1+$F$3)^AC$1+AB22</f>
        <v>32873983.765603226</v>
      </c>
      <c r="AD22" s="3">
        <f>AD3/(1+$F$3)^AD$1+AC22</f>
        <v>35101182.034104995</v>
      </c>
      <c r="AE22" s="3">
        <f>AE3/(1+$F$3)^AE$1+AD22</f>
        <v>37236559.089236125</v>
      </c>
      <c r="AF22" s="3">
        <f>AF3/(1+$F$3)^AF$1+AE22</f>
        <v>39283900.46520078</v>
      </c>
      <c r="AG22" s="3">
        <f>AG3/(1+$F$3)^AG$1+AF22</f>
        <v>41246835.629117034</v>
      </c>
      <c r="AH22" s="3">
        <f>AH3/(1+$F$3)^AH$1+AG22</f>
        <v>43128844.415230416</v>
      </c>
      <c r="AI22" s="3">
        <f>AI3/(1+$F$3)^AI$1+AH22</f>
        <v>44933263.19386261</v>
      </c>
      <c r="AJ22" s="3">
        <f>AJ3/(1+$F$3)^AJ$1+AI22</f>
        <v>46663290.786031544</v>
      </c>
      <c r="AK22" s="3">
        <f>AK3/(1+$F$3)^AK$1+AJ22</f>
        <v>48321994.13422803</v>
      </c>
      <c r="AL22" s="3">
        <f>AL3/(1+$F$3)^AL$1+AK22</f>
        <v>49912313.739402026</v>
      </c>
      <c r="AM22" s="3">
        <f>AM3/(1+$F$3)^AM$1+AL22</f>
        <v>51437068.873797044</v>
      </c>
      <c r="AN22" s="3">
        <f>AN3/(1+$F$3)^AN$1+AM22</f>
        <v>52898962.57887376</v>
      </c>
      <c r="AO22" s="3">
        <f>AO3/(1+$F$3)^AO$1+AN22</f>
        <v>54300586.457183175</v>
      </c>
      <c r="AP22" s="3">
        <f>AP3/(1+$F$3)^AP$1+AO22</f>
        <v>55644425.26668405</v>
      </c>
      <c r="AQ22" s="3">
        <f>AQ3/(1+$F$3)^AQ$1+AP22</f>
        <v>56932861.32564941</v>
      </c>
      <c r="AR22" s="3">
        <f>AR3/(1+$F$3)^AR$1+AQ22</f>
        <v>58168178.73597095</v>
      </c>
      <c r="AS22" s="3">
        <f>AS3/(1+$F$3)^AS$1+AR22</f>
        <v>58168178.73597095</v>
      </c>
      <c r="AT22" s="3">
        <f>AT3/(1+$F$3)^AT$1+AS22</f>
        <v>58168178.73597095</v>
      </c>
      <c r="AU22" s="3">
        <f>AU3/(1+$F$3)^AU$1+AT22</f>
        <v>58168178.73597095</v>
      </c>
      <c r="AV22" s="3">
        <f>AV3/(1+$F$3)^AV$1+AU22</f>
        <v>58168178.73597095</v>
      </c>
      <c r="AW22" s="3">
        <f>AW3/(1+$F$3)^AW$1+AV22</f>
        <v>58168178.73597095</v>
      </c>
      <c r="AX22" s="3">
        <f>AX3/(1+$F$3)^AX$1+AW22</f>
        <v>58168178.73597095</v>
      </c>
      <c r="AY22" s="3">
        <f>AY3/(1+$F$3)^AY$1+AX22</f>
        <v>58168178.73597095</v>
      </c>
      <c r="AZ22" s="3">
        <f>AZ3/(1+$F$3)^AZ$1+AY22</f>
        <v>58168178.73597095</v>
      </c>
      <c r="BA22" s="3">
        <f>BA3/(1+$F$3)^BA$1+AZ22</f>
        <v>58168178.73597095</v>
      </c>
      <c r="BB22" s="3">
        <f>BB3/(1+$F$3)^BB$1+BA22</f>
        <v>58168178.73597095</v>
      </c>
      <c r="BC22" s="3">
        <f>BC3/(1+$F$3)^BC$1+BB22</f>
        <v>58168178.73597095</v>
      </c>
      <c r="BD22" s="3">
        <f>BD3/(1+$F$3)^BD$1+BC22</f>
        <v>58168178.73597095</v>
      </c>
      <c r="BE22" s="3">
        <f>BE3/(1+$F$3)^BE$1+BD22</f>
        <v>58168178.73597095</v>
      </c>
      <c r="BF22" s="3">
        <f>BF3/(1+$F$3)^BF$1+BE22</f>
        <v>58168178.73597095</v>
      </c>
      <c r="BG22" s="3">
        <f>BG3/(1+$F$3)^BG$1+BF22</f>
        <v>58168178.73597095</v>
      </c>
      <c r="BH22" s="3">
        <f>BH3/(1+$F$3)^BH$1+BG22</f>
        <v>58168178.73597095</v>
      </c>
      <c r="BI22" s="3">
        <f>BI3/(1+$F$3)^BI$1+BH22</f>
        <v>58168178.73597095</v>
      </c>
      <c r="BJ22" s="3">
        <f>BJ3/(1+$F$3)^BJ$1+BI22</f>
        <v>58168178.73597095</v>
      </c>
      <c r="BK22" s="3">
        <f>BK3/(1+$F$3)^BK$1+BJ22</f>
        <v>58168178.73597095</v>
      </c>
      <c r="BL22" s="3">
        <f>BL3/(1+$F$3)^BL$1+BK22</f>
        <v>58168178.73597095</v>
      </c>
      <c r="BM22" s="3">
        <f>BM3/(1+$F$3)^BM$1+BL22</f>
        <v>58168178.73597095</v>
      </c>
      <c r="BN22" s="3">
        <f>BN3/(1+$F$3)^BN$1+BM22</f>
        <v>58168178.73597095</v>
      </c>
      <c r="BO22" s="3">
        <f>BO3/(1+$F$3)^BO$1+BN22</f>
        <v>58168178.73597095</v>
      </c>
      <c r="BP22" s="3">
        <f>BP3/(1+$F$3)^BP$1+BO22</f>
        <v>58168178.73597095</v>
      </c>
      <c r="BQ22" s="3">
        <f>BQ3/(1+$F$3)^BQ$1+BP22</f>
        <v>58168178.73597095</v>
      </c>
      <c r="BR22" s="3">
        <f>BR3/(1+$F$3)^BR$1+BQ22</f>
        <v>58168178.73597095</v>
      </c>
      <c r="BS22" s="3">
        <f>BS3/(1+$F$3)^BS$1+BR22</f>
        <v>58168178.73597095</v>
      </c>
      <c r="BT22" s="3">
        <f>BT3/(1+$F$3)^BT$1+BS22</f>
        <v>58168178.73597095</v>
      </c>
    </row>
    <row r="23" hidden="1">
      <c r="A23" s="4" t="inlineStr">
        <is>
          <t>Discounted crossing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9">
        <f>0</f>
        <v>0</v>
      </c>
      <c r="M23" s="9">
        <f>IF(AND(M$1&gt;Inputs!$B$6,M22&gt;=0,L22&lt;0),M$1-1-L22/(M3/(1+$F$3)^M$1),0)</f>
        <v>0</v>
      </c>
      <c r="N23" s="9">
        <f>IF(AND(N$1&gt;Inputs!$B$6,N22&gt;=0,M22&lt;0),N$1-1-M22/(N3/(1+$F$3)^N$1),0)</f>
        <v>0</v>
      </c>
      <c r="O23" s="9">
        <f>IF(AND(O$1&gt;Inputs!$B$6,O22&gt;=0,N22&lt;0),O$1-1-N22/(O3/(1+$F$3)^O$1),0)</f>
        <v>0</v>
      </c>
      <c r="P23" s="9">
        <f>IF(AND(P$1&gt;Inputs!$B$6,P22&gt;=0,O22&lt;0),P$1-1-O22/(P3/(1+$F$3)^P$1),0)</f>
        <v>0</v>
      </c>
      <c r="Q23" s="9">
        <f>IF(AND(Q$1&gt;Inputs!$B$6,Q22&gt;=0,P22&lt;0),Q$1-1-P22/(Q3/(1+$F$3)^Q$1),0)</f>
        <v>0</v>
      </c>
      <c r="R23" s="9">
        <f>IF(AND(R$1&gt;Inputs!$B$6,R22&gt;=0,Q22&lt;0),R$1-1-Q22/(R3/(1+$F$3)^R$1),0)</f>
        <v>5.714448137887095</v>
      </c>
      <c r="S23" s="9">
        <f>IF(AND(S$1&gt;Inputs!$B$6,S22&gt;=0,R22&lt;0),S$1-1-R22/(S3/(1+$F$3)^S$1),0)</f>
        <v>0</v>
      </c>
      <c r="T23" s="9">
        <f>IF(AND(T$1&gt;Inputs!$B$6,T22&gt;=0,S22&lt;0),T$1-1-S22/(T3/(1+$F$3)^T$1),0)</f>
        <v>0</v>
      </c>
      <c r="U23" s="9">
        <f>IF(AND(U$1&gt;Inputs!$B$6,U22&gt;=0,T22&lt;0),U$1-1-T22/(U3/(1+$F$3)^U$1),0)</f>
        <v>0</v>
      </c>
      <c r="V23" s="9">
        <f>IF(AND(V$1&gt;Inputs!$B$6,V22&gt;=0,U22&lt;0),V$1-1-U22/(V3/(1+$F$3)^V$1),0)</f>
        <v>0</v>
      </c>
      <c r="W23" s="9">
        <f>IF(AND(W$1&gt;Inputs!$B$6,W22&gt;=0,V22&lt;0),W$1-1-V22/(W3/(1+$F$3)^W$1),0)</f>
        <v>0</v>
      </c>
      <c r="X23" s="9">
        <f>IF(AND(X$1&gt;Inputs!$B$6,X22&gt;=0,W22&lt;0),X$1-1-W22/(X3/(1+$F$3)^X$1),0)</f>
        <v>0</v>
      </c>
      <c r="Y23" s="9">
        <f>IF(AND(Y$1&gt;Inputs!$B$6,Y22&gt;=0,X22&lt;0),Y$1-1-X22/(Y3/(1+$F$3)^Y$1),0)</f>
        <v>0</v>
      </c>
      <c r="Z23" s="9">
        <f>IF(AND(Z$1&gt;Inputs!$B$6,Z22&gt;=0,Y22&lt;0),Z$1-1-Y22/(Z3/(1+$F$3)^Z$1),0)</f>
        <v>0</v>
      </c>
      <c r="AA23" s="9">
        <f>IF(AND(AA$1&gt;Inputs!$B$6,AA22&gt;=0,Z22&lt;0),AA$1-1-Z22/(AA3/(1+$F$3)^AA$1),0)</f>
        <v>0</v>
      </c>
      <c r="AB23" s="9">
        <f>IF(AND(AB$1&gt;Inputs!$B$6,AB22&gt;=0,AA22&lt;0),AB$1-1-AA22/(AB3/(1+$F$3)^AB$1),0)</f>
        <v>0</v>
      </c>
      <c r="AC23" s="9">
        <f>IF(AND(AC$1&gt;Inputs!$B$6,AC22&gt;=0,AB22&lt;0),AC$1-1-AB22/(AC3/(1+$F$3)^AC$1),0)</f>
        <v>0</v>
      </c>
      <c r="AD23" s="9">
        <f>IF(AND(AD$1&gt;Inputs!$B$6,AD22&gt;=0,AC22&lt;0),AD$1-1-AC22/(AD3/(1+$F$3)^AD$1),0)</f>
        <v>0</v>
      </c>
      <c r="AE23" s="9">
        <f>IF(AND(AE$1&gt;Inputs!$B$6,AE22&gt;=0,AD22&lt;0),AE$1-1-AD22/(AE3/(1+$F$3)^AE$1),0)</f>
        <v>0</v>
      </c>
      <c r="AF23" s="9">
        <f>IF(AND(AF$1&gt;Inputs!$B$6,AF22&gt;=0,AE22&lt;0),AF$1-1-AE22/(AF3/(1+$F$3)^AF$1),0)</f>
        <v>0</v>
      </c>
      <c r="AG23" s="9">
        <f>IF(AND(AG$1&gt;Inputs!$B$6,AG22&gt;=0,AF22&lt;0),AG$1-1-AF22/(AG3/(1+$F$3)^AG$1),0)</f>
        <v>0</v>
      </c>
      <c r="AH23" s="9">
        <f>IF(AND(AH$1&gt;Inputs!$B$6,AH22&gt;=0,AG22&lt;0),AH$1-1-AG22/(AH3/(1+$F$3)^AH$1),0)</f>
        <v>0</v>
      </c>
      <c r="AI23" s="9">
        <f>IF(AND(AI$1&gt;Inputs!$B$6,AI22&gt;=0,AH22&lt;0),AI$1-1-AH22/(AI3/(1+$F$3)^AI$1),0)</f>
        <v>0</v>
      </c>
      <c r="AJ23" s="9">
        <f>IF(AND(AJ$1&gt;Inputs!$B$6,AJ22&gt;=0,AI22&lt;0),AJ$1-1-AI22/(AJ3/(1+$F$3)^AJ$1),0)</f>
        <v>0</v>
      </c>
      <c r="AK23" s="9">
        <f>IF(AND(AK$1&gt;Inputs!$B$6,AK22&gt;=0,AJ22&lt;0),AK$1-1-AJ22/(AK3/(1+$F$3)^AK$1),0)</f>
        <v>0</v>
      </c>
      <c r="AL23" s="9">
        <f>IF(AND(AL$1&gt;Inputs!$B$6,AL22&gt;=0,AK22&lt;0),AL$1-1-AK22/(AL3/(1+$F$3)^AL$1),0)</f>
        <v>0</v>
      </c>
      <c r="AM23" s="9">
        <f>IF(AND(AM$1&gt;Inputs!$B$6,AM22&gt;=0,AL22&lt;0),AM$1-1-AL22/(AM3/(1+$F$3)^AM$1),0)</f>
        <v>0</v>
      </c>
      <c r="AN23" s="9">
        <f>IF(AND(AN$1&gt;Inputs!$B$6,AN22&gt;=0,AM22&lt;0),AN$1-1-AM22/(AN3/(1+$F$3)^AN$1),0)</f>
        <v>0</v>
      </c>
      <c r="AO23" s="9">
        <f>IF(AND(AO$1&gt;Inputs!$B$6,AO22&gt;=0,AN22&lt;0),AO$1-1-AN22/(AO3/(1+$F$3)^AO$1),0)</f>
        <v>0</v>
      </c>
      <c r="AP23" s="9">
        <f>IF(AND(AP$1&gt;Inputs!$B$6,AP22&gt;=0,AO22&lt;0),AP$1-1-AO22/(AP3/(1+$F$3)^AP$1),0)</f>
        <v>0</v>
      </c>
      <c r="AQ23" s="9">
        <f>IF(AND(AQ$1&gt;Inputs!$B$6,AQ22&gt;=0,AP22&lt;0),AQ$1-1-AP22/(AQ3/(1+$F$3)^AQ$1),0)</f>
        <v>0</v>
      </c>
      <c r="AR23" s="9">
        <f>IF(AND(AR$1&gt;Inputs!$B$6,AR22&gt;=0,AQ22&lt;0),AR$1-1-AQ22/(AR3/(1+$F$3)^AR$1),0)</f>
        <v>0</v>
      </c>
      <c r="AS23" s="9">
        <f>IF(AND(AS$1&gt;Inputs!$B$6,AS22&gt;=0,AR22&lt;0),AS$1-1-AR22/(AS3/(1+$F$3)^AS$1),0)</f>
        <v>0</v>
      </c>
      <c r="AT23" s="9">
        <f>IF(AND(AT$1&gt;Inputs!$B$6,AT22&gt;=0,AS22&lt;0),AT$1-1-AS22/(AT3/(1+$F$3)^AT$1),0)</f>
        <v>0</v>
      </c>
      <c r="AU23" s="9">
        <f>IF(AND(AU$1&gt;Inputs!$B$6,AU22&gt;=0,AT22&lt;0),AU$1-1-AT22/(AU3/(1+$F$3)^AU$1),0)</f>
        <v>0</v>
      </c>
      <c r="AV23" s="9">
        <f>IF(AND(AV$1&gt;Inputs!$B$6,AV22&gt;=0,AU22&lt;0),AV$1-1-AU22/(AV3/(1+$F$3)^AV$1),0)</f>
        <v>0</v>
      </c>
      <c r="AW23" s="9">
        <f>IF(AND(AW$1&gt;Inputs!$B$6,AW22&gt;=0,AV22&lt;0),AW$1-1-AV22/(AW3/(1+$F$3)^AW$1),0)</f>
        <v>0</v>
      </c>
      <c r="AX23" s="9">
        <f>IF(AND(AX$1&gt;Inputs!$B$6,AX22&gt;=0,AW22&lt;0),AX$1-1-AW22/(AX3/(1+$F$3)^AX$1),0)</f>
        <v>0</v>
      </c>
      <c r="AY23" s="9">
        <f>IF(AND(AY$1&gt;Inputs!$B$6,AY22&gt;=0,AX22&lt;0),AY$1-1-AX22/(AY3/(1+$F$3)^AY$1),0)</f>
        <v>0</v>
      </c>
      <c r="AZ23" s="9">
        <f>IF(AND(AZ$1&gt;Inputs!$B$6,AZ22&gt;=0,AY22&lt;0),AZ$1-1-AY22/(AZ3/(1+$F$3)^AZ$1),0)</f>
        <v>0</v>
      </c>
      <c r="BA23" s="9">
        <f>IF(AND(BA$1&gt;Inputs!$B$6,BA22&gt;=0,AZ22&lt;0),BA$1-1-AZ22/(BA3/(1+$F$3)^BA$1),0)</f>
        <v>0</v>
      </c>
      <c r="BB23" s="9">
        <f>IF(AND(BB$1&gt;Inputs!$B$6,BB22&gt;=0,BA22&lt;0),BB$1-1-BA22/(BB3/(1+$F$3)^BB$1),0)</f>
        <v>0</v>
      </c>
      <c r="BC23" s="9">
        <f>IF(AND(BC$1&gt;Inputs!$B$6,BC22&gt;=0,BB22&lt;0),BC$1-1-BB22/(BC3/(1+$F$3)^BC$1),0)</f>
        <v>0</v>
      </c>
      <c r="BD23" s="9">
        <f>IF(AND(BD$1&gt;Inputs!$B$6,BD22&gt;=0,BC22&lt;0),BD$1-1-BC22/(BD3/(1+$F$3)^BD$1),0)</f>
        <v>0</v>
      </c>
      <c r="BE23" s="9">
        <f>IF(AND(BE$1&gt;Inputs!$B$6,BE22&gt;=0,BD22&lt;0),BE$1-1-BD22/(BE3/(1+$F$3)^BE$1),0)</f>
        <v>0</v>
      </c>
      <c r="BF23" s="9">
        <f>IF(AND(BF$1&gt;Inputs!$B$6,BF22&gt;=0,BE22&lt;0),BF$1-1-BE22/(BF3/(1+$F$3)^BF$1),0)</f>
        <v>0</v>
      </c>
      <c r="BG23" s="9">
        <f>IF(AND(BG$1&gt;Inputs!$B$6,BG22&gt;=0,BF22&lt;0),BG$1-1-BF22/(BG3/(1+$F$3)^BG$1),0)</f>
        <v>0</v>
      </c>
      <c r="BH23" s="9">
        <f>IF(AND(BH$1&gt;Inputs!$B$6,BH22&gt;=0,BG22&lt;0),BH$1-1-BG22/(BH3/(1+$F$3)^BH$1),0)</f>
        <v>0</v>
      </c>
      <c r="BI23" s="9">
        <f>IF(AND(BI$1&gt;Inputs!$B$6,BI22&gt;=0,BH22&lt;0),BI$1-1-BH22/(BI3/(1+$F$3)^BI$1),0)</f>
        <v>0</v>
      </c>
      <c r="BJ23" s="9">
        <f>IF(AND(BJ$1&gt;Inputs!$B$6,BJ22&gt;=0,BI22&lt;0),BJ$1-1-BI22/(BJ3/(1+$F$3)^BJ$1),0)</f>
        <v>0</v>
      </c>
      <c r="BK23" s="9">
        <f>IF(AND(BK$1&gt;Inputs!$B$6,BK22&gt;=0,BJ22&lt;0),BK$1-1-BJ22/(BK3/(1+$F$3)^BK$1),0)</f>
        <v>0</v>
      </c>
      <c r="BL23" s="9">
        <f>IF(AND(BL$1&gt;Inputs!$B$6,BL22&gt;=0,BK22&lt;0),BL$1-1-BK22/(BL3/(1+$F$3)^BL$1),0)</f>
        <v>0</v>
      </c>
      <c r="BM23" s="9">
        <f>IF(AND(BM$1&gt;Inputs!$B$6,BM22&gt;=0,BL22&lt;0),BM$1-1-BL22/(BM3/(1+$F$3)^BM$1),0)</f>
        <v>0</v>
      </c>
      <c r="BN23" s="9">
        <f>IF(AND(BN$1&gt;Inputs!$B$6,BN22&gt;=0,BM22&lt;0),BN$1-1-BM22/(BN3/(1+$F$3)^BN$1),0)</f>
        <v>0</v>
      </c>
      <c r="BO23" s="9">
        <f>IF(AND(BO$1&gt;Inputs!$B$6,BO22&gt;=0,BN22&lt;0),BO$1-1-BN22/(BO3/(1+$F$3)^BO$1),0)</f>
        <v>0</v>
      </c>
      <c r="BP23" s="9">
        <f>IF(AND(BP$1&gt;Inputs!$B$6,BP22&gt;=0,BO22&lt;0),BP$1-1-BO22/(BP3/(1+$F$3)^BP$1),0)</f>
        <v>0</v>
      </c>
      <c r="BQ23" s="9">
        <f>IF(AND(BQ$1&gt;Inputs!$B$6,BQ22&gt;=0,BP22&lt;0),BQ$1-1-BP22/(BQ3/(1+$F$3)^BQ$1),0)</f>
        <v>0</v>
      </c>
      <c r="BR23" s="9">
        <f>IF(AND(BR$1&gt;Inputs!$B$6,BR22&gt;=0,BQ22&lt;0),BR$1-1-BQ22/(BR3/(1+$F$3)^BR$1),0)</f>
        <v>0</v>
      </c>
      <c r="BS23" s="9">
        <f>IF(AND(BS$1&gt;Inputs!$B$6,BS22&gt;=0,BR22&lt;0),BS$1-1-BR22/(BS3/(1+$F$3)^BS$1),0)</f>
        <v>0</v>
      </c>
      <c r="BT23" s="9">
        <f>IF(AND(BT$1&gt;Inputs!$B$6,BT22&gt;=0,BS22&lt;0),BT$1-1-BS22/(BT3/(1+$F$3)^BT$1),0)</f>
        <v>0</v>
      </c>
    </row>
    <row r="24" hidden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</row>
    <row r="25" hidden="1">
      <c r="A25" s="4" t="inlineStr">
        <is>
          <t>Cost doubles | cumulative CF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9">
        <f>SUM($L4:L4)</f>
        <v>-15000000.0</v>
      </c>
      <c r="M25" s="9">
        <f>SUM($L4:M4)</f>
        <v>-30000000.0</v>
      </c>
      <c r="N25" s="9">
        <f>SUM($L4:N4)</f>
        <v>-30000000.0</v>
      </c>
      <c r="O25" s="9">
        <f>SUM($L4:O4)</f>
        <v>-23331000.0</v>
      </c>
      <c r="P25" s="9">
        <f>SUM($L4:P4)</f>
        <v>-16328550.0</v>
      </c>
      <c r="Q25" s="9">
        <f>SUM($L4:Q4)</f>
        <v>-8975977.5</v>
      </c>
      <c r="R25" s="9">
        <f>SUM($L4:R4)</f>
        <v>-1255776.3749999972</v>
      </c>
      <c r="S25" s="9">
        <f>SUM($L4:S4)</f>
        <v>6850434.806250005</v>
      </c>
      <c r="T25" s="9">
        <f>SUM($L4:T4)</f>
        <v>15361956.546562508</v>
      </c>
      <c r="U25" s="9">
        <f>SUM($L4:U4)</f>
        <v>24299054.37389064</v>
      </c>
      <c r="V25" s="9">
        <f>SUM($L4:V4)</f>
        <v>33683007.092585176</v>
      </c>
      <c r="W25" s="9">
        <f>SUM($L4:W4)</f>
        <v>43536157.44721444</v>
      </c>
      <c r="X25" s="9">
        <f>SUM($L4:X4)</f>
        <v>53881965.31957516</v>
      </c>
      <c r="Y25" s="9">
        <f>SUM($L4:Y4)</f>
        <v>64745063.58555392</v>
      </c>
      <c r="Z25" s="9">
        <f>SUM($L4:Z4)</f>
        <v>76151316.76483162</v>
      </c>
      <c r="AA25" s="9">
        <f>SUM($L4:AA4)</f>
        <v>88127882.60307321</v>
      </c>
      <c r="AB25" s="9">
        <f>SUM($L4:AB4)</f>
        <v>100703276.73322688</v>
      </c>
      <c r="AC25" s="9">
        <f>SUM($L4:AC4)</f>
        <v>113907440.56988823</v>
      </c>
      <c r="AD25" s="9">
        <f>SUM($L4:AD4)</f>
        <v>127771812.59838265</v>
      </c>
      <c r="AE25" s="9">
        <f>SUM($L4:AE4)</f>
        <v>142329403.2283018</v>
      </c>
      <c r="AF25" s="9">
        <f>SUM($L4:AF4)</f>
        <v>157614873.3897169</v>
      </c>
      <c r="AG25" s="9">
        <f>SUM($L4:AG4)</f>
        <v>173664617.05920273</v>
      </c>
      <c r="AH25" s="9">
        <f>SUM($L4:AH4)</f>
        <v>190516847.91216287</v>
      </c>
      <c r="AI25" s="9">
        <f>SUM($L4:AI4)</f>
        <v>208211690.30777103</v>
      </c>
      <c r="AJ25" s="9">
        <f>SUM($L4:AJ4)</f>
        <v>226791274.82315958</v>
      </c>
      <c r="AK25" s="9">
        <f>SUM($L4:AK4)</f>
        <v>246299838.56431755</v>
      </c>
      <c r="AL25" s="9">
        <f>SUM($L4:AL4)</f>
        <v>266783830.49253345</v>
      </c>
      <c r="AM25" s="9">
        <f>SUM($L4:AM4)</f>
        <v>288292022.0171601</v>
      </c>
      <c r="AN25" s="9">
        <f>SUM($L4:AN4)</f>
        <v>310875623.11801815</v>
      </c>
      <c r="AO25" s="9">
        <f>SUM($L4:AO4)</f>
        <v>334588404.2739191</v>
      </c>
      <c r="AP25" s="9">
        <f>SUM($L4:AP4)</f>
        <v>359486824.4876151</v>
      </c>
      <c r="AQ25" s="9">
        <f>SUM($L4:AQ4)</f>
        <v>385630165.7119959</v>
      </c>
      <c r="AR25" s="9">
        <f>SUM($L4:AR4)</f>
        <v>413080673.9975957</v>
      </c>
      <c r="AS25" s="9">
        <f>SUM($L4:AS4)</f>
        <v>413080673.9975957</v>
      </c>
      <c r="AT25" s="9">
        <f>SUM($L4:AT4)</f>
        <v>413080673.9975957</v>
      </c>
      <c r="AU25" s="9">
        <f>SUM($L4:AU4)</f>
        <v>413080673.9975957</v>
      </c>
      <c r="AV25" s="9">
        <f>SUM($L4:AV4)</f>
        <v>413080673.9975957</v>
      </c>
      <c r="AW25" s="9">
        <f>SUM($L4:AW4)</f>
        <v>413080673.9975957</v>
      </c>
      <c r="AX25" s="9">
        <f>SUM($L4:AX4)</f>
        <v>413080673.9975957</v>
      </c>
      <c r="AY25" s="9">
        <f>SUM($L4:AY4)</f>
        <v>413080673.9975957</v>
      </c>
      <c r="AZ25" s="9">
        <f>SUM($L4:AZ4)</f>
        <v>413080673.9975957</v>
      </c>
      <c r="BA25" s="9">
        <f>SUM($L4:BA4)</f>
        <v>413080673.9975957</v>
      </c>
      <c r="BB25" s="9">
        <f>SUM($L4:BB4)</f>
        <v>413080673.9975957</v>
      </c>
      <c r="BC25" s="9">
        <f>SUM($L4:BC4)</f>
        <v>413080673.9975957</v>
      </c>
      <c r="BD25" s="9">
        <f>SUM($L4:BD4)</f>
        <v>413080673.9975957</v>
      </c>
      <c r="BE25" s="9">
        <f>SUM($L4:BE4)</f>
        <v>413080673.9975957</v>
      </c>
      <c r="BF25" s="9">
        <f>SUM($L4:BF4)</f>
        <v>413080673.9975957</v>
      </c>
      <c r="BG25" s="9">
        <f>SUM($L4:BG4)</f>
        <v>413080673.9975957</v>
      </c>
      <c r="BH25" s="9">
        <f>SUM($L4:BH4)</f>
        <v>413080673.9975957</v>
      </c>
      <c r="BI25" s="9">
        <f>SUM($L4:BI4)</f>
        <v>413080673.9975957</v>
      </c>
      <c r="BJ25" s="9">
        <f>SUM($L4:BJ4)</f>
        <v>413080673.9975957</v>
      </c>
      <c r="BK25" s="9">
        <f>SUM($L4:BK4)</f>
        <v>413080673.9975957</v>
      </c>
      <c r="BL25" s="9">
        <f>SUM($L4:BL4)</f>
        <v>413080673.9975957</v>
      </c>
      <c r="BM25" s="9">
        <f>SUM($L4:BM4)</f>
        <v>413080673.9975957</v>
      </c>
      <c r="BN25" s="9">
        <f>SUM($L4:BN4)</f>
        <v>413080673.9975957</v>
      </c>
      <c r="BO25" s="9">
        <f>SUM($L4:BO4)</f>
        <v>413080673.9975957</v>
      </c>
      <c r="BP25" s="9">
        <f>SUM($L4:BP4)</f>
        <v>413080673.9975957</v>
      </c>
      <c r="BQ25" s="9">
        <f>SUM($L4:BQ4)</f>
        <v>413080673.9975957</v>
      </c>
      <c r="BR25" s="9">
        <f>SUM($L4:BR4)</f>
        <v>413080673.9975957</v>
      </c>
      <c r="BS25" s="9">
        <f>SUM($L4:BS4)</f>
        <v>413080673.9975957</v>
      </c>
      <c r="BT25" s="9">
        <f>SUM($L4:BT4)</f>
        <v>413080673.9975957</v>
      </c>
    </row>
    <row r="26" hidden="1">
      <c r="A26" s="2" t="inlineStr">
        <is>
          <t>Payback crossing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>
        <f>0</f>
        <v>0</v>
      </c>
      <c r="M26" s="3">
        <f>IF(AND(M$1&gt;Inputs!$B$6,M25&gt;=0,L25&lt;0),M$1-1-L25/M4,0)</f>
        <v>0</v>
      </c>
      <c r="N26" s="3">
        <f>IF(AND(N$1&gt;Inputs!$B$6,N25&gt;=0,M25&lt;0),N$1-1-M25/N4,0)</f>
        <v>0</v>
      </c>
      <c r="O26" s="3">
        <f>IF(AND(O$1&gt;Inputs!$B$6,O25&gt;=0,N25&lt;0),O$1-1-N25/O4,0)</f>
        <v>0</v>
      </c>
      <c r="P26" s="3">
        <f>IF(AND(P$1&gt;Inputs!$B$6,P25&gt;=0,O25&lt;0),P$1-1-O25/P4,0)</f>
        <v>0</v>
      </c>
      <c r="Q26" s="3">
        <f>IF(AND(Q$1&gt;Inputs!$B$6,Q25&gt;=0,P25&lt;0),Q$1-1-P25/Q4,0)</f>
        <v>0</v>
      </c>
      <c r="R26" s="3">
        <f>IF(AND(R$1&gt;Inputs!$B$6,R25&gt;=0,Q25&lt;0),R$1-1-Q25/R4,0)</f>
        <v>0</v>
      </c>
      <c r="S26" s="3">
        <f>IF(AND(S$1&gt;Inputs!$B$6,S25&gt;=0,R25&lt;0),S$1-1-R25/S4,0)</f>
        <v>6.154915329359375</v>
      </c>
      <c r="T26" s="3">
        <f>IF(AND(T$1&gt;Inputs!$B$6,T25&gt;=0,S25&lt;0),T$1-1-S25/T4,0)</f>
        <v>0</v>
      </c>
      <c r="U26" s="3">
        <f>IF(AND(U$1&gt;Inputs!$B$6,U25&gt;=0,T25&lt;0),U$1-1-T25/U4,0)</f>
        <v>0</v>
      </c>
      <c r="V26" s="3">
        <f>IF(AND(V$1&gt;Inputs!$B$6,V25&gt;=0,U25&lt;0),V$1-1-U25/V4,0)</f>
        <v>0</v>
      </c>
      <c r="W26" s="3">
        <f>IF(AND(W$1&gt;Inputs!$B$6,W25&gt;=0,V25&lt;0),W$1-1-V25/W4,0)</f>
        <v>0</v>
      </c>
      <c r="X26" s="3">
        <f>IF(AND(X$1&gt;Inputs!$B$6,X25&gt;=0,W25&lt;0),X$1-1-W25/X4,0)</f>
        <v>0</v>
      </c>
      <c r="Y26" s="3">
        <f>IF(AND(Y$1&gt;Inputs!$B$6,Y25&gt;=0,X25&lt;0),Y$1-1-X25/Y4,0)</f>
        <v>0</v>
      </c>
      <c r="Z26" s="3">
        <f>IF(AND(Z$1&gt;Inputs!$B$6,Z25&gt;=0,Y25&lt;0),Z$1-1-Y25/Z4,0)</f>
        <v>0</v>
      </c>
      <c r="AA26" s="3">
        <f>IF(AND(AA$1&gt;Inputs!$B$6,AA25&gt;=0,Z25&lt;0),AA$1-1-Z25/AA4,0)</f>
        <v>0</v>
      </c>
      <c r="AB26" s="3">
        <f>IF(AND(AB$1&gt;Inputs!$B$6,AB25&gt;=0,AA25&lt;0),AB$1-1-AA25/AB4,0)</f>
        <v>0</v>
      </c>
      <c r="AC26" s="3">
        <f>IF(AND(AC$1&gt;Inputs!$B$6,AC25&gt;=0,AB25&lt;0),AC$1-1-AB25/AC4,0)</f>
        <v>0</v>
      </c>
      <c r="AD26" s="3">
        <f>IF(AND(AD$1&gt;Inputs!$B$6,AD25&gt;=0,AC25&lt;0),AD$1-1-AC25/AD4,0)</f>
        <v>0</v>
      </c>
      <c r="AE26" s="3">
        <f>IF(AND(AE$1&gt;Inputs!$B$6,AE25&gt;=0,AD25&lt;0),AE$1-1-AD25/AE4,0)</f>
        <v>0</v>
      </c>
      <c r="AF26" s="3">
        <f>IF(AND(AF$1&gt;Inputs!$B$6,AF25&gt;=0,AE25&lt;0),AF$1-1-AE25/AF4,0)</f>
        <v>0</v>
      </c>
      <c r="AG26" s="3">
        <f>IF(AND(AG$1&gt;Inputs!$B$6,AG25&gt;=0,AF25&lt;0),AG$1-1-AF25/AG4,0)</f>
        <v>0</v>
      </c>
      <c r="AH26" s="3">
        <f>IF(AND(AH$1&gt;Inputs!$B$6,AH25&gt;=0,AG25&lt;0),AH$1-1-AG25/AH4,0)</f>
        <v>0</v>
      </c>
      <c r="AI26" s="3">
        <f>IF(AND(AI$1&gt;Inputs!$B$6,AI25&gt;=0,AH25&lt;0),AI$1-1-AH25/AI4,0)</f>
        <v>0</v>
      </c>
      <c r="AJ26" s="3">
        <f>IF(AND(AJ$1&gt;Inputs!$B$6,AJ25&gt;=0,AI25&lt;0),AJ$1-1-AI25/AJ4,0)</f>
        <v>0</v>
      </c>
      <c r="AK26" s="3">
        <f>IF(AND(AK$1&gt;Inputs!$B$6,AK25&gt;=0,AJ25&lt;0),AK$1-1-AJ25/AK4,0)</f>
        <v>0</v>
      </c>
      <c r="AL26" s="3">
        <f>IF(AND(AL$1&gt;Inputs!$B$6,AL25&gt;=0,AK25&lt;0),AL$1-1-AK25/AL4,0)</f>
        <v>0</v>
      </c>
      <c r="AM26" s="3">
        <f>IF(AND(AM$1&gt;Inputs!$B$6,AM25&gt;=0,AL25&lt;0),AM$1-1-AL25/AM4,0)</f>
        <v>0</v>
      </c>
      <c r="AN26" s="3">
        <f>IF(AND(AN$1&gt;Inputs!$B$6,AN25&gt;=0,AM25&lt;0),AN$1-1-AM25/AN4,0)</f>
        <v>0</v>
      </c>
      <c r="AO26" s="3">
        <f>IF(AND(AO$1&gt;Inputs!$B$6,AO25&gt;=0,AN25&lt;0),AO$1-1-AN25/AO4,0)</f>
        <v>0</v>
      </c>
      <c r="AP26" s="3">
        <f>IF(AND(AP$1&gt;Inputs!$B$6,AP25&gt;=0,AO25&lt;0),AP$1-1-AO25/AP4,0)</f>
        <v>0</v>
      </c>
      <c r="AQ26" s="3">
        <f>IF(AND(AQ$1&gt;Inputs!$B$6,AQ25&gt;=0,AP25&lt;0),AQ$1-1-AP25/AQ4,0)</f>
        <v>0</v>
      </c>
      <c r="AR26" s="3">
        <f>IF(AND(AR$1&gt;Inputs!$B$6,AR25&gt;=0,AQ25&lt;0),AR$1-1-AQ25/AR4,0)</f>
        <v>0</v>
      </c>
      <c r="AS26" s="3">
        <f>IF(AND(AS$1&gt;Inputs!$B$6,AS25&gt;=0,AR25&lt;0),AS$1-1-AR25/AS4,0)</f>
        <v>0</v>
      </c>
      <c r="AT26" s="3">
        <f>IF(AND(AT$1&gt;Inputs!$B$6,AT25&gt;=0,AS25&lt;0),AT$1-1-AS25/AT4,0)</f>
        <v>0</v>
      </c>
      <c r="AU26" s="3">
        <f>IF(AND(AU$1&gt;Inputs!$B$6,AU25&gt;=0,AT25&lt;0),AU$1-1-AT25/AU4,0)</f>
        <v>0</v>
      </c>
      <c r="AV26" s="3">
        <f>IF(AND(AV$1&gt;Inputs!$B$6,AV25&gt;=0,AU25&lt;0),AV$1-1-AU25/AV4,0)</f>
        <v>0</v>
      </c>
      <c r="AW26" s="3">
        <f>IF(AND(AW$1&gt;Inputs!$B$6,AW25&gt;=0,AV25&lt;0),AW$1-1-AV25/AW4,0)</f>
        <v>0</v>
      </c>
      <c r="AX26" s="3">
        <f>IF(AND(AX$1&gt;Inputs!$B$6,AX25&gt;=0,AW25&lt;0),AX$1-1-AW25/AX4,0)</f>
        <v>0</v>
      </c>
      <c r="AY26" s="3">
        <f>IF(AND(AY$1&gt;Inputs!$B$6,AY25&gt;=0,AX25&lt;0),AY$1-1-AX25/AY4,0)</f>
        <v>0</v>
      </c>
      <c r="AZ26" s="3">
        <f>IF(AND(AZ$1&gt;Inputs!$B$6,AZ25&gt;=0,AY25&lt;0),AZ$1-1-AY25/AZ4,0)</f>
        <v>0</v>
      </c>
      <c r="BA26" s="3">
        <f>IF(AND(BA$1&gt;Inputs!$B$6,BA25&gt;=0,AZ25&lt;0),BA$1-1-AZ25/BA4,0)</f>
        <v>0</v>
      </c>
      <c r="BB26" s="3">
        <f>IF(AND(BB$1&gt;Inputs!$B$6,BB25&gt;=0,BA25&lt;0),BB$1-1-BA25/BB4,0)</f>
        <v>0</v>
      </c>
      <c r="BC26" s="3">
        <f>IF(AND(BC$1&gt;Inputs!$B$6,BC25&gt;=0,BB25&lt;0),BC$1-1-BB25/BC4,0)</f>
        <v>0</v>
      </c>
      <c r="BD26" s="3">
        <f>IF(AND(BD$1&gt;Inputs!$B$6,BD25&gt;=0,BC25&lt;0),BD$1-1-BC25/BD4,0)</f>
        <v>0</v>
      </c>
      <c r="BE26" s="3">
        <f>IF(AND(BE$1&gt;Inputs!$B$6,BE25&gt;=0,BD25&lt;0),BE$1-1-BD25/BE4,0)</f>
        <v>0</v>
      </c>
      <c r="BF26" s="3">
        <f>IF(AND(BF$1&gt;Inputs!$B$6,BF25&gt;=0,BE25&lt;0),BF$1-1-BE25/BF4,0)</f>
        <v>0</v>
      </c>
      <c r="BG26" s="3">
        <f>IF(AND(BG$1&gt;Inputs!$B$6,BG25&gt;=0,BF25&lt;0),BG$1-1-BF25/BG4,0)</f>
        <v>0</v>
      </c>
      <c r="BH26" s="3">
        <f>IF(AND(BH$1&gt;Inputs!$B$6,BH25&gt;=0,BG25&lt;0),BH$1-1-BG25/BH4,0)</f>
        <v>0</v>
      </c>
      <c r="BI26" s="3">
        <f>IF(AND(BI$1&gt;Inputs!$B$6,BI25&gt;=0,BH25&lt;0),BI$1-1-BH25/BI4,0)</f>
        <v>0</v>
      </c>
      <c r="BJ26" s="3">
        <f>IF(AND(BJ$1&gt;Inputs!$B$6,BJ25&gt;=0,BI25&lt;0),BJ$1-1-BI25/BJ4,0)</f>
        <v>0</v>
      </c>
      <c r="BK26" s="3">
        <f>IF(AND(BK$1&gt;Inputs!$B$6,BK25&gt;=0,BJ25&lt;0),BK$1-1-BJ25/BK4,0)</f>
        <v>0</v>
      </c>
      <c r="BL26" s="3">
        <f>IF(AND(BL$1&gt;Inputs!$B$6,BL25&gt;=0,BK25&lt;0),BL$1-1-BK25/BL4,0)</f>
        <v>0</v>
      </c>
      <c r="BM26" s="3">
        <f>IF(AND(BM$1&gt;Inputs!$B$6,BM25&gt;=0,BL25&lt;0),BM$1-1-BL25/BM4,0)</f>
        <v>0</v>
      </c>
      <c r="BN26" s="3">
        <f>IF(AND(BN$1&gt;Inputs!$B$6,BN25&gt;=0,BM25&lt;0),BN$1-1-BM25/BN4,0)</f>
        <v>0</v>
      </c>
      <c r="BO26" s="3">
        <f>IF(AND(BO$1&gt;Inputs!$B$6,BO25&gt;=0,BN25&lt;0),BO$1-1-BN25/BO4,0)</f>
        <v>0</v>
      </c>
      <c r="BP26" s="3">
        <f>IF(AND(BP$1&gt;Inputs!$B$6,BP25&gt;=0,BO25&lt;0),BP$1-1-BO25/BP4,0)</f>
        <v>0</v>
      </c>
      <c r="BQ26" s="3">
        <f>IF(AND(BQ$1&gt;Inputs!$B$6,BQ25&gt;=0,BP25&lt;0),BQ$1-1-BP25/BQ4,0)</f>
        <v>0</v>
      </c>
      <c r="BR26" s="3">
        <f>IF(AND(BR$1&gt;Inputs!$B$6,BR25&gt;=0,BQ25&lt;0),BR$1-1-BQ25/BR4,0)</f>
        <v>0</v>
      </c>
      <c r="BS26" s="3">
        <f>IF(AND(BS$1&gt;Inputs!$B$6,BS25&gt;=0,BR25&lt;0),BS$1-1-BR25/BS4,0)</f>
        <v>0</v>
      </c>
      <c r="BT26" s="3">
        <f>IF(AND(BT$1&gt;Inputs!$B$6,BT25&gt;=0,BS25&lt;0),BT$1-1-BS25/BT4,0)</f>
        <v>0</v>
      </c>
    </row>
    <row r="27" hidden="1">
      <c r="A27" s="4" t="inlineStr">
        <is>
          <t>Cumulative PV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9">
        <f>L4/(1+$F$4)^L$1</f>
        <v>-15000000.0</v>
      </c>
      <c r="M27" s="9">
        <f>M4/(1+$F$4)^M$1+L27</f>
        <v>-29381591.562799618</v>
      </c>
      <c r="N27" s="9">
        <f>N4/(1+$F$4)^N$1+M27</f>
        <v>-29381591.562799618</v>
      </c>
      <c r="O27" s="9">
        <f>O4/(1+$F$4)^O$1+N27</f>
        <v>-23503886.46878316</v>
      </c>
      <c r="P27" s="9">
        <f>P4/(1+$F$4)^P$1+O27</f>
        <v>-17586733.689571958</v>
      </c>
      <c r="Q27" s="9">
        <f>Q4/(1+$F$4)^Q$1+P27</f>
        <v>-11629868.47560095</v>
      </c>
      <c r="R27" s="9">
        <f>R4/(1+$F$4)^R$1+Q27</f>
        <v>-5633024.300462349</v>
      </c>
      <c r="S27" s="9">
        <f>S4/(1+$F$4)^S$1+R27</f>
        <v>404067.1510194633</v>
      </c>
      <c r="T27" s="9">
        <f>T4/(1+$F$4)^T$1+S27</f>
        <v>6481675.994793101</v>
      </c>
      <c r="U27" s="9">
        <f>U4/(1+$F$4)^U$1+T27</f>
        <v>12600074.159665892</v>
      </c>
      <c r="V27" s="9">
        <f>V4/(1+$F$4)^V$1+U27</f>
        <v>18759535.399470717</v>
      </c>
      <c r="W27" s="9">
        <f>W4/(1+$F$4)^W$1+V27</f>
        <v>24960335.3053145</v>
      </c>
      <c r="X27" s="9">
        <f>X4/(1+$F$4)^X$1+W27</f>
        <v>31202751.317908913</v>
      </c>
      <c r="Y27" s="9">
        <f>Y4/(1+$F$4)^Y$1+X27</f>
        <v>37487062.73998383</v>
      </c>
      <c r="Z27" s="9">
        <f>Z4/(1+$F$4)^Z$1+Y27</f>
        <v>43813550.74878407</v>
      </c>
      <c r="AA27" s="9">
        <f>AA4/(1+$F$4)^AA$1+Z27</f>
        <v>50182498.40865009</v>
      </c>
      <c r="AB27" s="9">
        <f>AB4/(1+$F$4)^AB$1+AA27</f>
        <v>56594190.683683</v>
      </c>
      <c r="AC27" s="9">
        <f>AC4/(1+$F$4)^AC$1+AB27</f>
        <v>63048914.450494654</v>
      </c>
      <c r="AD27" s="9">
        <f>AD4/(1+$F$4)^AD$1+AC27</f>
        <v>69546958.5110433</v>
      </c>
      <c r="AE27" s="9">
        <f>AE4/(1+$F$4)^AE$1+AD27</f>
        <v>76088613.60555536</v>
      </c>
      <c r="AF27" s="9">
        <f>AF4/(1+$F$4)^AF$1+AE27</f>
        <v>82674172.42553394</v>
      </c>
      <c r="AG27" s="9">
        <f>AG4/(1+$F$4)^AG$1+AF27</f>
        <v>89303929.62685466</v>
      </c>
      <c r="AH27" s="9">
        <f>AH4/(1+$F$4)^AH$1+AG27</f>
        <v>95978181.84294935</v>
      </c>
      <c r="AI27" s="9">
        <f>AI4/(1+$F$4)^AI$1+AH27</f>
        <v>102697227.69807823</v>
      </c>
      <c r="AJ27" s="9">
        <f>AJ4/(1+$F$4)^AJ$1+AI27</f>
        <v>109461367.8206912</v>
      </c>
      <c r="AK27" s="9">
        <f>AK4/(1+$F$4)^AK$1+AJ27</f>
        <v>116270904.85687876</v>
      </c>
      <c r="AL27" s="9">
        <f>AL4/(1+$F$4)^AL$1+AK27</f>
        <v>123126143.48391321</v>
      </c>
      <c r="AM27" s="9">
        <f>AM4/(1+$F$4)^AM$1+AL27</f>
        <v>130027390.42388079</v>
      </c>
      <c r="AN27" s="9">
        <f>AN4/(1+$F$4)^AN$1+AM27</f>
        <v>136974954.45740518</v>
      </c>
      <c r="AO27" s="9">
        <f>AO4/(1+$F$4)^AO$1+AN27</f>
        <v>143969146.4374633</v>
      </c>
      <c r="AP27" s="9">
        <f>AP4/(1+$F$4)^AP$1+AO27</f>
        <v>151010279.30329365</v>
      </c>
      <c r="AQ27" s="9">
        <f>AQ4/(1+$F$4)^AQ$1+AP27</f>
        <v>158098668.094398</v>
      </c>
      <c r="AR27" s="9">
        <f>AR4/(1+$F$4)^AR$1+AQ27</f>
        <v>165234629.96463728</v>
      </c>
      <c r="AS27" s="9">
        <f>AS4/(1+$F$4)^AS$1+AR27</f>
        <v>165234629.96463728</v>
      </c>
      <c r="AT27" s="9">
        <f>AT4/(1+$F$4)^AT$1+AS27</f>
        <v>165234629.96463728</v>
      </c>
      <c r="AU27" s="9">
        <f>AU4/(1+$F$4)^AU$1+AT27</f>
        <v>165234629.96463728</v>
      </c>
      <c r="AV27" s="9">
        <f>AV4/(1+$F$4)^AV$1+AU27</f>
        <v>165234629.96463728</v>
      </c>
      <c r="AW27" s="9">
        <f>AW4/(1+$F$4)^AW$1+AV27</f>
        <v>165234629.96463728</v>
      </c>
      <c r="AX27" s="9">
        <f>AX4/(1+$F$4)^AX$1+AW27</f>
        <v>165234629.96463728</v>
      </c>
      <c r="AY27" s="9">
        <f>AY4/(1+$F$4)^AY$1+AX27</f>
        <v>165234629.96463728</v>
      </c>
      <c r="AZ27" s="9">
        <f>AZ4/(1+$F$4)^AZ$1+AY27</f>
        <v>165234629.96463728</v>
      </c>
      <c r="BA27" s="9">
        <f>BA4/(1+$F$4)^BA$1+AZ27</f>
        <v>165234629.96463728</v>
      </c>
      <c r="BB27" s="9">
        <f>BB4/(1+$F$4)^BB$1+BA27</f>
        <v>165234629.96463728</v>
      </c>
      <c r="BC27" s="9">
        <f>BC4/(1+$F$4)^BC$1+BB27</f>
        <v>165234629.96463728</v>
      </c>
      <c r="BD27" s="9">
        <f>BD4/(1+$F$4)^BD$1+BC27</f>
        <v>165234629.96463728</v>
      </c>
      <c r="BE27" s="9">
        <f>BE4/(1+$F$4)^BE$1+BD27</f>
        <v>165234629.96463728</v>
      </c>
      <c r="BF27" s="9">
        <f>BF4/(1+$F$4)^BF$1+BE27</f>
        <v>165234629.96463728</v>
      </c>
      <c r="BG27" s="9">
        <f>BG4/(1+$F$4)^BG$1+BF27</f>
        <v>165234629.96463728</v>
      </c>
      <c r="BH27" s="9">
        <f>BH4/(1+$F$4)^BH$1+BG27</f>
        <v>165234629.96463728</v>
      </c>
      <c r="BI27" s="9">
        <f>BI4/(1+$F$4)^BI$1+BH27</f>
        <v>165234629.96463728</v>
      </c>
      <c r="BJ27" s="9">
        <f>BJ4/(1+$F$4)^BJ$1+BI27</f>
        <v>165234629.96463728</v>
      </c>
      <c r="BK27" s="9">
        <f>BK4/(1+$F$4)^BK$1+BJ27</f>
        <v>165234629.96463728</v>
      </c>
      <c r="BL27" s="9">
        <f>BL4/(1+$F$4)^BL$1+BK27</f>
        <v>165234629.96463728</v>
      </c>
      <c r="BM27" s="9">
        <f>BM4/(1+$F$4)^BM$1+BL27</f>
        <v>165234629.96463728</v>
      </c>
      <c r="BN27" s="9">
        <f>BN4/(1+$F$4)^BN$1+BM27</f>
        <v>165234629.96463728</v>
      </c>
      <c r="BO27" s="9">
        <f>BO4/(1+$F$4)^BO$1+BN27</f>
        <v>165234629.96463728</v>
      </c>
      <c r="BP27" s="9">
        <f>BP4/(1+$F$4)^BP$1+BO27</f>
        <v>165234629.96463728</v>
      </c>
      <c r="BQ27" s="9">
        <f>BQ4/(1+$F$4)^BQ$1+BP27</f>
        <v>165234629.96463728</v>
      </c>
      <c r="BR27" s="9">
        <f>BR4/(1+$F$4)^BR$1+BQ27</f>
        <v>165234629.96463728</v>
      </c>
      <c r="BS27" s="9">
        <f>BS4/(1+$F$4)^BS$1+BR27</f>
        <v>165234629.96463728</v>
      </c>
      <c r="BT27" s="9">
        <f>BT4/(1+$F$4)^BT$1+BS27</f>
        <v>165234629.96463728</v>
      </c>
    </row>
    <row r="28" hidden="1">
      <c r="A28" s="2" t="inlineStr">
        <is>
          <t>Discounted crossing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>
        <f>0</f>
        <v>0</v>
      </c>
      <c r="M28" s="3">
        <f>IF(AND(M$1&gt;Inputs!$B$6,M27&gt;=0,L27&lt;0),M$1-1-L27/(M4/(1+$F$4)^M$1),0)</f>
        <v>0</v>
      </c>
      <c r="N28" s="3">
        <f>IF(AND(N$1&gt;Inputs!$B$6,N27&gt;=0,M27&lt;0),N$1-1-M27/(N4/(1+$F$4)^N$1),0)</f>
        <v>0</v>
      </c>
      <c r="O28" s="3">
        <f>IF(AND(O$1&gt;Inputs!$B$6,O27&gt;=0,N27&lt;0),O$1-1-N27/(O4/(1+$F$4)^O$1),0)</f>
        <v>0</v>
      </c>
      <c r="P28" s="3">
        <f>IF(AND(P$1&gt;Inputs!$B$6,P27&gt;=0,O27&lt;0),P$1-1-O27/(P4/(1+$F$4)^P$1),0)</f>
        <v>0</v>
      </c>
      <c r="Q28" s="3">
        <f>IF(AND(Q$1&gt;Inputs!$B$6,Q27&gt;=0,P27&lt;0),Q$1-1-P27/(Q4/(1+$F$4)^Q$1),0)</f>
        <v>0</v>
      </c>
      <c r="R28" s="3">
        <f>IF(AND(R$1&gt;Inputs!$B$6,R27&gt;=0,Q27&lt;0),R$1-1-Q27/(R4/(1+$F$4)^R$1),0)</f>
        <v>0</v>
      </c>
      <c r="S28" s="3">
        <f>IF(AND(S$1&gt;Inputs!$B$6,S27&gt;=0,R27&lt;0),S$1-1-R27/(S4/(1+$F$4)^S$1),0)</f>
        <v>6.933069234702369</v>
      </c>
      <c r="T28" s="3">
        <f>IF(AND(T$1&gt;Inputs!$B$6,T27&gt;=0,S27&lt;0),T$1-1-S27/(T4/(1+$F$4)^T$1),0)</f>
        <v>0</v>
      </c>
      <c r="U28" s="3">
        <f>IF(AND(U$1&gt;Inputs!$B$6,U27&gt;=0,T27&lt;0),U$1-1-T27/(U4/(1+$F$4)^U$1),0)</f>
        <v>0</v>
      </c>
      <c r="V28" s="3">
        <f>IF(AND(V$1&gt;Inputs!$B$6,V27&gt;=0,U27&lt;0),V$1-1-U27/(V4/(1+$F$4)^V$1),0)</f>
        <v>0</v>
      </c>
      <c r="W28" s="3">
        <f>IF(AND(W$1&gt;Inputs!$B$6,W27&gt;=0,V27&lt;0),W$1-1-V27/(W4/(1+$F$4)^W$1),0)</f>
        <v>0</v>
      </c>
      <c r="X28" s="3">
        <f>IF(AND(X$1&gt;Inputs!$B$6,X27&gt;=0,W27&lt;0),X$1-1-W27/(X4/(1+$F$4)^X$1),0)</f>
        <v>0</v>
      </c>
      <c r="Y28" s="3">
        <f>IF(AND(Y$1&gt;Inputs!$B$6,Y27&gt;=0,X27&lt;0),Y$1-1-X27/(Y4/(1+$F$4)^Y$1),0)</f>
        <v>0</v>
      </c>
      <c r="Z28" s="3">
        <f>IF(AND(Z$1&gt;Inputs!$B$6,Z27&gt;=0,Y27&lt;0),Z$1-1-Y27/(Z4/(1+$F$4)^Z$1),0)</f>
        <v>0</v>
      </c>
      <c r="AA28" s="3">
        <f>IF(AND(AA$1&gt;Inputs!$B$6,AA27&gt;=0,Z27&lt;0),AA$1-1-Z27/(AA4/(1+$F$4)^AA$1),0)</f>
        <v>0</v>
      </c>
      <c r="AB28" s="3">
        <f>IF(AND(AB$1&gt;Inputs!$B$6,AB27&gt;=0,AA27&lt;0),AB$1-1-AA27/(AB4/(1+$F$4)^AB$1),0)</f>
        <v>0</v>
      </c>
      <c r="AC28" s="3">
        <f>IF(AND(AC$1&gt;Inputs!$B$6,AC27&gt;=0,AB27&lt;0),AC$1-1-AB27/(AC4/(1+$F$4)^AC$1),0)</f>
        <v>0</v>
      </c>
      <c r="AD28" s="3">
        <f>IF(AND(AD$1&gt;Inputs!$B$6,AD27&gt;=0,AC27&lt;0),AD$1-1-AC27/(AD4/(1+$F$4)^AD$1),0)</f>
        <v>0</v>
      </c>
      <c r="AE28" s="3">
        <f>IF(AND(AE$1&gt;Inputs!$B$6,AE27&gt;=0,AD27&lt;0),AE$1-1-AD27/(AE4/(1+$F$4)^AE$1),0)</f>
        <v>0</v>
      </c>
      <c r="AF28" s="3">
        <f>IF(AND(AF$1&gt;Inputs!$B$6,AF27&gt;=0,AE27&lt;0),AF$1-1-AE27/(AF4/(1+$F$4)^AF$1),0)</f>
        <v>0</v>
      </c>
      <c r="AG28" s="3">
        <f>IF(AND(AG$1&gt;Inputs!$B$6,AG27&gt;=0,AF27&lt;0),AG$1-1-AF27/(AG4/(1+$F$4)^AG$1),0)</f>
        <v>0</v>
      </c>
      <c r="AH28" s="3">
        <f>IF(AND(AH$1&gt;Inputs!$B$6,AH27&gt;=0,AG27&lt;0),AH$1-1-AG27/(AH4/(1+$F$4)^AH$1),0)</f>
        <v>0</v>
      </c>
      <c r="AI28" s="3">
        <f>IF(AND(AI$1&gt;Inputs!$B$6,AI27&gt;=0,AH27&lt;0),AI$1-1-AH27/(AI4/(1+$F$4)^AI$1),0)</f>
        <v>0</v>
      </c>
      <c r="AJ28" s="3">
        <f>IF(AND(AJ$1&gt;Inputs!$B$6,AJ27&gt;=0,AI27&lt;0),AJ$1-1-AI27/(AJ4/(1+$F$4)^AJ$1),0)</f>
        <v>0</v>
      </c>
      <c r="AK28" s="3">
        <f>IF(AND(AK$1&gt;Inputs!$B$6,AK27&gt;=0,AJ27&lt;0),AK$1-1-AJ27/(AK4/(1+$F$4)^AK$1),0)</f>
        <v>0</v>
      </c>
      <c r="AL28" s="3">
        <f>IF(AND(AL$1&gt;Inputs!$B$6,AL27&gt;=0,AK27&lt;0),AL$1-1-AK27/(AL4/(1+$F$4)^AL$1),0)</f>
        <v>0</v>
      </c>
      <c r="AM28" s="3">
        <f>IF(AND(AM$1&gt;Inputs!$B$6,AM27&gt;=0,AL27&lt;0),AM$1-1-AL27/(AM4/(1+$F$4)^AM$1),0)</f>
        <v>0</v>
      </c>
      <c r="AN28" s="3">
        <f>IF(AND(AN$1&gt;Inputs!$B$6,AN27&gt;=0,AM27&lt;0),AN$1-1-AM27/(AN4/(1+$F$4)^AN$1),0)</f>
        <v>0</v>
      </c>
      <c r="AO28" s="3">
        <f>IF(AND(AO$1&gt;Inputs!$B$6,AO27&gt;=0,AN27&lt;0),AO$1-1-AN27/(AO4/(1+$F$4)^AO$1),0)</f>
        <v>0</v>
      </c>
      <c r="AP28" s="3">
        <f>IF(AND(AP$1&gt;Inputs!$B$6,AP27&gt;=0,AO27&lt;0),AP$1-1-AO27/(AP4/(1+$F$4)^AP$1),0)</f>
        <v>0</v>
      </c>
      <c r="AQ28" s="3">
        <f>IF(AND(AQ$1&gt;Inputs!$B$6,AQ27&gt;=0,AP27&lt;0),AQ$1-1-AP27/(AQ4/(1+$F$4)^AQ$1),0)</f>
        <v>0</v>
      </c>
      <c r="AR28" s="3">
        <f>IF(AND(AR$1&gt;Inputs!$B$6,AR27&gt;=0,AQ27&lt;0),AR$1-1-AQ27/(AR4/(1+$F$4)^AR$1),0)</f>
        <v>0</v>
      </c>
      <c r="AS28" s="3">
        <f>IF(AND(AS$1&gt;Inputs!$B$6,AS27&gt;=0,AR27&lt;0),AS$1-1-AR27/(AS4/(1+$F$4)^AS$1),0)</f>
        <v>0</v>
      </c>
      <c r="AT28" s="3">
        <f>IF(AND(AT$1&gt;Inputs!$B$6,AT27&gt;=0,AS27&lt;0),AT$1-1-AS27/(AT4/(1+$F$4)^AT$1),0)</f>
        <v>0</v>
      </c>
      <c r="AU28" s="3">
        <f>IF(AND(AU$1&gt;Inputs!$B$6,AU27&gt;=0,AT27&lt;0),AU$1-1-AT27/(AU4/(1+$F$4)^AU$1),0)</f>
        <v>0</v>
      </c>
      <c r="AV28" s="3">
        <f>IF(AND(AV$1&gt;Inputs!$B$6,AV27&gt;=0,AU27&lt;0),AV$1-1-AU27/(AV4/(1+$F$4)^AV$1),0)</f>
        <v>0</v>
      </c>
      <c r="AW28" s="3">
        <f>IF(AND(AW$1&gt;Inputs!$B$6,AW27&gt;=0,AV27&lt;0),AW$1-1-AV27/(AW4/(1+$F$4)^AW$1),0)</f>
        <v>0</v>
      </c>
      <c r="AX28" s="3">
        <f>IF(AND(AX$1&gt;Inputs!$B$6,AX27&gt;=0,AW27&lt;0),AX$1-1-AW27/(AX4/(1+$F$4)^AX$1),0)</f>
        <v>0</v>
      </c>
      <c r="AY28" s="3">
        <f>IF(AND(AY$1&gt;Inputs!$B$6,AY27&gt;=0,AX27&lt;0),AY$1-1-AX27/(AY4/(1+$F$4)^AY$1),0)</f>
        <v>0</v>
      </c>
      <c r="AZ28" s="3">
        <f>IF(AND(AZ$1&gt;Inputs!$B$6,AZ27&gt;=0,AY27&lt;0),AZ$1-1-AY27/(AZ4/(1+$F$4)^AZ$1),0)</f>
        <v>0</v>
      </c>
      <c r="BA28" s="3">
        <f>IF(AND(BA$1&gt;Inputs!$B$6,BA27&gt;=0,AZ27&lt;0),BA$1-1-AZ27/(BA4/(1+$F$4)^BA$1),0)</f>
        <v>0</v>
      </c>
      <c r="BB28" s="3">
        <f>IF(AND(BB$1&gt;Inputs!$B$6,BB27&gt;=0,BA27&lt;0),BB$1-1-BA27/(BB4/(1+$F$4)^BB$1),0)</f>
        <v>0</v>
      </c>
      <c r="BC28" s="3">
        <f>IF(AND(BC$1&gt;Inputs!$B$6,BC27&gt;=0,BB27&lt;0),BC$1-1-BB27/(BC4/(1+$F$4)^BC$1),0)</f>
        <v>0</v>
      </c>
      <c r="BD28" s="3">
        <f>IF(AND(BD$1&gt;Inputs!$B$6,BD27&gt;=0,BC27&lt;0),BD$1-1-BC27/(BD4/(1+$F$4)^BD$1),0)</f>
        <v>0</v>
      </c>
      <c r="BE28" s="3">
        <f>IF(AND(BE$1&gt;Inputs!$B$6,BE27&gt;=0,BD27&lt;0),BE$1-1-BD27/(BE4/(1+$F$4)^BE$1),0)</f>
        <v>0</v>
      </c>
      <c r="BF28" s="3">
        <f>IF(AND(BF$1&gt;Inputs!$B$6,BF27&gt;=0,BE27&lt;0),BF$1-1-BE27/(BF4/(1+$F$4)^BF$1),0)</f>
        <v>0</v>
      </c>
      <c r="BG28" s="3">
        <f>IF(AND(BG$1&gt;Inputs!$B$6,BG27&gt;=0,BF27&lt;0),BG$1-1-BF27/(BG4/(1+$F$4)^BG$1),0)</f>
        <v>0</v>
      </c>
      <c r="BH28" s="3">
        <f>IF(AND(BH$1&gt;Inputs!$B$6,BH27&gt;=0,BG27&lt;0),BH$1-1-BG27/(BH4/(1+$F$4)^BH$1),0)</f>
        <v>0</v>
      </c>
      <c r="BI28" s="3">
        <f>IF(AND(BI$1&gt;Inputs!$B$6,BI27&gt;=0,BH27&lt;0),BI$1-1-BH27/(BI4/(1+$F$4)^BI$1),0)</f>
        <v>0</v>
      </c>
      <c r="BJ28" s="3">
        <f>IF(AND(BJ$1&gt;Inputs!$B$6,BJ27&gt;=0,BI27&lt;0),BJ$1-1-BI27/(BJ4/(1+$F$4)^BJ$1),0)</f>
        <v>0</v>
      </c>
      <c r="BK28" s="3">
        <f>IF(AND(BK$1&gt;Inputs!$B$6,BK27&gt;=0,BJ27&lt;0),BK$1-1-BJ27/(BK4/(1+$F$4)^BK$1),0)</f>
        <v>0</v>
      </c>
      <c r="BL28" s="3">
        <f>IF(AND(BL$1&gt;Inputs!$B$6,BL27&gt;=0,BK27&lt;0),BL$1-1-BK27/(BL4/(1+$F$4)^BL$1),0)</f>
        <v>0</v>
      </c>
      <c r="BM28" s="3">
        <f>IF(AND(BM$1&gt;Inputs!$B$6,BM27&gt;=0,BL27&lt;0),BM$1-1-BL27/(BM4/(1+$F$4)^BM$1),0)</f>
        <v>0</v>
      </c>
      <c r="BN28" s="3">
        <f>IF(AND(BN$1&gt;Inputs!$B$6,BN27&gt;=0,BM27&lt;0),BN$1-1-BM27/(BN4/(1+$F$4)^BN$1),0)</f>
        <v>0</v>
      </c>
      <c r="BO28" s="3">
        <f>IF(AND(BO$1&gt;Inputs!$B$6,BO27&gt;=0,BN27&lt;0),BO$1-1-BN27/(BO4/(1+$F$4)^BO$1),0)</f>
        <v>0</v>
      </c>
      <c r="BP28" s="3">
        <f>IF(AND(BP$1&gt;Inputs!$B$6,BP27&gt;=0,BO27&lt;0),BP$1-1-BO27/(BP4/(1+$F$4)^BP$1),0)</f>
        <v>0</v>
      </c>
      <c r="BQ28" s="3">
        <f>IF(AND(BQ$1&gt;Inputs!$B$6,BQ27&gt;=0,BP27&lt;0),BQ$1-1-BP27/(BQ4/(1+$F$4)^BQ$1),0)</f>
        <v>0</v>
      </c>
      <c r="BR28" s="3">
        <f>IF(AND(BR$1&gt;Inputs!$B$6,BR27&gt;=0,BQ27&lt;0),BR$1-1-BQ27/(BR4/(1+$F$4)^BR$1),0)</f>
        <v>0</v>
      </c>
      <c r="BS28" s="3">
        <f>IF(AND(BS$1&gt;Inputs!$B$6,BS27&gt;=0,BR27&lt;0),BS$1-1-BR27/(BS4/(1+$F$4)^BS$1),0)</f>
        <v>0</v>
      </c>
      <c r="BT28" s="3">
        <f>IF(AND(BT$1&gt;Inputs!$B$6,BT27&gt;=0,BS27&lt;0),BT$1-1-BS27/(BT4/(1+$F$4)^BT$1),0)</f>
        <v>0</v>
      </c>
    </row>
    <row r="29" hidden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</row>
    <row r="30" hidden="1">
      <c r="A30" s="2" t="inlineStr">
        <is>
          <t>Project risk +4 percentage points | cumulative CF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>
        <f>SUM($L5:L5)</f>
        <v>-7500000.0</v>
      </c>
      <c r="M30" s="3">
        <f>SUM($L5:M5)</f>
        <v>-15000000.0</v>
      </c>
      <c r="N30" s="3">
        <f>SUM($L5:N5)</f>
        <v>-15000000.0</v>
      </c>
      <c r="O30" s="3">
        <f>SUM($L5:O5)</f>
        <v>-8331000.0</v>
      </c>
      <c r="P30" s="3">
        <f>SUM($L5:P5)</f>
        <v>-1328550.0</v>
      </c>
      <c r="Q30" s="3">
        <f>SUM($L5:Q5)</f>
        <v>6024022.5</v>
      </c>
      <c r="R30" s="3">
        <f>SUM($L5:R5)</f>
        <v>13744223.625000004</v>
      </c>
      <c r="S30" s="3">
        <f>SUM($L5:S5)</f>
        <v>21850434.806250006</v>
      </c>
      <c r="T30" s="3">
        <f>SUM($L5:T5)</f>
        <v>30361956.546562508</v>
      </c>
      <c r="U30" s="3">
        <f>SUM($L5:U5)</f>
        <v>39299054.37389064</v>
      </c>
      <c r="V30" s="3">
        <f>SUM($L5:V5)</f>
        <v>48683007.092585176</v>
      </c>
      <c r="W30" s="3">
        <f>SUM($L5:W5)</f>
        <v>58536157.44721444</v>
      </c>
      <c r="X30" s="3">
        <f>SUM($L5:X5)</f>
        <v>68881965.31957516</v>
      </c>
      <c r="Y30" s="3">
        <f>SUM($L5:Y5)</f>
        <v>79745063.58555391</v>
      </c>
      <c r="Z30" s="3">
        <f>SUM($L5:Z5)</f>
        <v>91151316.76483162</v>
      </c>
      <c r="AA30" s="3">
        <f>SUM($L5:AA5)</f>
        <v>103127882.60307321</v>
      </c>
      <c r="AB30" s="3">
        <f>SUM($L5:AB5)</f>
        <v>115703276.73322688</v>
      </c>
      <c r="AC30" s="3">
        <f>SUM($L5:AC5)</f>
        <v>128907440.56988823</v>
      </c>
      <c r="AD30" s="3">
        <f>SUM($L5:AD5)</f>
        <v>142771812.59838265</v>
      </c>
      <c r="AE30" s="3">
        <f>SUM($L5:AE5)</f>
        <v>157329403.2283018</v>
      </c>
      <c r="AF30" s="3">
        <f>SUM($L5:AF5)</f>
        <v>172614873.3897169</v>
      </c>
      <c r="AG30" s="3">
        <f>SUM($L5:AG5)</f>
        <v>188664617.05920273</v>
      </c>
      <c r="AH30" s="3">
        <f>SUM($L5:AH5)</f>
        <v>205516847.91216287</v>
      </c>
      <c r="AI30" s="3">
        <f>SUM($L5:AI5)</f>
        <v>223211690.30777103</v>
      </c>
      <c r="AJ30" s="3">
        <f>SUM($L5:AJ5)</f>
        <v>241791274.82315958</v>
      </c>
      <c r="AK30" s="3">
        <f>SUM($L5:AK5)</f>
        <v>261299838.56431755</v>
      </c>
      <c r="AL30" s="3">
        <f>SUM($L5:AL5)</f>
        <v>281783830.49253345</v>
      </c>
      <c r="AM30" s="3">
        <f>SUM($L5:AM5)</f>
        <v>303292022.0171601</v>
      </c>
      <c r="AN30" s="3">
        <f>SUM($L5:AN5)</f>
        <v>325875623.11801815</v>
      </c>
      <c r="AO30" s="3">
        <f>SUM($L5:AO5)</f>
        <v>349588404.2739191</v>
      </c>
      <c r="AP30" s="3">
        <f>SUM($L5:AP5)</f>
        <v>374486824.4876151</v>
      </c>
      <c r="AQ30" s="3">
        <f>SUM($L5:AQ5)</f>
        <v>400630165.7119959</v>
      </c>
      <c r="AR30" s="3">
        <f>SUM($L5:AR5)</f>
        <v>428080673.9975957</v>
      </c>
      <c r="AS30" s="3">
        <f>SUM($L5:AS5)</f>
        <v>428080673.9975957</v>
      </c>
      <c r="AT30" s="3">
        <f>SUM($L5:AT5)</f>
        <v>428080673.9975957</v>
      </c>
      <c r="AU30" s="3">
        <f>SUM($L5:AU5)</f>
        <v>428080673.9975957</v>
      </c>
      <c r="AV30" s="3">
        <f>SUM($L5:AV5)</f>
        <v>428080673.9975957</v>
      </c>
      <c r="AW30" s="3">
        <f>SUM($L5:AW5)</f>
        <v>428080673.9975957</v>
      </c>
      <c r="AX30" s="3">
        <f>SUM($L5:AX5)</f>
        <v>428080673.9975957</v>
      </c>
      <c r="AY30" s="3">
        <f>SUM($L5:AY5)</f>
        <v>428080673.9975957</v>
      </c>
      <c r="AZ30" s="3">
        <f>SUM($L5:AZ5)</f>
        <v>428080673.9975957</v>
      </c>
      <c r="BA30" s="3">
        <f>SUM($L5:BA5)</f>
        <v>428080673.9975957</v>
      </c>
      <c r="BB30" s="3">
        <f>SUM($L5:BB5)</f>
        <v>428080673.9975957</v>
      </c>
      <c r="BC30" s="3">
        <f>SUM($L5:BC5)</f>
        <v>428080673.9975957</v>
      </c>
      <c r="BD30" s="3">
        <f>SUM($L5:BD5)</f>
        <v>428080673.9975957</v>
      </c>
      <c r="BE30" s="3">
        <f>SUM($L5:BE5)</f>
        <v>428080673.9975957</v>
      </c>
      <c r="BF30" s="3">
        <f>SUM($L5:BF5)</f>
        <v>428080673.9975957</v>
      </c>
      <c r="BG30" s="3">
        <f>SUM($L5:BG5)</f>
        <v>428080673.9975957</v>
      </c>
      <c r="BH30" s="3">
        <f>SUM($L5:BH5)</f>
        <v>428080673.9975957</v>
      </c>
      <c r="BI30" s="3">
        <f>SUM($L5:BI5)</f>
        <v>428080673.9975957</v>
      </c>
      <c r="BJ30" s="3">
        <f>SUM($L5:BJ5)</f>
        <v>428080673.9975957</v>
      </c>
      <c r="BK30" s="3">
        <f>SUM($L5:BK5)</f>
        <v>428080673.9975957</v>
      </c>
      <c r="BL30" s="3">
        <f>SUM($L5:BL5)</f>
        <v>428080673.9975957</v>
      </c>
      <c r="BM30" s="3">
        <f>SUM($L5:BM5)</f>
        <v>428080673.9975957</v>
      </c>
      <c r="BN30" s="3">
        <f>SUM($L5:BN5)</f>
        <v>428080673.9975957</v>
      </c>
      <c r="BO30" s="3">
        <f>SUM($L5:BO5)</f>
        <v>428080673.9975957</v>
      </c>
      <c r="BP30" s="3">
        <f>SUM($L5:BP5)</f>
        <v>428080673.9975957</v>
      </c>
      <c r="BQ30" s="3">
        <f>SUM($L5:BQ5)</f>
        <v>428080673.9975957</v>
      </c>
      <c r="BR30" s="3">
        <f>SUM($L5:BR5)</f>
        <v>428080673.9975957</v>
      </c>
      <c r="BS30" s="3">
        <f>SUM($L5:BS5)</f>
        <v>428080673.9975957</v>
      </c>
      <c r="BT30" s="3">
        <f>SUM($L5:BT5)</f>
        <v>428080673.9975957</v>
      </c>
    </row>
    <row r="31" hidden="1">
      <c r="A31" s="4" t="inlineStr">
        <is>
          <t>Payback crossing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9">
        <f>0</f>
        <v>0</v>
      </c>
      <c r="M31" s="9">
        <f>IF(AND(M$1&gt;Inputs!$B$6,M30&gt;=0,L30&lt;0),M$1-1-L30/M5,0)</f>
        <v>0</v>
      </c>
      <c r="N31" s="9">
        <f>IF(AND(N$1&gt;Inputs!$B$6,N30&gt;=0,M30&lt;0),N$1-1-M30/N5,0)</f>
        <v>0</v>
      </c>
      <c r="O31" s="9">
        <f>IF(AND(O$1&gt;Inputs!$B$6,O30&gt;=0,N30&lt;0),O$1-1-N30/O5,0)</f>
        <v>0</v>
      </c>
      <c r="P31" s="9">
        <f>IF(AND(P$1&gt;Inputs!$B$6,P30&gt;=0,O30&lt;0),P$1-1-O30/P5,0)</f>
        <v>0</v>
      </c>
      <c r="Q31" s="9">
        <f>IF(AND(Q$1&gt;Inputs!$B$6,Q30&gt;=0,P30&lt;0),Q$1-1-P30/Q5,0)</f>
        <v>4.180691859889855</v>
      </c>
      <c r="R31" s="9">
        <f>IF(AND(R$1&gt;Inputs!$B$6,R30&gt;=0,Q30&lt;0),R$1-1-Q30/R5,0)</f>
        <v>0</v>
      </c>
      <c r="S31" s="9">
        <f>IF(AND(S$1&gt;Inputs!$B$6,S30&gt;=0,R30&lt;0),S$1-1-R30/S5,0)</f>
        <v>0</v>
      </c>
      <c r="T31" s="9">
        <f>IF(AND(T$1&gt;Inputs!$B$6,T30&gt;=0,S30&lt;0),T$1-1-S30/T5,0)</f>
        <v>0</v>
      </c>
      <c r="U31" s="9">
        <f>IF(AND(U$1&gt;Inputs!$B$6,U30&gt;=0,T30&lt;0),U$1-1-T30/U5,0)</f>
        <v>0</v>
      </c>
      <c r="V31" s="9">
        <f>IF(AND(V$1&gt;Inputs!$B$6,V30&gt;=0,U30&lt;0),V$1-1-U30/V5,0)</f>
        <v>0</v>
      </c>
      <c r="W31" s="9">
        <f>IF(AND(W$1&gt;Inputs!$B$6,W30&gt;=0,V30&lt;0),W$1-1-V30/W5,0)</f>
        <v>0</v>
      </c>
      <c r="X31" s="9">
        <f>IF(AND(X$1&gt;Inputs!$B$6,X30&gt;=0,W30&lt;0),X$1-1-W30/X5,0)</f>
        <v>0</v>
      </c>
      <c r="Y31" s="9">
        <f>IF(AND(Y$1&gt;Inputs!$B$6,Y30&gt;=0,X30&lt;0),Y$1-1-X30/Y5,0)</f>
        <v>0</v>
      </c>
      <c r="Z31" s="9">
        <f>IF(AND(Z$1&gt;Inputs!$B$6,Z30&gt;=0,Y30&lt;0),Z$1-1-Y30/Z5,0)</f>
        <v>0</v>
      </c>
      <c r="AA31" s="9">
        <f>IF(AND(AA$1&gt;Inputs!$B$6,AA30&gt;=0,Z30&lt;0),AA$1-1-Z30/AA5,0)</f>
        <v>0</v>
      </c>
      <c r="AB31" s="9">
        <f>IF(AND(AB$1&gt;Inputs!$B$6,AB30&gt;=0,AA30&lt;0),AB$1-1-AA30/AB5,0)</f>
        <v>0</v>
      </c>
      <c r="AC31" s="9">
        <f>IF(AND(AC$1&gt;Inputs!$B$6,AC30&gt;=0,AB30&lt;0),AC$1-1-AB30/AC5,0)</f>
        <v>0</v>
      </c>
      <c r="AD31" s="9">
        <f>IF(AND(AD$1&gt;Inputs!$B$6,AD30&gt;=0,AC30&lt;0),AD$1-1-AC30/AD5,0)</f>
        <v>0</v>
      </c>
      <c r="AE31" s="9">
        <f>IF(AND(AE$1&gt;Inputs!$B$6,AE30&gt;=0,AD30&lt;0),AE$1-1-AD30/AE5,0)</f>
        <v>0</v>
      </c>
      <c r="AF31" s="9">
        <f>IF(AND(AF$1&gt;Inputs!$B$6,AF30&gt;=0,AE30&lt;0),AF$1-1-AE30/AF5,0)</f>
        <v>0</v>
      </c>
      <c r="AG31" s="9">
        <f>IF(AND(AG$1&gt;Inputs!$B$6,AG30&gt;=0,AF30&lt;0),AG$1-1-AF30/AG5,0)</f>
        <v>0</v>
      </c>
      <c r="AH31" s="9">
        <f>IF(AND(AH$1&gt;Inputs!$B$6,AH30&gt;=0,AG30&lt;0),AH$1-1-AG30/AH5,0)</f>
        <v>0</v>
      </c>
      <c r="AI31" s="9">
        <f>IF(AND(AI$1&gt;Inputs!$B$6,AI30&gt;=0,AH30&lt;0),AI$1-1-AH30/AI5,0)</f>
        <v>0</v>
      </c>
      <c r="AJ31" s="9">
        <f>IF(AND(AJ$1&gt;Inputs!$B$6,AJ30&gt;=0,AI30&lt;0),AJ$1-1-AI30/AJ5,0)</f>
        <v>0</v>
      </c>
      <c r="AK31" s="9">
        <f>IF(AND(AK$1&gt;Inputs!$B$6,AK30&gt;=0,AJ30&lt;0),AK$1-1-AJ30/AK5,0)</f>
        <v>0</v>
      </c>
      <c r="AL31" s="9">
        <f>IF(AND(AL$1&gt;Inputs!$B$6,AL30&gt;=0,AK30&lt;0),AL$1-1-AK30/AL5,0)</f>
        <v>0</v>
      </c>
      <c r="AM31" s="9">
        <f>IF(AND(AM$1&gt;Inputs!$B$6,AM30&gt;=0,AL30&lt;0),AM$1-1-AL30/AM5,0)</f>
        <v>0</v>
      </c>
      <c r="AN31" s="9">
        <f>IF(AND(AN$1&gt;Inputs!$B$6,AN30&gt;=0,AM30&lt;0),AN$1-1-AM30/AN5,0)</f>
        <v>0</v>
      </c>
      <c r="AO31" s="9">
        <f>IF(AND(AO$1&gt;Inputs!$B$6,AO30&gt;=0,AN30&lt;0),AO$1-1-AN30/AO5,0)</f>
        <v>0</v>
      </c>
      <c r="AP31" s="9">
        <f>IF(AND(AP$1&gt;Inputs!$B$6,AP30&gt;=0,AO30&lt;0),AP$1-1-AO30/AP5,0)</f>
        <v>0</v>
      </c>
      <c r="AQ31" s="9">
        <f>IF(AND(AQ$1&gt;Inputs!$B$6,AQ30&gt;=0,AP30&lt;0),AQ$1-1-AP30/AQ5,0)</f>
        <v>0</v>
      </c>
      <c r="AR31" s="9">
        <f>IF(AND(AR$1&gt;Inputs!$B$6,AR30&gt;=0,AQ30&lt;0),AR$1-1-AQ30/AR5,0)</f>
        <v>0</v>
      </c>
      <c r="AS31" s="9">
        <f>IF(AND(AS$1&gt;Inputs!$B$6,AS30&gt;=0,AR30&lt;0),AS$1-1-AR30/AS5,0)</f>
        <v>0</v>
      </c>
      <c r="AT31" s="9">
        <f>IF(AND(AT$1&gt;Inputs!$B$6,AT30&gt;=0,AS30&lt;0),AT$1-1-AS30/AT5,0)</f>
        <v>0</v>
      </c>
      <c r="AU31" s="9">
        <f>IF(AND(AU$1&gt;Inputs!$B$6,AU30&gt;=0,AT30&lt;0),AU$1-1-AT30/AU5,0)</f>
        <v>0</v>
      </c>
      <c r="AV31" s="9">
        <f>IF(AND(AV$1&gt;Inputs!$B$6,AV30&gt;=0,AU30&lt;0),AV$1-1-AU30/AV5,0)</f>
        <v>0</v>
      </c>
      <c r="AW31" s="9">
        <f>IF(AND(AW$1&gt;Inputs!$B$6,AW30&gt;=0,AV30&lt;0),AW$1-1-AV30/AW5,0)</f>
        <v>0</v>
      </c>
      <c r="AX31" s="9">
        <f>IF(AND(AX$1&gt;Inputs!$B$6,AX30&gt;=0,AW30&lt;0),AX$1-1-AW30/AX5,0)</f>
        <v>0</v>
      </c>
      <c r="AY31" s="9">
        <f>IF(AND(AY$1&gt;Inputs!$B$6,AY30&gt;=0,AX30&lt;0),AY$1-1-AX30/AY5,0)</f>
        <v>0</v>
      </c>
      <c r="AZ31" s="9">
        <f>IF(AND(AZ$1&gt;Inputs!$B$6,AZ30&gt;=0,AY30&lt;0),AZ$1-1-AY30/AZ5,0)</f>
        <v>0</v>
      </c>
      <c r="BA31" s="9">
        <f>IF(AND(BA$1&gt;Inputs!$B$6,BA30&gt;=0,AZ30&lt;0),BA$1-1-AZ30/BA5,0)</f>
        <v>0</v>
      </c>
      <c r="BB31" s="9">
        <f>IF(AND(BB$1&gt;Inputs!$B$6,BB30&gt;=0,BA30&lt;0),BB$1-1-BA30/BB5,0)</f>
        <v>0</v>
      </c>
      <c r="BC31" s="9">
        <f>IF(AND(BC$1&gt;Inputs!$B$6,BC30&gt;=0,BB30&lt;0),BC$1-1-BB30/BC5,0)</f>
        <v>0</v>
      </c>
      <c r="BD31" s="9">
        <f>IF(AND(BD$1&gt;Inputs!$B$6,BD30&gt;=0,BC30&lt;0),BD$1-1-BC30/BD5,0)</f>
        <v>0</v>
      </c>
      <c r="BE31" s="9">
        <f>IF(AND(BE$1&gt;Inputs!$B$6,BE30&gt;=0,BD30&lt;0),BE$1-1-BD30/BE5,0)</f>
        <v>0</v>
      </c>
      <c r="BF31" s="9">
        <f>IF(AND(BF$1&gt;Inputs!$B$6,BF30&gt;=0,BE30&lt;0),BF$1-1-BE30/BF5,0)</f>
        <v>0</v>
      </c>
      <c r="BG31" s="9">
        <f>IF(AND(BG$1&gt;Inputs!$B$6,BG30&gt;=0,BF30&lt;0),BG$1-1-BF30/BG5,0)</f>
        <v>0</v>
      </c>
      <c r="BH31" s="9">
        <f>IF(AND(BH$1&gt;Inputs!$B$6,BH30&gt;=0,BG30&lt;0),BH$1-1-BG30/BH5,0)</f>
        <v>0</v>
      </c>
      <c r="BI31" s="9">
        <f>IF(AND(BI$1&gt;Inputs!$B$6,BI30&gt;=0,BH30&lt;0),BI$1-1-BH30/BI5,0)</f>
        <v>0</v>
      </c>
      <c r="BJ31" s="9">
        <f>IF(AND(BJ$1&gt;Inputs!$B$6,BJ30&gt;=0,BI30&lt;0),BJ$1-1-BI30/BJ5,0)</f>
        <v>0</v>
      </c>
      <c r="BK31" s="9">
        <f>IF(AND(BK$1&gt;Inputs!$B$6,BK30&gt;=0,BJ30&lt;0),BK$1-1-BJ30/BK5,0)</f>
        <v>0</v>
      </c>
      <c r="BL31" s="9">
        <f>IF(AND(BL$1&gt;Inputs!$B$6,BL30&gt;=0,BK30&lt;0),BL$1-1-BK30/BL5,0)</f>
        <v>0</v>
      </c>
      <c r="BM31" s="9">
        <f>IF(AND(BM$1&gt;Inputs!$B$6,BM30&gt;=0,BL30&lt;0),BM$1-1-BL30/BM5,0)</f>
        <v>0</v>
      </c>
      <c r="BN31" s="9">
        <f>IF(AND(BN$1&gt;Inputs!$B$6,BN30&gt;=0,BM30&lt;0),BN$1-1-BM30/BN5,0)</f>
        <v>0</v>
      </c>
      <c r="BO31" s="9">
        <f>IF(AND(BO$1&gt;Inputs!$B$6,BO30&gt;=0,BN30&lt;0),BO$1-1-BN30/BO5,0)</f>
        <v>0</v>
      </c>
      <c r="BP31" s="9">
        <f>IF(AND(BP$1&gt;Inputs!$B$6,BP30&gt;=0,BO30&lt;0),BP$1-1-BO30/BP5,0)</f>
        <v>0</v>
      </c>
      <c r="BQ31" s="9">
        <f>IF(AND(BQ$1&gt;Inputs!$B$6,BQ30&gt;=0,BP30&lt;0),BQ$1-1-BP30/BQ5,0)</f>
        <v>0</v>
      </c>
      <c r="BR31" s="9">
        <f>IF(AND(BR$1&gt;Inputs!$B$6,BR30&gt;=0,BQ30&lt;0),BR$1-1-BQ30/BR5,0)</f>
        <v>0</v>
      </c>
      <c r="BS31" s="9">
        <f>IF(AND(BS$1&gt;Inputs!$B$6,BS30&gt;=0,BR30&lt;0),BS$1-1-BR30/BS5,0)</f>
        <v>0</v>
      </c>
      <c r="BT31" s="9">
        <f>IF(AND(BT$1&gt;Inputs!$B$6,BT30&gt;=0,BS30&lt;0),BT$1-1-BS30/BT5,0)</f>
        <v>0</v>
      </c>
    </row>
    <row r="32" hidden="1">
      <c r="A32" s="2" t="inlineStr">
        <is>
          <t>Cumulative PV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>
        <f>L5/(1+$F$5)^L$1</f>
        <v>-7500000.0</v>
      </c>
      <c r="M32" s="3">
        <f>M5/(1+$F$5)^M$1+L32</f>
        <v>-14425207.756232686</v>
      </c>
      <c r="N32" s="3">
        <f>N5/(1+$F$5)^N$1+M32</f>
        <v>-14425207.756232686</v>
      </c>
      <c r="O32" s="3">
        <f>O5/(1+$F$5)^O$1+N32</f>
        <v>-9175013.801952183</v>
      </c>
      <c r="P32" s="3">
        <f>P5/(1+$F$5)^P$1+O32</f>
        <v>-4084798.0568048796</v>
      </c>
      <c r="Q32" s="3">
        <f>Q5/(1+$F$5)^Q$1+P32</f>
        <v>850314.1614819793</v>
      </c>
      <c r="R32" s="3">
        <f>R5/(1+$F$5)^R$1+Q32</f>
        <v>5635048.999156221</v>
      </c>
      <c r="S32" s="3">
        <f>S5/(1+$F$5)^S$1+R32</f>
        <v>10273988.592469197</v>
      </c>
      <c r="T32" s="3">
        <f>T5/(1+$F$5)^T$1+S32</f>
        <v>14771575.455792028</v>
      </c>
      <c r="U32" s="3">
        <f>U5/(1+$F$5)^U$1+T32</f>
        <v>19132116.73602192</v>
      </c>
      <c r="V32" s="3">
        <f>V5/(1+$F$5)^V$1+U32</f>
        <v>23359788.337352842</v>
      </c>
      <c r="W32" s="3">
        <f>W5/(1+$F$5)^W$1+V32</f>
        <v>27458638.920360662</v>
      </c>
      <c r="X32" s="3">
        <f>X5/(1+$F$5)^X$1+W32</f>
        <v>31432593.779232506</v>
      </c>
      <c r="Y32" s="3">
        <f>Y5/(1+$F$5)^Y$1+X32</f>
        <v>35285458.600853406</v>
      </c>
      <c r="Z32" s="3">
        <f>Z5/(1+$F$5)^Z$1+Y32</f>
        <v>39020923.10935013</v>
      </c>
      <c r="AA32" s="3">
        <f>AA5/(1+$F$5)^AA$1+Z32</f>
        <v>42642564.59958241</v>
      </c>
      <c r="AB32" s="3">
        <f>AB5/(1+$F$5)^AB$1+AA32</f>
        <v>46153851.36296551</v>
      </c>
      <c r="AC32" s="3">
        <f>AC5/(1+$F$5)^AC$1+AB32</f>
        <v>49558146.0089048</v>
      </c>
      <c r="AD32" s="3">
        <f>AD5/(1+$F$5)^AD$1+AC32</f>
        <v>52858708.685023226</v>
      </c>
      <c r="AE32" s="3">
        <f>AE5/(1+$F$5)^AE$1+AD32</f>
        <v>56058700.199265465</v>
      </c>
      <c r="AF32" s="3">
        <f>AF5/(1+$F$5)^AF$1+AE32</f>
        <v>59161185.04686875</v>
      </c>
      <c r="AG32" s="3">
        <f>AG5/(1+$F$5)^AG$1+AF32</f>
        <v>62169134.34509908</v>
      </c>
      <c r="AH32" s="3">
        <f>AH5/(1+$F$5)^AH$1+AG32</f>
        <v>65085428.678563386</v>
      </c>
      <c r="AI32" s="3">
        <f>AI5/(1+$F$5)^AI$1+AH32</f>
        <v>67912860.8578224</v>
      </c>
      <c r="AJ32" s="3">
        <f>AJ5/(1+$F$5)^AJ$1+AI32</f>
        <v>70654138.59394611</v>
      </c>
      <c r="AK32" s="3">
        <f>AK5/(1+$F$5)^AK$1+AJ32</f>
        <v>73311887.09157297</v>
      </c>
      <c r="AL32" s="3">
        <f>AL5/(1+$F$5)^AL$1+AK32</f>
        <v>75888651.56295636</v>
      </c>
      <c r="AM32" s="3">
        <f>AM5/(1+$F$5)^AM$1+AL32</f>
        <v>78386899.66540563</v>
      </c>
      <c r="AN32" s="3">
        <f>AN5/(1+$F$5)^AN$1+AM32</f>
        <v>80809023.86445616</v>
      </c>
      <c r="AO32" s="3">
        <f>AO5/(1+$F$5)^AO$1+AN32</f>
        <v>83157343.72503147</v>
      </c>
      <c r="AP32" s="3">
        <f>AP5/(1+$F$5)^AP$1+AO32</f>
        <v>85434108.13279146</v>
      </c>
      <c r="AQ32" s="3">
        <f>AQ5/(1+$F$5)^AQ$1+AP32</f>
        <v>87641497.44779423</v>
      </c>
      <c r="AR32" s="3">
        <f>AR5/(1+$F$5)^AR$1+AQ32</f>
        <v>89781625.59253375</v>
      </c>
      <c r="AS32" s="3">
        <f>AS5/(1+$F$5)^AS$1+AR32</f>
        <v>89781625.59253375</v>
      </c>
      <c r="AT32" s="3">
        <f>AT5/(1+$F$5)^AT$1+AS32</f>
        <v>89781625.59253375</v>
      </c>
      <c r="AU32" s="3">
        <f>AU5/(1+$F$5)^AU$1+AT32</f>
        <v>89781625.59253375</v>
      </c>
      <c r="AV32" s="3">
        <f>AV5/(1+$F$5)^AV$1+AU32</f>
        <v>89781625.59253375</v>
      </c>
      <c r="AW32" s="3">
        <f>AW5/(1+$F$5)^AW$1+AV32</f>
        <v>89781625.59253375</v>
      </c>
      <c r="AX32" s="3">
        <f>AX5/(1+$F$5)^AX$1+AW32</f>
        <v>89781625.59253375</v>
      </c>
      <c r="AY32" s="3">
        <f>AY5/(1+$F$5)^AY$1+AX32</f>
        <v>89781625.59253375</v>
      </c>
      <c r="AZ32" s="3">
        <f>AZ5/(1+$F$5)^AZ$1+AY32</f>
        <v>89781625.59253375</v>
      </c>
      <c r="BA32" s="3">
        <f>BA5/(1+$F$5)^BA$1+AZ32</f>
        <v>89781625.59253375</v>
      </c>
      <c r="BB32" s="3">
        <f>BB5/(1+$F$5)^BB$1+BA32</f>
        <v>89781625.59253375</v>
      </c>
      <c r="BC32" s="3">
        <f>BC5/(1+$F$5)^BC$1+BB32</f>
        <v>89781625.59253375</v>
      </c>
      <c r="BD32" s="3">
        <f>BD5/(1+$F$5)^BD$1+BC32</f>
        <v>89781625.59253375</v>
      </c>
      <c r="BE32" s="3">
        <f>BE5/(1+$F$5)^BE$1+BD32</f>
        <v>89781625.59253375</v>
      </c>
      <c r="BF32" s="3">
        <f>BF5/(1+$F$5)^BF$1+BE32</f>
        <v>89781625.59253375</v>
      </c>
      <c r="BG32" s="3">
        <f>BG5/(1+$F$5)^BG$1+BF32</f>
        <v>89781625.59253375</v>
      </c>
      <c r="BH32" s="3">
        <f>BH5/(1+$F$5)^BH$1+BG32</f>
        <v>89781625.59253375</v>
      </c>
      <c r="BI32" s="3">
        <f>BI5/(1+$F$5)^BI$1+BH32</f>
        <v>89781625.59253375</v>
      </c>
      <c r="BJ32" s="3">
        <f>BJ5/(1+$F$5)^BJ$1+BI32</f>
        <v>89781625.59253375</v>
      </c>
      <c r="BK32" s="3">
        <f>BK5/(1+$F$5)^BK$1+BJ32</f>
        <v>89781625.59253375</v>
      </c>
      <c r="BL32" s="3">
        <f>BL5/(1+$F$5)^BL$1+BK32</f>
        <v>89781625.59253375</v>
      </c>
      <c r="BM32" s="3">
        <f>BM5/(1+$F$5)^BM$1+BL32</f>
        <v>89781625.59253375</v>
      </c>
      <c r="BN32" s="3">
        <f>BN5/(1+$F$5)^BN$1+BM32</f>
        <v>89781625.59253375</v>
      </c>
      <c r="BO32" s="3">
        <f>BO5/(1+$F$5)^BO$1+BN32</f>
        <v>89781625.59253375</v>
      </c>
      <c r="BP32" s="3">
        <f>BP5/(1+$F$5)^BP$1+BO32</f>
        <v>89781625.59253375</v>
      </c>
      <c r="BQ32" s="3">
        <f>BQ5/(1+$F$5)^BQ$1+BP32</f>
        <v>89781625.59253375</v>
      </c>
      <c r="BR32" s="3">
        <f>BR5/(1+$F$5)^BR$1+BQ32</f>
        <v>89781625.59253375</v>
      </c>
      <c r="BS32" s="3">
        <f>BS5/(1+$F$5)^BS$1+BR32</f>
        <v>89781625.59253375</v>
      </c>
      <c r="BT32" s="3">
        <f>BT5/(1+$F$5)^BT$1+BS32</f>
        <v>89781625.59253375</v>
      </c>
    </row>
    <row r="33" hidden="1">
      <c r="A33" s="4" t="inlineStr">
        <is>
          <t>Discounted crossing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9">
        <f>0</f>
        <v>0</v>
      </c>
      <c r="M33" s="9">
        <f>IF(AND(M$1&gt;Inputs!$B$6,M32&gt;=0,L32&lt;0),M$1-1-L32/(M5/(1+$F$5)^M$1),0)</f>
        <v>0</v>
      </c>
      <c r="N33" s="9">
        <f>IF(AND(N$1&gt;Inputs!$B$6,N32&gt;=0,M32&lt;0),N$1-1-M32/(N5/(1+$F$5)^N$1),0)</f>
        <v>0</v>
      </c>
      <c r="O33" s="9">
        <f>IF(AND(O$1&gt;Inputs!$B$6,O32&gt;=0,N32&lt;0),O$1-1-N32/(O5/(1+$F$5)^O$1),0)</f>
        <v>0</v>
      </c>
      <c r="P33" s="9">
        <f>IF(AND(P$1&gt;Inputs!$B$6,P32&gt;=0,O32&lt;0),P$1-1-O32/(P5/(1+$F$5)^P$1),0)</f>
        <v>0</v>
      </c>
      <c r="Q33" s="9">
        <f>IF(AND(Q$1&gt;Inputs!$B$6,Q32&gt;=0,P32&lt;0),Q$1-1-P32/(Q5/(1+$F$5)^Q$1),0)</f>
        <v>4.82770114966562</v>
      </c>
      <c r="R33" s="9">
        <f>IF(AND(R$1&gt;Inputs!$B$6,R32&gt;=0,Q32&lt;0),R$1-1-Q32/(R5/(1+$F$5)^R$1),0)</f>
        <v>0</v>
      </c>
      <c r="S33" s="9">
        <f>IF(AND(S$1&gt;Inputs!$B$6,S32&gt;=0,R32&lt;0),S$1-1-R32/(S5/(1+$F$5)^S$1),0)</f>
        <v>0</v>
      </c>
      <c r="T33" s="9">
        <f>IF(AND(T$1&gt;Inputs!$B$6,T32&gt;=0,S32&lt;0),T$1-1-S32/(T5/(1+$F$5)^T$1),0)</f>
        <v>0</v>
      </c>
      <c r="U33" s="9">
        <f>IF(AND(U$1&gt;Inputs!$B$6,U32&gt;=0,T32&lt;0),U$1-1-T32/(U5/(1+$F$5)^U$1),0)</f>
        <v>0</v>
      </c>
      <c r="V33" s="9">
        <f>IF(AND(V$1&gt;Inputs!$B$6,V32&gt;=0,U32&lt;0),V$1-1-U32/(V5/(1+$F$5)^V$1),0)</f>
        <v>0</v>
      </c>
      <c r="W33" s="9">
        <f>IF(AND(W$1&gt;Inputs!$B$6,W32&gt;=0,V32&lt;0),W$1-1-V32/(W5/(1+$F$5)^W$1),0)</f>
        <v>0</v>
      </c>
      <c r="X33" s="9">
        <f>IF(AND(X$1&gt;Inputs!$B$6,X32&gt;=0,W32&lt;0),X$1-1-W32/(X5/(1+$F$5)^X$1),0)</f>
        <v>0</v>
      </c>
      <c r="Y33" s="9">
        <f>IF(AND(Y$1&gt;Inputs!$B$6,Y32&gt;=0,X32&lt;0),Y$1-1-X32/(Y5/(1+$F$5)^Y$1),0)</f>
        <v>0</v>
      </c>
      <c r="Z33" s="9">
        <f>IF(AND(Z$1&gt;Inputs!$B$6,Z32&gt;=0,Y32&lt;0),Z$1-1-Y32/(Z5/(1+$F$5)^Z$1),0)</f>
        <v>0</v>
      </c>
      <c r="AA33" s="9">
        <f>IF(AND(AA$1&gt;Inputs!$B$6,AA32&gt;=0,Z32&lt;0),AA$1-1-Z32/(AA5/(1+$F$5)^AA$1),0)</f>
        <v>0</v>
      </c>
      <c r="AB33" s="9">
        <f>IF(AND(AB$1&gt;Inputs!$B$6,AB32&gt;=0,AA32&lt;0),AB$1-1-AA32/(AB5/(1+$F$5)^AB$1),0)</f>
        <v>0</v>
      </c>
      <c r="AC33" s="9">
        <f>IF(AND(AC$1&gt;Inputs!$B$6,AC32&gt;=0,AB32&lt;0),AC$1-1-AB32/(AC5/(1+$F$5)^AC$1),0)</f>
        <v>0</v>
      </c>
      <c r="AD33" s="9">
        <f>IF(AND(AD$1&gt;Inputs!$B$6,AD32&gt;=0,AC32&lt;0),AD$1-1-AC32/(AD5/(1+$F$5)^AD$1),0)</f>
        <v>0</v>
      </c>
      <c r="AE33" s="9">
        <f>IF(AND(AE$1&gt;Inputs!$B$6,AE32&gt;=0,AD32&lt;0),AE$1-1-AD32/(AE5/(1+$F$5)^AE$1),0)</f>
        <v>0</v>
      </c>
      <c r="AF33" s="9">
        <f>IF(AND(AF$1&gt;Inputs!$B$6,AF32&gt;=0,AE32&lt;0),AF$1-1-AE32/(AF5/(1+$F$5)^AF$1),0)</f>
        <v>0</v>
      </c>
      <c r="AG33" s="9">
        <f>IF(AND(AG$1&gt;Inputs!$B$6,AG32&gt;=0,AF32&lt;0),AG$1-1-AF32/(AG5/(1+$F$5)^AG$1),0)</f>
        <v>0</v>
      </c>
      <c r="AH33" s="9">
        <f>IF(AND(AH$1&gt;Inputs!$B$6,AH32&gt;=0,AG32&lt;0),AH$1-1-AG32/(AH5/(1+$F$5)^AH$1),0)</f>
        <v>0</v>
      </c>
      <c r="AI33" s="9">
        <f>IF(AND(AI$1&gt;Inputs!$B$6,AI32&gt;=0,AH32&lt;0),AI$1-1-AH32/(AI5/(1+$F$5)^AI$1),0)</f>
        <v>0</v>
      </c>
      <c r="AJ33" s="9">
        <f>IF(AND(AJ$1&gt;Inputs!$B$6,AJ32&gt;=0,AI32&lt;0),AJ$1-1-AI32/(AJ5/(1+$F$5)^AJ$1),0)</f>
        <v>0</v>
      </c>
      <c r="AK33" s="9">
        <f>IF(AND(AK$1&gt;Inputs!$B$6,AK32&gt;=0,AJ32&lt;0),AK$1-1-AJ32/(AK5/(1+$F$5)^AK$1),0)</f>
        <v>0</v>
      </c>
      <c r="AL33" s="9">
        <f>IF(AND(AL$1&gt;Inputs!$B$6,AL32&gt;=0,AK32&lt;0),AL$1-1-AK32/(AL5/(1+$F$5)^AL$1),0)</f>
        <v>0</v>
      </c>
      <c r="AM33" s="9">
        <f>IF(AND(AM$1&gt;Inputs!$B$6,AM32&gt;=0,AL32&lt;0),AM$1-1-AL32/(AM5/(1+$F$5)^AM$1),0)</f>
        <v>0</v>
      </c>
      <c r="AN33" s="9">
        <f>IF(AND(AN$1&gt;Inputs!$B$6,AN32&gt;=0,AM32&lt;0),AN$1-1-AM32/(AN5/(1+$F$5)^AN$1),0)</f>
        <v>0</v>
      </c>
      <c r="AO33" s="9">
        <f>IF(AND(AO$1&gt;Inputs!$B$6,AO32&gt;=0,AN32&lt;0),AO$1-1-AN32/(AO5/(1+$F$5)^AO$1),0)</f>
        <v>0</v>
      </c>
      <c r="AP33" s="9">
        <f>IF(AND(AP$1&gt;Inputs!$B$6,AP32&gt;=0,AO32&lt;0),AP$1-1-AO32/(AP5/(1+$F$5)^AP$1),0)</f>
        <v>0</v>
      </c>
      <c r="AQ33" s="9">
        <f>IF(AND(AQ$1&gt;Inputs!$B$6,AQ32&gt;=0,AP32&lt;0),AQ$1-1-AP32/(AQ5/(1+$F$5)^AQ$1),0)</f>
        <v>0</v>
      </c>
      <c r="AR33" s="9">
        <f>IF(AND(AR$1&gt;Inputs!$B$6,AR32&gt;=0,AQ32&lt;0),AR$1-1-AQ32/(AR5/(1+$F$5)^AR$1),0)</f>
        <v>0</v>
      </c>
      <c r="AS33" s="9">
        <f>IF(AND(AS$1&gt;Inputs!$B$6,AS32&gt;=0,AR32&lt;0),AS$1-1-AR32/(AS5/(1+$F$5)^AS$1),0)</f>
        <v>0</v>
      </c>
      <c r="AT33" s="9">
        <f>IF(AND(AT$1&gt;Inputs!$B$6,AT32&gt;=0,AS32&lt;0),AT$1-1-AS32/(AT5/(1+$F$5)^AT$1),0)</f>
        <v>0</v>
      </c>
      <c r="AU33" s="9">
        <f>IF(AND(AU$1&gt;Inputs!$B$6,AU32&gt;=0,AT32&lt;0),AU$1-1-AT32/(AU5/(1+$F$5)^AU$1),0)</f>
        <v>0</v>
      </c>
      <c r="AV33" s="9">
        <f>IF(AND(AV$1&gt;Inputs!$B$6,AV32&gt;=0,AU32&lt;0),AV$1-1-AU32/(AV5/(1+$F$5)^AV$1),0)</f>
        <v>0</v>
      </c>
      <c r="AW33" s="9">
        <f>IF(AND(AW$1&gt;Inputs!$B$6,AW32&gt;=0,AV32&lt;0),AW$1-1-AV32/(AW5/(1+$F$5)^AW$1),0)</f>
        <v>0</v>
      </c>
      <c r="AX33" s="9">
        <f>IF(AND(AX$1&gt;Inputs!$B$6,AX32&gt;=0,AW32&lt;0),AX$1-1-AW32/(AX5/(1+$F$5)^AX$1),0)</f>
        <v>0</v>
      </c>
      <c r="AY33" s="9">
        <f>IF(AND(AY$1&gt;Inputs!$B$6,AY32&gt;=0,AX32&lt;0),AY$1-1-AX32/(AY5/(1+$F$5)^AY$1),0)</f>
        <v>0</v>
      </c>
      <c r="AZ33" s="9">
        <f>IF(AND(AZ$1&gt;Inputs!$B$6,AZ32&gt;=0,AY32&lt;0),AZ$1-1-AY32/(AZ5/(1+$F$5)^AZ$1),0)</f>
        <v>0</v>
      </c>
      <c r="BA33" s="9">
        <f>IF(AND(BA$1&gt;Inputs!$B$6,BA32&gt;=0,AZ32&lt;0),BA$1-1-AZ32/(BA5/(1+$F$5)^BA$1),0)</f>
        <v>0</v>
      </c>
      <c r="BB33" s="9">
        <f>IF(AND(BB$1&gt;Inputs!$B$6,BB32&gt;=0,BA32&lt;0),BB$1-1-BA32/(BB5/(1+$F$5)^BB$1),0)</f>
        <v>0</v>
      </c>
      <c r="BC33" s="9">
        <f>IF(AND(BC$1&gt;Inputs!$B$6,BC32&gt;=0,BB32&lt;0),BC$1-1-BB32/(BC5/(1+$F$5)^BC$1),0)</f>
        <v>0</v>
      </c>
      <c r="BD33" s="9">
        <f>IF(AND(BD$1&gt;Inputs!$B$6,BD32&gt;=0,BC32&lt;0),BD$1-1-BC32/(BD5/(1+$F$5)^BD$1),0)</f>
        <v>0</v>
      </c>
      <c r="BE33" s="9">
        <f>IF(AND(BE$1&gt;Inputs!$B$6,BE32&gt;=0,BD32&lt;0),BE$1-1-BD32/(BE5/(1+$F$5)^BE$1),0)</f>
        <v>0</v>
      </c>
      <c r="BF33" s="9">
        <f>IF(AND(BF$1&gt;Inputs!$B$6,BF32&gt;=0,BE32&lt;0),BF$1-1-BE32/(BF5/(1+$F$5)^BF$1),0)</f>
        <v>0</v>
      </c>
      <c r="BG33" s="9">
        <f>IF(AND(BG$1&gt;Inputs!$B$6,BG32&gt;=0,BF32&lt;0),BG$1-1-BF32/(BG5/(1+$F$5)^BG$1),0)</f>
        <v>0</v>
      </c>
      <c r="BH33" s="9">
        <f>IF(AND(BH$1&gt;Inputs!$B$6,BH32&gt;=0,BG32&lt;0),BH$1-1-BG32/(BH5/(1+$F$5)^BH$1),0)</f>
        <v>0</v>
      </c>
      <c r="BI33" s="9">
        <f>IF(AND(BI$1&gt;Inputs!$B$6,BI32&gt;=0,BH32&lt;0),BI$1-1-BH32/(BI5/(1+$F$5)^BI$1),0)</f>
        <v>0</v>
      </c>
      <c r="BJ33" s="9">
        <f>IF(AND(BJ$1&gt;Inputs!$B$6,BJ32&gt;=0,BI32&lt;0),BJ$1-1-BI32/(BJ5/(1+$F$5)^BJ$1),0)</f>
        <v>0</v>
      </c>
      <c r="BK33" s="9">
        <f>IF(AND(BK$1&gt;Inputs!$B$6,BK32&gt;=0,BJ32&lt;0),BK$1-1-BJ32/(BK5/(1+$F$5)^BK$1),0)</f>
        <v>0</v>
      </c>
      <c r="BL33" s="9">
        <f>IF(AND(BL$1&gt;Inputs!$B$6,BL32&gt;=0,BK32&lt;0),BL$1-1-BK32/(BL5/(1+$F$5)^BL$1),0)</f>
        <v>0</v>
      </c>
      <c r="BM33" s="9">
        <f>IF(AND(BM$1&gt;Inputs!$B$6,BM32&gt;=0,BL32&lt;0),BM$1-1-BL32/(BM5/(1+$F$5)^BM$1),0)</f>
        <v>0</v>
      </c>
      <c r="BN33" s="9">
        <f>IF(AND(BN$1&gt;Inputs!$B$6,BN32&gt;=0,BM32&lt;0),BN$1-1-BM32/(BN5/(1+$F$5)^BN$1),0)</f>
        <v>0</v>
      </c>
      <c r="BO33" s="9">
        <f>IF(AND(BO$1&gt;Inputs!$B$6,BO32&gt;=0,BN32&lt;0),BO$1-1-BN32/(BO5/(1+$F$5)^BO$1),0)</f>
        <v>0</v>
      </c>
      <c r="BP33" s="9">
        <f>IF(AND(BP$1&gt;Inputs!$B$6,BP32&gt;=0,BO32&lt;0),BP$1-1-BO32/(BP5/(1+$F$5)^BP$1),0)</f>
        <v>0</v>
      </c>
      <c r="BQ33" s="9">
        <f>IF(AND(BQ$1&gt;Inputs!$B$6,BQ32&gt;=0,BP32&lt;0),BQ$1-1-BP32/(BQ5/(1+$F$5)^BQ$1),0)</f>
        <v>0</v>
      </c>
      <c r="BR33" s="9">
        <f>IF(AND(BR$1&gt;Inputs!$B$6,BR32&gt;=0,BQ32&lt;0),BR$1-1-BQ32/(BR5/(1+$F$5)^BR$1),0)</f>
        <v>0</v>
      </c>
      <c r="BS33" s="9">
        <f>IF(AND(BS$1&gt;Inputs!$B$6,BS32&gt;=0,BR32&lt;0),BS$1-1-BR32/(BS5/(1+$F$5)^BS$1),0)</f>
        <v>0</v>
      </c>
      <c r="BT33" s="9">
        <f>IF(AND(BT$1&gt;Inputs!$B$6,BT32&gt;=0,BS32&lt;0),BT$1-1-BS32/(BT5/(1+$F$5)^BT$1),0)</f>
        <v>0</v>
      </c>
    </row>
    <row r="34" hidden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</row>
    <row r="35" hidden="1">
      <c r="A35" s="4" t="inlineStr">
        <is>
          <t>Combined stress | cumulative CF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9">
        <f>SUM($L6:L6)</f>
        <v>-15000000.0</v>
      </c>
      <c r="M35" s="9">
        <f>SUM($L6:M6)</f>
        <v>-30000000.0</v>
      </c>
      <c r="N35" s="9">
        <f>SUM($L6:N6)</f>
        <v>-30000000.0</v>
      </c>
      <c r="O35" s="9">
        <f>SUM($L6:O6)</f>
        <v>-25248000.0</v>
      </c>
      <c r="P35" s="9">
        <f>SUM($L6:P6)</f>
        <v>-20496000.0</v>
      </c>
      <c r="Q35" s="9">
        <f>SUM($L6:Q6)</f>
        <v>-15744000.0</v>
      </c>
      <c r="R35" s="9">
        <f>SUM($L6:R6)</f>
        <v>-10992000.0</v>
      </c>
      <c r="S35" s="9">
        <f>SUM($L6:S6)</f>
        <v>-6240000.0</v>
      </c>
      <c r="T35" s="9">
        <f>SUM($L6:T6)</f>
        <v>-1488000.0</v>
      </c>
      <c r="U35" s="9">
        <f>SUM($L6:U6)</f>
        <v>3264000.0</v>
      </c>
      <c r="V35" s="9">
        <f>SUM($L6:V6)</f>
        <v>8016000.0</v>
      </c>
      <c r="W35" s="9">
        <f>SUM($L6:W6)</f>
        <v>12768000.0</v>
      </c>
      <c r="X35" s="9">
        <f>SUM($L6:X6)</f>
        <v>17520000.0</v>
      </c>
      <c r="Y35" s="9">
        <f>SUM($L6:Y6)</f>
        <v>22272000.0</v>
      </c>
      <c r="Z35" s="9">
        <f>SUM($L6:Z6)</f>
        <v>27024000.0</v>
      </c>
      <c r="AA35" s="9">
        <f>SUM($L6:AA6)</f>
        <v>31776000.0</v>
      </c>
      <c r="AB35" s="9">
        <f>SUM($L6:AB6)</f>
        <v>36528000.0</v>
      </c>
      <c r="AC35" s="9">
        <f>SUM($L6:AC6)</f>
        <v>41280000.0</v>
      </c>
      <c r="AD35" s="9">
        <f>SUM($L6:AD6)</f>
        <v>46032000.0</v>
      </c>
      <c r="AE35" s="9">
        <f>SUM($L6:AE6)</f>
        <v>50784000.0</v>
      </c>
      <c r="AF35" s="9">
        <f>SUM($L6:AF6)</f>
        <v>55536000.0</v>
      </c>
      <c r="AG35" s="9">
        <f>SUM($L6:AG6)</f>
        <v>60288000.0</v>
      </c>
      <c r="AH35" s="9">
        <f>SUM($L6:AH6)</f>
        <v>65040000.0</v>
      </c>
      <c r="AI35" s="9">
        <f>SUM($L6:AI6)</f>
        <v>69792000.0</v>
      </c>
      <c r="AJ35" s="9">
        <f>SUM($L6:AJ6)</f>
        <v>74544000.0</v>
      </c>
      <c r="AK35" s="9">
        <f>SUM($L6:AK6)</f>
        <v>79296000.0</v>
      </c>
      <c r="AL35" s="9">
        <f>SUM($L6:AL6)</f>
        <v>84048000.0</v>
      </c>
      <c r="AM35" s="9">
        <f>SUM($L6:AM6)</f>
        <v>88800000.0</v>
      </c>
      <c r="AN35" s="9">
        <f>SUM($L6:AN6)</f>
        <v>93552000.0</v>
      </c>
      <c r="AO35" s="9">
        <f>SUM($L6:AO6)</f>
        <v>98304000.0</v>
      </c>
      <c r="AP35" s="9">
        <f>SUM($L6:AP6)</f>
        <v>103056000.0</v>
      </c>
      <c r="AQ35" s="9">
        <f>SUM($L6:AQ6)</f>
        <v>107808000.0</v>
      </c>
      <c r="AR35" s="9">
        <f>SUM($L6:AR6)</f>
        <v>112560000.0</v>
      </c>
      <c r="AS35" s="9">
        <f>SUM($L6:AS6)</f>
        <v>112560000.0</v>
      </c>
      <c r="AT35" s="9">
        <f>SUM($L6:AT6)</f>
        <v>112560000.0</v>
      </c>
      <c r="AU35" s="9">
        <f>SUM($L6:AU6)</f>
        <v>112560000.0</v>
      </c>
      <c r="AV35" s="9">
        <f>SUM($L6:AV6)</f>
        <v>112560000.0</v>
      </c>
      <c r="AW35" s="9">
        <f>SUM($L6:AW6)</f>
        <v>112560000.0</v>
      </c>
      <c r="AX35" s="9">
        <f>SUM($L6:AX6)</f>
        <v>112560000.0</v>
      </c>
      <c r="AY35" s="9">
        <f>SUM($L6:AY6)</f>
        <v>112560000.0</v>
      </c>
      <c r="AZ35" s="9">
        <f>SUM($L6:AZ6)</f>
        <v>112560000.0</v>
      </c>
      <c r="BA35" s="9">
        <f>SUM($L6:BA6)</f>
        <v>112560000.0</v>
      </c>
      <c r="BB35" s="9">
        <f>SUM($L6:BB6)</f>
        <v>112560000.0</v>
      </c>
      <c r="BC35" s="9">
        <f>SUM($L6:BC6)</f>
        <v>112560000.0</v>
      </c>
      <c r="BD35" s="9">
        <f>SUM($L6:BD6)</f>
        <v>112560000.0</v>
      </c>
      <c r="BE35" s="9">
        <f>SUM($L6:BE6)</f>
        <v>112560000.0</v>
      </c>
      <c r="BF35" s="9">
        <f>SUM($L6:BF6)</f>
        <v>112560000.0</v>
      </c>
      <c r="BG35" s="9">
        <f>SUM($L6:BG6)</f>
        <v>112560000.0</v>
      </c>
      <c r="BH35" s="9">
        <f>SUM($L6:BH6)</f>
        <v>112560000.0</v>
      </c>
      <c r="BI35" s="9">
        <f>SUM($L6:BI6)</f>
        <v>112560000.0</v>
      </c>
      <c r="BJ35" s="9">
        <f>SUM($L6:BJ6)</f>
        <v>112560000.0</v>
      </c>
      <c r="BK35" s="9">
        <f>SUM($L6:BK6)</f>
        <v>112560000.0</v>
      </c>
      <c r="BL35" s="9">
        <f>SUM($L6:BL6)</f>
        <v>112560000.0</v>
      </c>
      <c r="BM35" s="9">
        <f>SUM($L6:BM6)</f>
        <v>112560000.0</v>
      </c>
      <c r="BN35" s="9">
        <f>SUM($L6:BN6)</f>
        <v>112560000.0</v>
      </c>
      <c r="BO35" s="9">
        <f>SUM($L6:BO6)</f>
        <v>112560000.0</v>
      </c>
      <c r="BP35" s="9">
        <f>SUM($L6:BP6)</f>
        <v>112560000.0</v>
      </c>
      <c r="BQ35" s="9">
        <f>SUM($L6:BQ6)</f>
        <v>112560000.0</v>
      </c>
      <c r="BR35" s="9">
        <f>SUM($L6:BR6)</f>
        <v>112560000.0</v>
      </c>
      <c r="BS35" s="9">
        <f>SUM($L6:BS6)</f>
        <v>112560000.0</v>
      </c>
      <c r="BT35" s="9">
        <f>SUM($L6:BT6)</f>
        <v>112560000.0</v>
      </c>
    </row>
    <row r="36" hidden="1">
      <c r="A36" s="2" t="inlineStr">
        <is>
          <t>Payback crossing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>
        <f>0</f>
        <v>0</v>
      </c>
      <c r="M36" s="3">
        <f>IF(AND(M$1&gt;Inputs!$B$6,M35&gt;=0,L35&lt;0),M$1-1-L35/M6,0)</f>
        <v>0</v>
      </c>
      <c r="N36" s="3">
        <f>IF(AND(N$1&gt;Inputs!$B$6,N35&gt;=0,M35&lt;0),N$1-1-M35/N6,0)</f>
        <v>0</v>
      </c>
      <c r="O36" s="3">
        <f>IF(AND(O$1&gt;Inputs!$B$6,O35&gt;=0,N35&lt;0),O$1-1-N35/O6,0)</f>
        <v>0</v>
      </c>
      <c r="P36" s="3">
        <f>IF(AND(P$1&gt;Inputs!$B$6,P35&gt;=0,O35&lt;0),P$1-1-O35/P6,0)</f>
        <v>0</v>
      </c>
      <c r="Q36" s="3">
        <f>IF(AND(Q$1&gt;Inputs!$B$6,Q35&gt;=0,P35&lt;0),Q$1-1-P35/Q6,0)</f>
        <v>0</v>
      </c>
      <c r="R36" s="3">
        <f>IF(AND(R$1&gt;Inputs!$B$6,R35&gt;=0,Q35&lt;0),R$1-1-Q35/R6,0)</f>
        <v>0</v>
      </c>
      <c r="S36" s="3">
        <f>IF(AND(S$1&gt;Inputs!$B$6,S35&gt;=0,R35&lt;0),S$1-1-R35/S6,0)</f>
        <v>0</v>
      </c>
      <c r="T36" s="3">
        <f>IF(AND(T$1&gt;Inputs!$B$6,T35&gt;=0,S35&lt;0),T$1-1-S35/T6,0)</f>
        <v>0</v>
      </c>
      <c r="U36" s="3">
        <f>IF(AND(U$1&gt;Inputs!$B$6,U35&gt;=0,T35&lt;0),U$1-1-T35/U6,0)</f>
        <v>8.313131313131313</v>
      </c>
      <c r="V36" s="3">
        <f>IF(AND(V$1&gt;Inputs!$B$6,V35&gt;=0,U35&lt;0),V$1-1-U35/V6,0)</f>
        <v>0</v>
      </c>
      <c r="W36" s="3">
        <f>IF(AND(W$1&gt;Inputs!$B$6,W35&gt;=0,V35&lt;0),W$1-1-V35/W6,0)</f>
        <v>0</v>
      </c>
      <c r="X36" s="3">
        <f>IF(AND(X$1&gt;Inputs!$B$6,X35&gt;=0,W35&lt;0),X$1-1-W35/X6,0)</f>
        <v>0</v>
      </c>
      <c r="Y36" s="3">
        <f>IF(AND(Y$1&gt;Inputs!$B$6,Y35&gt;=0,X35&lt;0),Y$1-1-X35/Y6,0)</f>
        <v>0</v>
      </c>
      <c r="Z36" s="3">
        <f>IF(AND(Z$1&gt;Inputs!$B$6,Z35&gt;=0,Y35&lt;0),Z$1-1-Y35/Z6,0)</f>
        <v>0</v>
      </c>
      <c r="AA36" s="3">
        <f>IF(AND(AA$1&gt;Inputs!$B$6,AA35&gt;=0,Z35&lt;0),AA$1-1-Z35/AA6,0)</f>
        <v>0</v>
      </c>
      <c r="AB36" s="3">
        <f>IF(AND(AB$1&gt;Inputs!$B$6,AB35&gt;=0,AA35&lt;0),AB$1-1-AA35/AB6,0)</f>
        <v>0</v>
      </c>
      <c r="AC36" s="3">
        <f>IF(AND(AC$1&gt;Inputs!$B$6,AC35&gt;=0,AB35&lt;0),AC$1-1-AB35/AC6,0)</f>
        <v>0</v>
      </c>
      <c r="AD36" s="3">
        <f>IF(AND(AD$1&gt;Inputs!$B$6,AD35&gt;=0,AC35&lt;0),AD$1-1-AC35/AD6,0)</f>
        <v>0</v>
      </c>
      <c r="AE36" s="3">
        <f>IF(AND(AE$1&gt;Inputs!$B$6,AE35&gt;=0,AD35&lt;0),AE$1-1-AD35/AE6,0)</f>
        <v>0</v>
      </c>
      <c r="AF36" s="3">
        <f>IF(AND(AF$1&gt;Inputs!$B$6,AF35&gt;=0,AE35&lt;0),AF$1-1-AE35/AF6,0)</f>
        <v>0</v>
      </c>
      <c r="AG36" s="3">
        <f>IF(AND(AG$1&gt;Inputs!$B$6,AG35&gt;=0,AF35&lt;0),AG$1-1-AF35/AG6,0)</f>
        <v>0</v>
      </c>
      <c r="AH36" s="3">
        <f>IF(AND(AH$1&gt;Inputs!$B$6,AH35&gt;=0,AG35&lt;0),AH$1-1-AG35/AH6,0)</f>
        <v>0</v>
      </c>
      <c r="AI36" s="3">
        <f>IF(AND(AI$1&gt;Inputs!$B$6,AI35&gt;=0,AH35&lt;0),AI$1-1-AH35/AI6,0)</f>
        <v>0</v>
      </c>
      <c r="AJ36" s="3">
        <f>IF(AND(AJ$1&gt;Inputs!$B$6,AJ35&gt;=0,AI35&lt;0),AJ$1-1-AI35/AJ6,0)</f>
        <v>0</v>
      </c>
      <c r="AK36" s="3">
        <f>IF(AND(AK$1&gt;Inputs!$B$6,AK35&gt;=0,AJ35&lt;0),AK$1-1-AJ35/AK6,0)</f>
        <v>0</v>
      </c>
      <c r="AL36" s="3">
        <f>IF(AND(AL$1&gt;Inputs!$B$6,AL35&gt;=0,AK35&lt;0),AL$1-1-AK35/AL6,0)</f>
        <v>0</v>
      </c>
      <c r="AM36" s="3">
        <f>IF(AND(AM$1&gt;Inputs!$B$6,AM35&gt;=0,AL35&lt;0),AM$1-1-AL35/AM6,0)</f>
        <v>0</v>
      </c>
      <c r="AN36" s="3">
        <f>IF(AND(AN$1&gt;Inputs!$B$6,AN35&gt;=0,AM35&lt;0),AN$1-1-AM35/AN6,0)</f>
        <v>0</v>
      </c>
      <c r="AO36" s="3">
        <f>IF(AND(AO$1&gt;Inputs!$B$6,AO35&gt;=0,AN35&lt;0),AO$1-1-AN35/AO6,0)</f>
        <v>0</v>
      </c>
      <c r="AP36" s="3">
        <f>IF(AND(AP$1&gt;Inputs!$B$6,AP35&gt;=0,AO35&lt;0),AP$1-1-AO35/AP6,0)</f>
        <v>0</v>
      </c>
      <c r="AQ36" s="3">
        <f>IF(AND(AQ$1&gt;Inputs!$B$6,AQ35&gt;=0,AP35&lt;0),AQ$1-1-AP35/AQ6,0)</f>
        <v>0</v>
      </c>
      <c r="AR36" s="3">
        <f>IF(AND(AR$1&gt;Inputs!$B$6,AR35&gt;=0,AQ35&lt;0),AR$1-1-AQ35/AR6,0)</f>
        <v>0</v>
      </c>
      <c r="AS36" s="3">
        <f>IF(AND(AS$1&gt;Inputs!$B$6,AS35&gt;=0,AR35&lt;0),AS$1-1-AR35/AS6,0)</f>
        <v>0</v>
      </c>
      <c r="AT36" s="3">
        <f>IF(AND(AT$1&gt;Inputs!$B$6,AT35&gt;=0,AS35&lt;0),AT$1-1-AS35/AT6,0)</f>
        <v>0</v>
      </c>
      <c r="AU36" s="3">
        <f>IF(AND(AU$1&gt;Inputs!$B$6,AU35&gt;=0,AT35&lt;0),AU$1-1-AT35/AU6,0)</f>
        <v>0</v>
      </c>
      <c r="AV36" s="3">
        <f>IF(AND(AV$1&gt;Inputs!$B$6,AV35&gt;=0,AU35&lt;0),AV$1-1-AU35/AV6,0)</f>
        <v>0</v>
      </c>
      <c r="AW36" s="3">
        <f>IF(AND(AW$1&gt;Inputs!$B$6,AW35&gt;=0,AV35&lt;0),AW$1-1-AV35/AW6,0)</f>
        <v>0</v>
      </c>
      <c r="AX36" s="3">
        <f>IF(AND(AX$1&gt;Inputs!$B$6,AX35&gt;=0,AW35&lt;0),AX$1-1-AW35/AX6,0)</f>
        <v>0</v>
      </c>
      <c r="AY36" s="3">
        <f>IF(AND(AY$1&gt;Inputs!$B$6,AY35&gt;=0,AX35&lt;0),AY$1-1-AX35/AY6,0)</f>
        <v>0</v>
      </c>
      <c r="AZ36" s="3">
        <f>IF(AND(AZ$1&gt;Inputs!$B$6,AZ35&gt;=0,AY35&lt;0),AZ$1-1-AY35/AZ6,0)</f>
        <v>0</v>
      </c>
      <c r="BA36" s="3">
        <f>IF(AND(BA$1&gt;Inputs!$B$6,BA35&gt;=0,AZ35&lt;0),BA$1-1-AZ35/BA6,0)</f>
        <v>0</v>
      </c>
      <c r="BB36" s="3">
        <f>IF(AND(BB$1&gt;Inputs!$B$6,BB35&gt;=0,BA35&lt;0),BB$1-1-BA35/BB6,0)</f>
        <v>0</v>
      </c>
      <c r="BC36" s="3">
        <f>IF(AND(BC$1&gt;Inputs!$B$6,BC35&gt;=0,BB35&lt;0),BC$1-1-BB35/BC6,0)</f>
        <v>0</v>
      </c>
      <c r="BD36" s="3">
        <f>IF(AND(BD$1&gt;Inputs!$B$6,BD35&gt;=0,BC35&lt;0),BD$1-1-BC35/BD6,0)</f>
        <v>0</v>
      </c>
      <c r="BE36" s="3">
        <f>IF(AND(BE$1&gt;Inputs!$B$6,BE35&gt;=0,BD35&lt;0),BE$1-1-BD35/BE6,0)</f>
        <v>0</v>
      </c>
      <c r="BF36" s="3">
        <f>IF(AND(BF$1&gt;Inputs!$B$6,BF35&gt;=0,BE35&lt;0),BF$1-1-BE35/BF6,0)</f>
        <v>0</v>
      </c>
      <c r="BG36" s="3">
        <f>IF(AND(BG$1&gt;Inputs!$B$6,BG35&gt;=0,BF35&lt;0),BG$1-1-BF35/BG6,0)</f>
        <v>0</v>
      </c>
      <c r="BH36" s="3">
        <f>IF(AND(BH$1&gt;Inputs!$B$6,BH35&gt;=0,BG35&lt;0),BH$1-1-BG35/BH6,0)</f>
        <v>0</v>
      </c>
      <c r="BI36" s="3">
        <f>IF(AND(BI$1&gt;Inputs!$B$6,BI35&gt;=0,BH35&lt;0),BI$1-1-BH35/BI6,0)</f>
        <v>0</v>
      </c>
      <c r="BJ36" s="3">
        <f>IF(AND(BJ$1&gt;Inputs!$B$6,BJ35&gt;=0,BI35&lt;0),BJ$1-1-BI35/BJ6,0)</f>
        <v>0</v>
      </c>
      <c r="BK36" s="3">
        <f>IF(AND(BK$1&gt;Inputs!$B$6,BK35&gt;=0,BJ35&lt;0),BK$1-1-BJ35/BK6,0)</f>
        <v>0</v>
      </c>
      <c r="BL36" s="3">
        <f>IF(AND(BL$1&gt;Inputs!$B$6,BL35&gt;=0,BK35&lt;0),BL$1-1-BK35/BL6,0)</f>
        <v>0</v>
      </c>
      <c r="BM36" s="3">
        <f>IF(AND(BM$1&gt;Inputs!$B$6,BM35&gt;=0,BL35&lt;0),BM$1-1-BL35/BM6,0)</f>
        <v>0</v>
      </c>
      <c r="BN36" s="3">
        <f>IF(AND(BN$1&gt;Inputs!$B$6,BN35&gt;=0,BM35&lt;0),BN$1-1-BM35/BN6,0)</f>
        <v>0</v>
      </c>
      <c r="BO36" s="3">
        <f>IF(AND(BO$1&gt;Inputs!$B$6,BO35&gt;=0,BN35&lt;0),BO$1-1-BN35/BO6,0)</f>
        <v>0</v>
      </c>
      <c r="BP36" s="3">
        <f>IF(AND(BP$1&gt;Inputs!$B$6,BP35&gt;=0,BO35&lt;0),BP$1-1-BO35/BP6,0)</f>
        <v>0</v>
      </c>
      <c r="BQ36" s="3">
        <f>IF(AND(BQ$1&gt;Inputs!$B$6,BQ35&gt;=0,BP35&lt;0),BQ$1-1-BP35/BQ6,0)</f>
        <v>0</v>
      </c>
      <c r="BR36" s="3">
        <f>IF(AND(BR$1&gt;Inputs!$B$6,BR35&gt;=0,BQ35&lt;0),BR$1-1-BQ35/BR6,0)</f>
        <v>0</v>
      </c>
      <c r="BS36" s="3">
        <f>IF(AND(BS$1&gt;Inputs!$B$6,BS35&gt;=0,BR35&lt;0),BS$1-1-BR35/BS6,0)</f>
        <v>0</v>
      </c>
      <c r="BT36" s="3">
        <f>IF(AND(BT$1&gt;Inputs!$B$6,BT35&gt;=0,BS35&lt;0),BT$1-1-BS35/BT6,0)</f>
        <v>0</v>
      </c>
    </row>
    <row r="37" hidden="1">
      <c r="A37" s="4" t="inlineStr">
        <is>
          <t>Cumulative PV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9">
        <f>L6/(1+$F$6)^L$1</f>
        <v>-15000000.0</v>
      </c>
      <c r="M37" s="9">
        <f>M6/(1+$F$6)^M$1+L37</f>
        <v>-28850415.512465373</v>
      </c>
      <c r="N37" s="9">
        <f>N6/(1+$F$6)^N$1+M37</f>
        <v>-28850415.512465373</v>
      </c>
      <c r="O37" s="9">
        <f>O6/(1+$F$6)^O$1+N37</f>
        <v>-25109386.621965904</v>
      </c>
      <c r="P37" s="9">
        <f>P6/(1+$F$6)^P$1+O37</f>
        <v>-21655066.316795573</v>
      </c>
      <c r="Q37" s="9">
        <f>Q6/(1+$F$6)^Q$1+P37</f>
        <v>-18465481.547478553</v>
      </c>
      <c r="R37" s="9">
        <f>R6/(1+$F$6)^R$1+Q37</f>
        <v>-15520343.256327104</v>
      </c>
      <c r="S37" s="9">
        <f>S6/(1+$F$6)^S$1+R37</f>
        <v>-12800917.318052452</v>
      </c>
      <c r="T37" s="9">
        <f>T6/(1+$F$6)^T$1+S37</f>
        <v>-10289905.371353788</v>
      </c>
      <c r="U37" s="9">
        <f>U6/(1+$F$6)^U$1+T37</f>
        <v>-7971334.783451052</v>
      </c>
      <c r="V37" s="9">
        <f>V6/(1+$F$6)^V$1+U37</f>
        <v>-5830457.047622118</v>
      </c>
      <c r="W37" s="9">
        <f>W6/(1+$F$6)^W$1+V37</f>
        <v>-3853653.9674476627</v>
      </c>
      <c r="X37" s="9">
        <f>X6/(1+$F$6)^X$1+W37</f>
        <v>-2028351.030998489</v>
      </c>
      <c r="Y37" s="9">
        <f>Y6/(1+$F$6)^Y$1+X37</f>
        <v>-342937.4239355398</v>
      </c>
      <c r="Z37" s="9">
        <f>Z6/(1+$F$6)^Z$1+Y37</f>
        <v>1213307.827276786</v>
      </c>
      <c r="AA37" s="9">
        <f>AA6/(1+$F$6)^AA$1+Z37</f>
        <v>2650284.051849571</v>
      </c>
      <c r="AB37" s="9">
        <f>AB6/(1+$F$6)^AB$1+AA37</f>
        <v>3977131.904640693</v>
      </c>
      <c r="AC37" s="9">
        <f>AC6/(1+$F$6)^AC$1+AB37</f>
        <v>5202291.510172661</v>
      </c>
      <c r="AD37" s="9">
        <f>AD6/(1+$F$6)^AD$1+AC37</f>
        <v>6333556.150553057</v>
      </c>
      <c r="AE37" s="9">
        <f>AE6/(1+$F$6)^AE$1+AD37</f>
        <v>7378121.83880827</v>
      </c>
      <c r="AF37" s="9">
        <f>AF6/(1+$F$6)^AF$1+AE37</f>
        <v>8342633.092968209</v>
      </c>
      <c r="AG37" s="9">
        <f>AG6/(1+$F$6)^AG$1+AF37</f>
        <v>9233225.202072492</v>
      </c>
      <c r="AH37" s="9">
        <f>AH6/(1+$F$6)^AH$1+AG37</f>
        <v>10055563.25295364</v>
      </c>
      <c r="AI37" s="9">
        <f>AI6/(1+$F$6)^AI$1+AH37</f>
        <v>10814878.166047959</v>
      </c>
      <c r="AJ37" s="9">
        <f>AJ6/(1+$F$6)^AJ$1+AI37</f>
        <v>11515999.96945915</v>
      </c>
      <c r="AK37" s="9">
        <f>AK6/(1+$F$6)^AK$1+AJ37</f>
        <v>12163388.522932086</v>
      </c>
      <c r="AL37" s="9">
        <f>AL6/(1+$F$6)^AL$1+AK37</f>
        <v>12761161.887173025</v>
      </c>
      <c r="AM37" s="9">
        <f>AM6/(1+$F$6)^AM$1+AL37</f>
        <v>13313122.518974446</v>
      </c>
      <c r="AN37" s="9">
        <f>AN6/(1+$F$6)^AN$1+AM37</f>
        <v>13822781.458772618</v>
      </c>
      <c r="AO37" s="9">
        <f>AO6/(1+$F$6)^AO$1+AN37</f>
        <v>14293380.66449577</v>
      </c>
      <c r="AP37" s="9">
        <f>AP6/(1+$F$6)^AP$1+AO37</f>
        <v>14727913.633769223</v>
      </c>
      <c r="AQ37" s="9">
        <f>AQ6/(1+$F$6)^AQ$1+AP37</f>
        <v>15129144.445656069</v>
      </c>
      <c r="AR37" s="9">
        <f>AR6/(1+$F$6)^AR$1+AQ37</f>
        <v>15499625.343058512</v>
      </c>
      <c r="AS37" s="9">
        <f>AS6/(1+$F$6)^AS$1+AR37</f>
        <v>15499625.343058512</v>
      </c>
      <c r="AT37" s="9">
        <f>AT6/(1+$F$6)^AT$1+AS37</f>
        <v>15499625.343058512</v>
      </c>
      <c r="AU37" s="9">
        <f>AU6/(1+$F$6)^AU$1+AT37</f>
        <v>15499625.343058512</v>
      </c>
      <c r="AV37" s="9">
        <f>AV6/(1+$F$6)^AV$1+AU37</f>
        <v>15499625.343058512</v>
      </c>
      <c r="AW37" s="9">
        <f>AW6/(1+$F$6)^AW$1+AV37</f>
        <v>15499625.343058512</v>
      </c>
      <c r="AX37" s="9">
        <f>AX6/(1+$F$6)^AX$1+AW37</f>
        <v>15499625.343058512</v>
      </c>
      <c r="AY37" s="9">
        <f>AY6/(1+$F$6)^AY$1+AX37</f>
        <v>15499625.343058512</v>
      </c>
      <c r="AZ37" s="9">
        <f>AZ6/(1+$F$6)^AZ$1+AY37</f>
        <v>15499625.343058512</v>
      </c>
      <c r="BA37" s="9">
        <f>BA6/(1+$F$6)^BA$1+AZ37</f>
        <v>15499625.343058512</v>
      </c>
      <c r="BB37" s="9">
        <f>BB6/(1+$F$6)^BB$1+BA37</f>
        <v>15499625.343058512</v>
      </c>
      <c r="BC37" s="9">
        <f>BC6/(1+$F$6)^BC$1+BB37</f>
        <v>15499625.343058512</v>
      </c>
      <c r="BD37" s="9">
        <f>BD6/(1+$F$6)^BD$1+BC37</f>
        <v>15499625.343058512</v>
      </c>
      <c r="BE37" s="9">
        <f>BE6/(1+$F$6)^BE$1+BD37</f>
        <v>15499625.343058512</v>
      </c>
      <c r="BF37" s="9">
        <f>BF6/(1+$F$6)^BF$1+BE37</f>
        <v>15499625.343058512</v>
      </c>
      <c r="BG37" s="9">
        <f>BG6/(1+$F$6)^BG$1+BF37</f>
        <v>15499625.343058512</v>
      </c>
      <c r="BH37" s="9">
        <f>BH6/(1+$F$6)^BH$1+BG37</f>
        <v>15499625.343058512</v>
      </c>
      <c r="BI37" s="9">
        <f>BI6/(1+$F$6)^BI$1+BH37</f>
        <v>15499625.343058512</v>
      </c>
      <c r="BJ37" s="9">
        <f>BJ6/(1+$F$6)^BJ$1+BI37</f>
        <v>15499625.343058512</v>
      </c>
      <c r="BK37" s="9">
        <f>BK6/(1+$F$6)^BK$1+BJ37</f>
        <v>15499625.343058512</v>
      </c>
      <c r="BL37" s="9">
        <f>BL6/(1+$F$6)^BL$1+BK37</f>
        <v>15499625.343058512</v>
      </c>
      <c r="BM37" s="9">
        <f>BM6/(1+$F$6)^BM$1+BL37</f>
        <v>15499625.343058512</v>
      </c>
      <c r="BN37" s="9">
        <f>BN6/(1+$F$6)^BN$1+BM37</f>
        <v>15499625.343058512</v>
      </c>
      <c r="BO37" s="9">
        <f>BO6/(1+$F$6)^BO$1+BN37</f>
        <v>15499625.343058512</v>
      </c>
      <c r="BP37" s="9">
        <f>BP6/(1+$F$6)^BP$1+BO37</f>
        <v>15499625.343058512</v>
      </c>
      <c r="BQ37" s="9">
        <f>BQ6/(1+$F$6)^BQ$1+BP37</f>
        <v>15499625.343058512</v>
      </c>
      <c r="BR37" s="9">
        <f>BR6/(1+$F$6)^BR$1+BQ37</f>
        <v>15499625.343058512</v>
      </c>
      <c r="BS37" s="9">
        <f>BS6/(1+$F$6)^BS$1+BR37</f>
        <v>15499625.343058512</v>
      </c>
      <c r="BT37" s="9">
        <f>BT6/(1+$F$6)^BT$1+BS37</f>
        <v>15499625.343058512</v>
      </c>
    </row>
    <row r="38" hidden="1">
      <c r="A38" s="2" t="inlineStr">
        <is>
          <t>Discounted crossing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>
        <f>0</f>
        <v>0</v>
      </c>
      <c r="M38" s="3">
        <f>IF(AND(M$1&gt;Inputs!$B$6,M37&gt;=0,L37&lt;0),M$1-1-L37/(M6/(1+$F$6)^M$1),0)</f>
        <v>0</v>
      </c>
      <c r="N38" s="3">
        <f>IF(AND(N$1&gt;Inputs!$B$6,N37&gt;=0,M37&lt;0),N$1-1-M37/(N6/(1+$F$6)^N$1),0)</f>
        <v>0</v>
      </c>
      <c r="O38" s="3">
        <f>IF(AND(O$1&gt;Inputs!$B$6,O37&gt;=0,N37&lt;0),O$1-1-N37/(O6/(1+$F$6)^O$1),0)</f>
        <v>0</v>
      </c>
      <c r="P38" s="3">
        <f>IF(AND(P$1&gt;Inputs!$B$6,P37&gt;=0,O37&lt;0),P$1-1-O37/(P6/(1+$F$6)^P$1),0)</f>
        <v>0</v>
      </c>
      <c r="Q38" s="3">
        <f>IF(AND(Q$1&gt;Inputs!$B$6,Q37&gt;=0,P37&lt;0),Q$1-1-P37/(Q6/(1+$F$6)^Q$1),0)</f>
        <v>0</v>
      </c>
      <c r="R38" s="3">
        <f>IF(AND(R$1&gt;Inputs!$B$6,R37&gt;=0,Q37&lt;0),R$1-1-Q37/(R6/(1+$F$6)^R$1),0)</f>
        <v>0</v>
      </c>
      <c r="S38" s="3">
        <f>IF(AND(S$1&gt;Inputs!$B$6,S37&gt;=0,R37&lt;0),S$1-1-R37/(S6/(1+$F$6)^S$1),0)</f>
        <v>0</v>
      </c>
      <c r="T38" s="3">
        <f>IF(AND(T$1&gt;Inputs!$B$6,T37&gt;=0,S37&lt;0),T$1-1-S37/(T6/(1+$F$6)^T$1),0)</f>
        <v>0</v>
      </c>
      <c r="U38" s="3">
        <f>IF(AND(U$1&gt;Inputs!$B$6,U37&gt;=0,T37&lt;0),U$1-1-T37/(U6/(1+$F$6)^U$1),0)</f>
        <v>0</v>
      </c>
      <c r="V38" s="3">
        <f>IF(AND(V$1&gt;Inputs!$B$6,V37&gt;=0,U37&lt;0),V$1-1-U37/(V6/(1+$F$6)^V$1),0)</f>
        <v>0</v>
      </c>
      <c r="W38" s="3">
        <f>IF(AND(W$1&gt;Inputs!$B$6,W37&gt;=0,V37&lt;0),W$1-1-V37/(W6/(1+$F$6)^W$1),0)</f>
        <v>0</v>
      </c>
      <c r="X38" s="3">
        <f>IF(AND(X$1&gt;Inputs!$B$6,X37&gt;=0,W37&lt;0),X$1-1-W37/(X6/(1+$F$6)^X$1),0)</f>
        <v>0</v>
      </c>
      <c r="Y38" s="3">
        <f>IF(AND(Y$1&gt;Inputs!$B$6,Y37&gt;=0,X37&lt;0),Y$1-1-X37/(Y6/(1+$F$6)^Y$1),0)</f>
        <v>0</v>
      </c>
      <c r="Z38" s="3">
        <f>IF(AND(Z$1&gt;Inputs!$B$6,Z37&gt;=0,Y37&lt;0),Z$1-1-Y37/(Z6/(1+$F$6)^Z$1),0)</f>
        <v>13.220362069325763</v>
      </c>
      <c r="AA38" s="3">
        <f>IF(AND(AA$1&gt;Inputs!$B$6,AA37&gt;=0,Z37&lt;0),AA$1-1-Z37/(AA6/(1+$F$6)^AA$1),0)</f>
        <v>0</v>
      </c>
      <c r="AB38" s="3">
        <f>IF(AND(AB$1&gt;Inputs!$B$6,AB37&gt;=0,AA37&lt;0),AB$1-1-AA37/(AB6/(1+$F$6)^AB$1),0)</f>
        <v>0</v>
      </c>
      <c r="AC38" s="3">
        <f>IF(AND(AC$1&gt;Inputs!$B$6,AC37&gt;=0,AB37&lt;0),AC$1-1-AB37/(AC6/(1+$F$6)^AC$1),0)</f>
        <v>0</v>
      </c>
      <c r="AD38" s="3">
        <f>IF(AND(AD$1&gt;Inputs!$B$6,AD37&gt;=0,AC37&lt;0),AD$1-1-AC37/(AD6/(1+$F$6)^AD$1),0)</f>
        <v>0</v>
      </c>
      <c r="AE38" s="3">
        <f>IF(AND(AE$1&gt;Inputs!$B$6,AE37&gt;=0,AD37&lt;0),AE$1-1-AD37/(AE6/(1+$F$6)^AE$1),0)</f>
        <v>0</v>
      </c>
      <c r="AF38" s="3">
        <f>IF(AND(AF$1&gt;Inputs!$B$6,AF37&gt;=0,AE37&lt;0),AF$1-1-AE37/(AF6/(1+$F$6)^AF$1),0)</f>
        <v>0</v>
      </c>
      <c r="AG38" s="3">
        <f>IF(AND(AG$1&gt;Inputs!$B$6,AG37&gt;=0,AF37&lt;0),AG$1-1-AF37/(AG6/(1+$F$6)^AG$1),0)</f>
        <v>0</v>
      </c>
      <c r="AH38" s="3">
        <f>IF(AND(AH$1&gt;Inputs!$B$6,AH37&gt;=0,AG37&lt;0),AH$1-1-AG37/(AH6/(1+$F$6)^AH$1),0)</f>
        <v>0</v>
      </c>
      <c r="AI38" s="3">
        <f>IF(AND(AI$1&gt;Inputs!$B$6,AI37&gt;=0,AH37&lt;0),AI$1-1-AH37/(AI6/(1+$F$6)^AI$1),0)</f>
        <v>0</v>
      </c>
      <c r="AJ38" s="3">
        <f>IF(AND(AJ$1&gt;Inputs!$B$6,AJ37&gt;=0,AI37&lt;0),AJ$1-1-AI37/(AJ6/(1+$F$6)^AJ$1),0)</f>
        <v>0</v>
      </c>
      <c r="AK38" s="3">
        <f>IF(AND(AK$1&gt;Inputs!$B$6,AK37&gt;=0,AJ37&lt;0),AK$1-1-AJ37/(AK6/(1+$F$6)^AK$1),0)</f>
        <v>0</v>
      </c>
      <c r="AL38" s="3">
        <f>IF(AND(AL$1&gt;Inputs!$B$6,AL37&gt;=0,AK37&lt;0),AL$1-1-AK37/(AL6/(1+$F$6)^AL$1),0)</f>
        <v>0</v>
      </c>
      <c r="AM38" s="3">
        <f>IF(AND(AM$1&gt;Inputs!$B$6,AM37&gt;=0,AL37&lt;0),AM$1-1-AL37/(AM6/(1+$F$6)^AM$1),0)</f>
        <v>0</v>
      </c>
      <c r="AN38" s="3">
        <f>IF(AND(AN$1&gt;Inputs!$B$6,AN37&gt;=0,AM37&lt;0),AN$1-1-AM37/(AN6/(1+$F$6)^AN$1),0)</f>
        <v>0</v>
      </c>
      <c r="AO38" s="3">
        <f>IF(AND(AO$1&gt;Inputs!$B$6,AO37&gt;=0,AN37&lt;0),AO$1-1-AN37/(AO6/(1+$F$6)^AO$1),0)</f>
        <v>0</v>
      </c>
      <c r="AP38" s="3">
        <f>IF(AND(AP$1&gt;Inputs!$B$6,AP37&gt;=0,AO37&lt;0),AP$1-1-AO37/(AP6/(1+$F$6)^AP$1),0)</f>
        <v>0</v>
      </c>
      <c r="AQ38" s="3">
        <f>IF(AND(AQ$1&gt;Inputs!$B$6,AQ37&gt;=0,AP37&lt;0),AQ$1-1-AP37/(AQ6/(1+$F$6)^AQ$1),0)</f>
        <v>0</v>
      </c>
      <c r="AR38" s="3">
        <f>IF(AND(AR$1&gt;Inputs!$B$6,AR37&gt;=0,AQ37&lt;0),AR$1-1-AQ37/(AR6/(1+$F$6)^AR$1),0)</f>
        <v>0</v>
      </c>
      <c r="AS38" s="3">
        <f>IF(AND(AS$1&gt;Inputs!$B$6,AS37&gt;=0,AR37&lt;0),AS$1-1-AR37/(AS6/(1+$F$6)^AS$1),0)</f>
        <v>0</v>
      </c>
      <c r="AT38" s="3">
        <f>IF(AND(AT$1&gt;Inputs!$B$6,AT37&gt;=0,AS37&lt;0),AT$1-1-AS37/(AT6/(1+$F$6)^AT$1),0)</f>
        <v>0</v>
      </c>
      <c r="AU38" s="3">
        <f>IF(AND(AU$1&gt;Inputs!$B$6,AU37&gt;=0,AT37&lt;0),AU$1-1-AT37/(AU6/(1+$F$6)^AU$1),0)</f>
        <v>0</v>
      </c>
      <c r="AV38" s="3">
        <f>IF(AND(AV$1&gt;Inputs!$B$6,AV37&gt;=0,AU37&lt;0),AV$1-1-AU37/(AV6/(1+$F$6)^AV$1),0)</f>
        <v>0</v>
      </c>
      <c r="AW38" s="3">
        <f>IF(AND(AW$1&gt;Inputs!$B$6,AW37&gt;=0,AV37&lt;0),AW$1-1-AV37/(AW6/(1+$F$6)^AW$1),0)</f>
        <v>0</v>
      </c>
      <c r="AX38" s="3">
        <f>IF(AND(AX$1&gt;Inputs!$B$6,AX37&gt;=0,AW37&lt;0),AX$1-1-AW37/(AX6/(1+$F$6)^AX$1),0)</f>
        <v>0</v>
      </c>
      <c r="AY38" s="3">
        <f>IF(AND(AY$1&gt;Inputs!$B$6,AY37&gt;=0,AX37&lt;0),AY$1-1-AX37/(AY6/(1+$F$6)^AY$1),0)</f>
        <v>0</v>
      </c>
      <c r="AZ38" s="3">
        <f>IF(AND(AZ$1&gt;Inputs!$B$6,AZ37&gt;=0,AY37&lt;0),AZ$1-1-AY37/(AZ6/(1+$F$6)^AZ$1),0)</f>
        <v>0</v>
      </c>
      <c r="BA38" s="3">
        <f>IF(AND(BA$1&gt;Inputs!$B$6,BA37&gt;=0,AZ37&lt;0),BA$1-1-AZ37/(BA6/(1+$F$6)^BA$1),0)</f>
        <v>0</v>
      </c>
      <c r="BB38" s="3">
        <f>IF(AND(BB$1&gt;Inputs!$B$6,BB37&gt;=0,BA37&lt;0),BB$1-1-BA37/(BB6/(1+$F$6)^BB$1),0)</f>
        <v>0</v>
      </c>
      <c r="BC38" s="3">
        <f>IF(AND(BC$1&gt;Inputs!$B$6,BC37&gt;=0,BB37&lt;0),BC$1-1-BB37/(BC6/(1+$F$6)^BC$1),0)</f>
        <v>0</v>
      </c>
      <c r="BD38" s="3">
        <f>IF(AND(BD$1&gt;Inputs!$B$6,BD37&gt;=0,BC37&lt;0),BD$1-1-BC37/(BD6/(1+$F$6)^BD$1),0)</f>
        <v>0</v>
      </c>
      <c r="BE38" s="3">
        <f>IF(AND(BE$1&gt;Inputs!$B$6,BE37&gt;=0,BD37&lt;0),BE$1-1-BD37/(BE6/(1+$F$6)^BE$1),0)</f>
        <v>0</v>
      </c>
      <c r="BF38" s="3">
        <f>IF(AND(BF$1&gt;Inputs!$B$6,BF37&gt;=0,BE37&lt;0),BF$1-1-BE37/(BF6/(1+$F$6)^BF$1),0)</f>
        <v>0</v>
      </c>
      <c r="BG38" s="3">
        <f>IF(AND(BG$1&gt;Inputs!$B$6,BG37&gt;=0,BF37&lt;0),BG$1-1-BF37/(BG6/(1+$F$6)^BG$1),0)</f>
        <v>0</v>
      </c>
      <c r="BH38" s="3">
        <f>IF(AND(BH$1&gt;Inputs!$B$6,BH37&gt;=0,BG37&lt;0),BH$1-1-BG37/(BH6/(1+$F$6)^BH$1),0)</f>
        <v>0</v>
      </c>
      <c r="BI38" s="3">
        <f>IF(AND(BI$1&gt;Inputs!$B$6,BI37&gt;=0,BH37&lt;0),BI$1-1-BH37/(BI6/(1+$F$6)^BI$1),0)</f>
        <v>0</v>
      </c>
      <c r="BJ38" s="3">
        <f>IF(AND(BJ$1&gt;Inputs!$B$6,BJ37&gt;=0,BI37&lt;0),BJ$1-1-BI37/(BJ6/(1+$F$6)^BJ$1),0)</f>
        <v>0</v>
      </c>
      <c r="BK38" s="3">
        <f>IF(AND(BK$1&gt;Inputs!$B$6,BK37&gt;=0,BJ37&lt;0),BK$1-1-BJ37/(BK6/(1+$F$6)^BK$1),0)</f>
        <v>0</v>
      </c>
      <c r="BL38" s="3">
        <f>IF(AND(BL$1&gt;Inputs!$B$6,BL37&gt;=0,BK37&lt;0),BL$1-1-BK37/(BL6/(1+$F$6)^BL$1),0)</f>
        <v>0</v>
      </c>
      <c r="BM38" s="3">
        <f>IF(AND(BM$1&gt;Inputs!$B$6,BM37&gt;=0,BL37&lt;0),BM$1-1-BL37/(BM6/(1+$F$6)^BM$1),0)</f>
        <v>0</v>
      </c>
      <c r="BN38" s="3">
        <f>IF(AND(BN$1&gt;Inputs!$B$6,BN37&gt;=0,BM37&lt;0),BN$1-1-BM37/(BN6/(1+$F$6)^BN$1),0)</f>
        <v>0</v>
      </c>
      <c r="BO38" s="3">
        <f>IF(AND(BO$1&gt;Inputs!$B$6,BO37&gt;=0,BN37&lt;0),BO$1-1-BN37/(BO6/(1+$F$6)^BO$1),0)</f>
        <v>0</v>
      </c>
      <c r="BP38" s="3">
        <f>IF(AND(BP$1&gt;Inputs!$B$6,BP37&gt;=0,BO37&lt;0),BP$1-1-BO37/(BP6/(1+$F$6)^BP$1),0)</f>
        <v>0</v>
      </c>
      <c r="BQ38" s="3">
        <f>IF(AND(BQ$1&gt;Inputs!$B$6,BQ37&gt;=0,BP37&lt;0),BQ$1-1-BP37/(BQ6/(1+$F$6)^BQ$1),0)</f>
        <v>0</v>
      </c>
      <c r="BR38" s="3">
        <f>IF(AND(BR$1&gt;Inputs!$B$6,BR37&gt;=0,BQ37&lt;0),BR$1-1-BQ37/(BR6/(1+$F$6)^BR$1),0)</f>
        <v>0</v>
      </c>
      <c r="BS38" s="3">
        <f>IF(AND(BS$1&gt;Inputs!$B$6,BS37&gt;=0,BR37&lt;0),BS$1-1-BR37/(BS6/(1+$F$6)^BS$1),0)</f>
        <v>0</v>
      </c>
      <c r="BT38" s="3">
        <f>IF(AND(BT$1&gt;Inputs!$B$6,BT37&gt;=0,BS37&lt;0),BT$1-1-BS37/(BT6/(1+$F$6)^BT$1),0)</f>
        <v>0</v>
      </c>
    </row>
    <row r="39" hidden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</row>
    <row r="40" hidden="1">
      <c r="A40" s="2" t="inlineStr">
        <is>
          <t>Cost feasibility stress: EUR 75k/room | cumulative CF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>
        <f>SUM($L7:L7)</f>
        <v>-75000000.0</v>
      </c>
      <c r="M40" s="3">
        <f>SUM($L7:M7)</f>
        <v>-150000000.0</v>
      </c>
      <c r="N40" s="3">
        <f>SUM($L7:N7)</f>
        <v>-150000000.0</v>
      </c>
      <c r="O40" s="3">
        <f>SUM($L7:O7)</f>
        <v>-143331000.0</v>
      </c>
      <c r="P40" s="3">
        <f>SUM($L7:P7)</f>
        <v>-136328550.0</v>
      </c>
      <c r="Q40" s="3">
        <f>SUM($L7:Q7)</f>
        <v>-128975977.5</v>
      </c>
      <c r="R40" s="3">
        <f>SUM($L7:R7)</f>
        <v>-121255776.375</v>
      </c>
      <c r="S40" s="3">
        <f>SUM($L7:S7)</f>
        <v>-113149565.19375</v>
      </c>
      <c r="T40" s="3">
        <f>SUM($L7:T7)</f>
        <v>-104638043.45343749</v>
      </c>
      <c r="U40" s="3">
        <f>SUM($L7:U7)</f>
        <v>-95700945.62610936</v>
      </c>
      <c r="V40" s="3">
        <f>SUM($L7:V7)</f>
        <v>-86316992.90741482</v>
      </c>
      <c r="W40" s="3">
        <f>SUM($L7:W7)</f>
        <v>-76463842.55278556</v>
      </c>
      <c r="X40" s="3">
        <f>SUM($L7:X7)</f>
        <v>-66118034.68042484</v>
      </c>
      <c r="Y40" s="3">
        <f>SUM($L7:Y7)</f>
        <v>-55254936.41444608</v>
      </c>
      <c r="Z40" s="3">
        <f>SUM($L7:Z7)</f>
        <v>-43848683.23516838</v>
      </c>
      <c r="AA40" s="3">
        <f>SUM($L7:AA7)</f>
        <v>-31872117.396926798</v>
      </c>
      <c r="AB40" s="3">
        <f>SUM($L7:AB7)</f>
        <v>-19296723.266773134</v>
      </c>
      <c r="AC40" s="3">
        <f>SUM($L7:AC7)</f>
        <v>-6092559.430111783</v>
      </c>
      <c r="AD40" s="3">
        <f>SUM($L7:AD7)</f>
        <v>7771812.598382637</v>
      </c>
      <c r="AE40" s="3">
        <f>SUM($L7:AE7)</f>
        <v>22329403.228301775</v>
      </c>
      <c r="AF40" s="3">
        <f>SUM($L7:AF7)</f>
        <v>37614873.38971687</v>
      </c>
      <c r="AG40" s="3">
        <f>SUM($L7:AG7)</f>
        <v>53664617.05920272</v>
      </c>
      <c r="AH40" s="3">
        <f>SUM($L7:AH7)</f>
        <v>70516847.91216287</v>
      </c>
      <c r="AI40" s="3">
        <f>SUM($L7:AI7)</f>
        <v>88211690.30777103</v>
      </c>
      <c r="AJ40" s="3">
        <f>SUM($L7:AJ7)</f>
        <v>106791274.82315959</v>
      </c>
      <c r="AK40" s="3">
        <f>SUM($L7:AK7)</f>
        <v>126299838.56431758</v>
      </c>
      <c r="AL40" s="3">
        <f>SUM($L7:AL7)</f>
        <v>146783830.49253348</v>
      </c>
      <c r="AM40" s="3">
        <f>SUM($L7:AM7)</f>
        <v>168292022.01716018</v>
      </c>
      <c r="AN40" s="3">
        <f>SUM($L7:AN7)</f>
        <v>190875623.1180182</v>
      </c>
      <c r="AO40" s="3">
        <f>SUM($L7:AO7)</f>
        <v>214588404.27391914</v>
      </c>
      <c r="AP40" s="3">
        <f>SUM($L7:AP7)</f>
        <v>239486824.4876151</v>
      </c>
      <c r="AQ40" s="3">
        <f>SUM($L7:AQ7)</f>
        <v>265630165.71199587</v>
      </c>
      <c r="AR40" s="3">
        <f>SUM($L7:AR7)</f>
        <v>293080673.99759567</v>
      </c>
      <c r="AS40" s="3">
        <f>SUM($L7:AS7)</f>
        <v>293080673.99759567</v>
      </c>
      <c r="AT40" s="3">
        <f>SUM($L7:AT7)</f>
        <v>293080673.99759567</v>
      </c>
      <c r="AU40" s="3">
        <f>SUM($L7:AU7)</f>
        <v>293080673.99759567</v>
      </c>
      <c r="AV40" s="3">
        <f>SUM($L7:AV7)</f>
        <v>293080673.99759567</v>
      </c>
      <c r="AW40" s="3">
        <f>SUM($L7:AW7)</f>
        <v>293080673.99759567</v>
      </c>
      <c r="AX40" s="3">
        <f>SUM($L7:AX7)</f>
        <v>293080673.99759567</v>
      </c>
      <c r="AY40" s="3">
        <f>SUM($L7:AY7)</f>
        <v>293080673.99759567</v>
      </c>
      <c r="AZ40" s="3">
        <f>SUM($L7:AZ7)</f>
        <v>293080673.99759567</v>
      </c>
      <c r="BA40" s="3">
        <f>SUM($L7:BA7)</f>
        <v>293080673.99759567</v>
      </c>
      <c r="BB40" s="3">
        <f>SUM($L7:BB7)</f>
        <v>293080673.99759567</v>
      </c>
      <c r="BC40" s="3">
        <f>SUM($L7:BC7)</f>
        <v>293080673.99759567</v>
      </c>
      <c r="BD40" s="3">
        <f>SUM($L7:BD7)</f>
        <v>293080673.99759567</v>
      </c>
      <c r="BE40" s="3">
        <f>SUM($L7:BE7)</f>
        <v>293080673.99759567</v>
      </c>
      <c r="BF40" s="3">
        <f>SUM($L7:BF7)</f>
        <v>293080673.99759567</v>
      </c>
      <c r="BG40" s="3">
        <f>SUM($L7:BG7)</f>
        <v>293080673.99759567</v>
      </c>
      <c r="BH40" s="3">
        <f>SUM($L7:BH7)</f>
        <v>293080673.99759567</v>
      </c>
      <c r="BI40" s="3">
        <f>SUM($L7:BI7)</f>
        <v>293080673.99759567</v>
      </c>
      <c r="BJ40" s="3">
        <f>SUM($L7:BJ7)</f>
        <v>293080673.99759567</v>
      </c>
      <c r="BK40" s="3">
        <f>SUM($L7:BK7)</f>
        <v>293080673.99759567</v>
      </c>
      <c r="BL40" s="3">
        <f>SUM($L7:BL7)</f>
        <v>293080673.99759567</v>
      </c>
      <c r="BM40" s="3">
        <f>SUM($L7:BM7)</f>
        <v>293080673.99759567</v>
      </c>
      <c r="BN40" s="3">
        <f>SUM($L7:BN7)</f>
        <v>293080673.99759567</v>
      </c>
      <c r="BO40" s="3">
        <f>SUM($L7:BO7)</f>
        <v>293080673.99759567</v>
      </c>
      <c r="BP40" s="3">
        <f>SUM($L7:BP7)</f>
        <v>293080673.99759567</v>
      </c>
      <c r="BQ40" s="3">
        <f>SUM($L7:BQ7)</f>
        <v>293080673.99759567</v>
      </c>
      <c r="BR40" s="3">
        <f>SUM($L7:BR7)</f>
        <v>293080673.99759567</v>
      </c>
      <c r="BS40" s="3">
        <f>SUM($L7:BS7)</f>
        <v>293080673.99759567</v>
      </c>
      <c r="BT40" s="3">
        <f>SUM($L7:BT7)</f>
        <v>293080673.99759567</v>
      </c>
    </row>
    <row r="41" hidden="1">
      <c r="A41" s="4" t="inlineStr">
        <is>
          <t>Payback crossing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>
        <f>0</f>
        <v>0</v>
      </c>
      <c r="M41" s="9">
        <f>IF(AND(M$1&gt;Inputs!$B$6,M40&gt;=0,L40&lt;0),M$1-1-L40/M7,0)</f>
        <v>0</v>
      </c>
      <c r="N41" s="9">
        <f>IF(AND(N$1&gt;Inputs!$B$6,N40&gt;=0,M40&lt;0),N$1-1-M40/N7,0)</f>
        <v>0</v>
      </c>
      <c r="O41" s="9">
        <f>IF(AND(O$1&gt;Inputs!$B$6,O40&gt;=0,N40&lt;0),O$1-1-N40/O7,0)</f>
        <v>0</v>
      </c>
      <c r="P41" s="9">
        <f>IF(AND(P$1&gt;Inputs!$B$6,P40&gt;=0,O40&lt;0),P$1-1-O40/P7,0)</f>
        <v>0</v>
      </c>
      <c r="Q41" s="9">
        <f>IF(AND(Q$1&gt;Inputs!$B$6,Q40&gt;=0,P40&lt;0),Q$1-1-P40/Q7,0)</f>
        <v>0</v>
      </c>
      <c r="R41" s="9">
        <f>IF(AND(R$1&gt;Inputs!$B$6,R40&gt;=0,Q40&lt;0),R$1-1-Q40/R7,0)</f>
        <v>0</v>
      </c>
      <c r="S41" s="9">
        <f>IF(AND(S$1&gt;Inputs!$B$6,S40&gt;=0,R40&lt;0),S$1-1-R40/S7,0)</f>
        <v>0</v>
      </c>
      <c r="T41" s="9">
        <f>IF(AND(T$1&gt;Inputs!$B$6,T40&gt;=0,S40&lt;0),T$1-1-S40/T7,0)</f>
        <v>0</v>
      </c>
      <c r="U41" s="9">
        <f>IF(AND(U$1&gt;Inputs!$B$6,U40&gt;=0,T40&lt;0),U$1-1-T40/U7,0)</f>
        <v>0</v>
      </c>
      <c r="V41" s="9">
        <f>IF(AND(V$1&gt;Inputs!$B$6,V40&gt;=0,U40&lt;0),V$1-1-U40/V7,0)</f>
        <v>0</v>
      </c>
      <c r="W41" s="9">
        <f>IF(AND(W$1&gt;Inputs!$B$6,W40&gt;=0,V40&lt;0),W$1-1-V40/W7,0)</f>
        <v>0</v>
      </c>
      <c r="X41" s="9">
        <f>IF(AND(X$1&gt;Inputs!$B$6,X40&gt;=0,W40&lt;0),X$1-1-W40/X7,0)</f>
        <v>0</v>
      </c>
      <c r="Y41" s="9">
        <f>IF(AND(Y$1&gt;Inputs!$B$6,Y40&gt;=0,X40&lt;0),Y$1-1-X40/Y7,0)</f>
        <v>0</v>
      </c>
      <c r="Z41" s="9">
        <f>IF(AND(Z$1&gt;Inputs!$B$6,Z40&gt;=0,Y40&lt;0),Z$1-1-Y40/Z7,0)</f>
        <v>0</v>
      </c>
      <c r="AA41" s="9">
        <f>IF(AND(AA$1&gt;Inputs!$B$6,AA40&gt;=0,Z40&lt;0),AA$1-1-Z40/AA7,0)</f>
        <v>0</v>
      </c>
      <c r="AB41" s="9">
        <f>IF(AND(AB$1&gt;Inputs!$B$6,AB40&gt;=0,AA40&lt;0),AB$1-1-AA40/AB7,0)</f>
        <v>0</v>
      </c>
      <c r="AC41" s="9">
        <f>IF(AND(AC$1&gt;Inputs!$B$6,AC40&gt;=0,AB40&lt;0),AC$1-1-AB40/AC7,0)</f>
        <v>0</v>
      </c>
      <c r="AD41" s="9">
        <f>IF(AND(AD$1&gt;Inputs!$B$6,AD40&gt;=0,AC40&lt;0),AD$1-1-AC40/AD7,0)</f>
        <v>17.439439984558277</v>
      </c>
      <c r="AE41" s="9">
        <f>IF(AND(AE$1&gt;Inputs!$B$6,AE40&gt;=0,AD40&lt;0),AE$1-1-AD40/AE7,0)</f>
        <v>0</v>
      </c>
      <c r="AF41" s="9">
        <f>IF(AND(AF$1&gt;Inputs!$B$6,AF40&gt;=0,AE40&lt;0),AF$1-1-AE40/AF7,0)</f>
        <v>0</v>
      </c>
      <c r="AG41" s="9">
        <f>IF(AND(AG$1&gt;Inputs!$B$6,AG40&gt;=0,AF40&lt;0),AG$1-1-AF40/AG7,0)</f>
        <v>0</v>
      </c>
      <c r="AH41" s="9">
        <f>IF(AND(AH$1&gt;Inputs!$B$6,AH40&gt;=0,AG40&lt;0),AH$1-1-AG40/AH7,0)</f>
        <v>0</v>
      </c>
      <c r="AI41" s="9">
        <f>IF(AND(AI$1&gt;Inputs!$B$6,AI40&gt;=0,AH40&lt;0),AI$1-1-AH40/AI7,0)</f>
        <v>0</v>
      </c>
      <c r="AJ41" s="9">
        <f>IF(AND(AJ$1&gt;Inputs!$B$6,AJ40&gt;=0,AI40&lt;0),AJ$1-1-AI40/AJ7,0)</f>
        <v>0</v>
      </c>
      <c r="AK41" s="9">
        <f>IF(AND(AK$1&gt;Inputs!$B$6,AK40&gt;=0,AJ40&lt;0),AK$1-1-AJ40/AK7,0)</f>
        <v>0</v>
      </c>
      <c r="AL41" s="9">
        <f>IF(AND(AL$1&gt;Inputs!$B$6,AL40&gt;=0,AK40&lt;0),AL$1-1-AK40/AL7,0)</f>
        <v>0</v>
      </c>
      <c r="AM41" s="9">
        <f>IF(AND(AM$1&gt;Inputs!$B$6,AM40&gt;=0,AL40&lt;0),AM$1-1-AL40/AM7,0)</f>
        <v>0</v>
      </c>
      <c r="AN41" s="9">
        <f>IF(AND(AN$1&gt;Inputs!$B$6,AN40&gt;=0,AM40&lt;0),AN$1-1-AM40/AN7,0)</f>
        <v>0</v>
      </c>
      <c r="AO41" s="9">
        <f>IF(AND(AO$1&gt;Inputs!$B$6,AO40&gt;=0,AN40&lt;0),AO$1-1-AN40/AO7,0)</f>
        <v>0</v>
      </c>
      <c r="AP41" s="9">
        <f>IF(AND(AP$1&gt;Inputs!$B$6,AP40&gt;=0,AO40&lt;0),AP$1-1-AO40/AP7,0)</f>
        <v>0</v>
      </c>
      <c r="AQ41" s="9">
        <f>IF(AND(AQ$1&gt;Inputs!$B$6,AQ40&gt;=0,AP40&lt;0),AQ$1-1-AP40/AQ7,0)</f>
        <v>0</v>
      </c>
      <c r="AR41" s="9">
        <f>IF(AND(AR$1&gt;Inputs!$B$6,AR40&gt;=0,AQ40&lt;0),AR$1-1-AQ40/AR7,0)</f>
        <v>0</v>
      </c>
      <c r="AS41" s="9">
        <f>IF(AND(AS$1&gt;Inputs!$B$6,AS40&gt;=0,AR40&lt;0),AS$1-1-AR40/AS7,0)</f>
        <v>0</v>
      </c>
      <c r="AT41" s="9">
        <f>IF(AND(AT$1&gt;Inputs!$B$6,AT40&gt;=0,AS40&lt;0),AT$1-1-AS40/AT7,0)</f>
        <v>0</v>
      </c>
      <c r="AU41" s="9">
        <f>IF(AND(AU$1&gt;Inputs!$B$6,AU40&gt;=0,AT40&lt;0),AU$1-1-AT40/AU7,0)</f>
        <v>0</v>
      </c>
      <c r="AV41" s="9">
        <f>IF(AND(AV$1&gt;Inputs!$B$6,AV40&gt;=0,AU40&lt;0),AV$1-1-AU40/AV7,0)</f>
        <v>0</v>
      </c>
      <c r="AW41" s="9">
        <f>IF(AND(AW$1&gt;Inputs!$B$6,AW40&gt;=0,AV40&lt;0),AW$1-1-AV40/AW7,0)</f>
        <v>0</v>
      </c>
      <c r="AX41" s="9">
        <f>IF(AND(AX$1&gt;Inputs!$B$6,AX40&gt;=0,AW40&lt;0),AX$1-1-AW40/AX7,0)</f>
        <v>0</v>
      </c>
      <c r="AY41" s="9">
        <f>IF(AND(AY$1&gt;Inputs!$B$6,AY40&gt;=0,AX40&lt;0),AY$1-1-AX40/AY7,0)</f>
        <v>0</v>
      </c>
      <c r="AZ41" s="9">
        <f>IF(AND(AZ$1&gt;Inputs!$B$6,AZ40&gt;=0,AY40&lt;0),AZ$1-1-AY40/AZ7,0)</f>
        <v>0</v>
      </c>
      <c r="BA41" s="9">
        <f>IF(AND(BA$1&gt;Inputs!$B$6,BA40&gt;=0,AZ40&lt;0),BA$1-1-AZ40/BA7,0)</f>
        <v>0</v>
      </c>
      <c r="BB41" s="9">
        <f>IF(AND(BB$1&gt;Inputs!$B$6,BB40&gt;=0,BA40&lt;0),BB$1-1-BA40/BB7,0)</f>
        <v>0</v>
      </c>
      <c r="BC41" s="9">
        <f>IF(AND(BC$1&gt;Inputs!$B$6,BC40&gt;=0,BB40&lt;0),BC$1-1-BB40/BC7,0)</f>
        <v>0</v>
      </c>
      <c r="BD41" s="9">
        <f>IF(AND(BD$1&gt;Inputs!$B$6,BD40&gt;=0,BC40&lt;0),BD$1-1-BC40/BD7,0)</f>
        <v>0</v>
      </c>
      <c r="BE41" s="9">
        <f>IF(AND(BE$1&gt;Inputs!$B$6,BE40&gt;=0,BD40&lt;0),BE$1-1-BD40/BE7,0)</f>
        <v>0</v>
      </c>
      <c r="BF41" s="9">
        <f>IF(AND(BF$1&gt;Inputs!$B$6,BF40&gt;=0,BE40&lt;0),BF$1-1-BE40/BF7,0)</f>
        <v>0</v>
      </c>
      <c r="BG41" s="9">
        <f>IF(AND(BG$1&gt;Inputs!$B$6,BG40&gt;=0,BF40&lt;0),BG$1-1-BF40/BG7,0)</f>
        <v>0</v>
      </c>
      <c r="BH41" s="9">
        <f>IF(AND(BH$1&gt;Inputs!$B$6,BH40&gt;=0,BG40&lt;0),BH$1-1-BG40/BH7,0)</f>
        <v>0</v>
      </c>
      <c r="BI41" s="9">
        <f>IF(AND(BI$1&gt;Inputs!$B$6,BI40&gt;=0,BH40&lt;0),BI$1-1-BH40/BI7,0)</f>
        <v>0</v>
      </c>
      <c r="BJ41" s="9">
        <f>IF(AND(BJ$1&gt;Inputs!$B$6,BJ40&gt;=0,BI40&lt;0),BJ$1-1-BI40/BJ7,0)</f>
        <v>0</v>
      </c>
      <c r="BK41" s="9">
        <f>IF(AND(BK$1&gt;Inputs!$B$6,BK40&gt;=0,BJ40&lt;0),BK$1-1-BJ40/BK7,0)</f>
        <v>0</v>
      </c>
      <c r="BL41" s="9">
        <f>IF(AND(BL$1&gt;Inputs!$B$6,BL40&gt;=0,BK40&lt;0),BL$1-1-BK40/BL7,0)</f>
        <v>0</v>
      </c>
      <c r="BM41" s="9">
        <f>IF(AND(BM$1&gt;Inputs!$B$6,BM40&gt;=0,BL40&lt;0),BM$1-1-BL40/BM7,0)</f>
        <v>0</v>
      </c>
      <c r="BN41" s="9">
        <f>IF(AND(BN$1&gt;Inputs!$B$6,BN40&gt;=0,BM40&lt;0),BN$1-1-BM40/BN7,0)</f>
        <v>0</v>
      </c>
      <c r="BO41" s="9">
        <f>IF(AND(BO$1&gt;Inputs!$B$6,BO40&gt;=0,BN40&lt;0),BO$1-1-BN40/BO7,0)</f>
        <v>0</v>
      </c>
      <c r="BP41" s="9">
        <f>IF(AND(BP$1&gt;Inputs!$B$6,BP40&gt;=0,BO40&lt;0),BP$1-1-BO40/BP7,0)</f>
        <v>0</v>
      </c>
      <c r="BQ41" s="9">
        <f>IF(AND(BQ$1&gt;Inputs!$B$6,BQ40&gt;=0,BP40&lt;0),BQ$1-1-BP40/BQ7,0)</f>
        <v>0</v>
      </c>
      <c r="BR41" s="9">
        <f>IF(AND(BR$1&gt;Inputs!$B$6,BR40&gt;=0,BQ40&lt;0),BR$1-1-BQ40/BR7,0)</f>
        <v>0</v>
      </c>
      <c r="BS41" s="9">
        <f>IF(AND(BS$1&gt;Inputs!$B$6,BS40&gt;=0,BR40&lt;0),BS$1-1-BR40/BS7,0)</f>
        <v>0</v>
      </c>
      <c r="BT41" s="9">
        <f>IF(AND(BT$1&gt;Inputs!$B$6,BT40&gt;=0,BS40&lt;0),BT$1-1-BS40/BT7,0)</f>
        <v>0</v>
      </c>
    </row>
    <row r="42" hidden="1">
      <c r="A42" s="2" t="inlineStr">
        <is>
          <t>Cumulative PV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3">
        <f>L7/(1+$F$7)^L$1</f>
        <v>-75000000.0</v>
      </c>
      <c r="M42" s="3">
        <f>M7/(1+$F$7)^M$1+L42</f>
        <v>-144252077.56232688</v>
      </c>
      <c r="N42" s="3">
        <f>N7/(1+$F$7)^N$1+M42</f>
        <v>-144252077.56232688</v>
      </c>
      <c r="O42" s="3">
        <f>O7/(1+$F$7)^O$1+N42</f>
        <v>-139001883.60804638</v>
      </c>
      <c r="P42" s="3">
        <f>P7/(1+$F$7)^P$1+O42</f>
        <v>-133911667.86289908</v>
      </c>
      <c r="Q42" s="3">
        <f>Q7/(1+$F$7)^Q$1+P42</f>
        <v>-128976555.64461222</v>
      </c>
      <c r="R42" s="3">
        <f>R7/(1+$F$7)^R$1+Q42</f>
        <v>-124191820.80693798</v>
      </c>
      <c r="S42" s="3">
        <f>S7/(1+$F$7)^S$1+R42</f>
        <v>-119552881.213625</v>
      </c>
      <c r="T42" s="3">
        <f>T7/(1+$F$7)^T$1+S42</f>
        <v>-115055294.35030217</v>
      </c>
      <c r="U42" s="3">
        <f>U7/(1+$F$7)^U$1+T42</f>
        <v>-110694753.07007228</v>
      </c>
      <c r="V42" s="3">
        <f>V7/(1+$F$7)^V$1+U42</f>
        <v>-106467081.46874136</v>
      </c>
      <c r="W42" s="3">
        <f>W7/(1+$F$7)^W$1+V42</f>
        <v>-102368230.88573354</v>
      </c>
      <c r="X42" s="3">
        <f>X7/(1+$F$7)^X$1+W42</f>
        <v>-98394276.0268617</v>
      </c>
      <c r="Y42" s="3">
        <f>Y7/(1+$F$7)^Y$1+X42</f>
        <v>-94541411.2052408</v>
      </c>
      <c r="Z42" s="3">
        <f>Z7/(1+$F$7)^Z$1+Y42</f>
        <v>-90805946.69674408</v>
      </c>
      <c r="AA42" s="3">
        <f>AA7/(1+$F$7)^AA$1+Z42</f>
        <v>-87184305.20651181</v>
      </c>
      <c r="AB42" s="3">
        <f>AB7/(1+$F$7)^AB$1+AA42</f>
        <v>-83673018.44312872</v>
      </c>
      <c r="AC42" s="3">
        <f>AC7/(1+$F$7)^AC$1+AB42</f>
        <v>-80268723.79718943</v>
      </c>
      <c r="AD42" s="3">
        <f>AD7/(1+$F$7)^AD$1+AC42</f>
        <v>-76968161.12107101</v>
      </c>
      <c r="AE42" s="3">
        <f>AE7/(1+$F$7)^AE$1+AD42</f>
        <v>-73768169.60682876</v>
      </c>
      <c r="AF42" s="3">
        <f>AF7/(1+$F$7)^AF$1+AE42</f>
        <v>-70665684.75922549</v>
      </c>
      <c r="AG42" s="3">
        <f>AG7/(1+$F$7)^AG$1+AF42</f>
        <v>-67657735.46099517</v>
      </c>
      <c r="AH42" s="3">
        <f>AH7/(1+$F$7)^AH$1+AG42</f>
        <v>-64741441.12753086</v>
      </c>
      <c r="AI42" s="3">
        <f>AI7/(1+$F$7)^AI$1+AH42</f>
        <v>-61914008.94827183</v>
      </c>
      <c r="AJ42" s="3">
        <f>AJ7/(1+$F$7)^AJ$1+AI42</f>
        <v>-59172731.21214813</v>
      </c>
      <c r="AK42" s="3">
        <f>AK7/(1+$F$7)^AK$1+AJ42</f>
        <v>-56514982.71452127</v>
      </c>
      <c r="AL42" s="3">
        <f>AL7/(1+$F$7)^AL$1+AK42</f>
        <v>-53938218.24313788</v>
      </c>
      <c r="AM42" s="3">
        <f>AM7/(1+$F$7)^AM$1+AL42</f>
        <v>-51439970.14068861</v>
      </c>
      <c r="AN42" s="3">
        <f>AN7/(1+$F$7)^AN$1+AM42</f>
        <v>-49017845.941638075</v>
      </c>
      <c r="AO42" s="3">
        <f>AO7/(1+$F$7)^AO$1+AN42</f>
        <v>-46669526.081062764</v>
      </c>
      <c r="AP42" s="3">
        <f>AP7/(1+$F$7)^AP$1+AO42</f>
        <v>-44392761.67330277</v>
      </c>
      <c r="AQ42" s="3">
        <f>AQ7/(1+$F$7)^AQ$1+AP42</f>
        <v>-42185372.3583</v>
      </c>
      <c r="AR42" s="3">
        <f>AR7/(1+$F$7)^AR$1+AQ42</f>
        <v>-40045244.21356048</v>
      </c>
      <c r="AS42" s="3">
        <f>AS7/(1+$F$7)^AS$1+AR42</f>
        <v>-40045244.21356048</v>
      </c>
      <c r="AT42" s="3">
        <f>AT7/(1+$F$7)^AT$1+AS42</f>
        <v>-40045244.21356048</v>
      </c>
      <c r="AU42" s="3">
        <f>AU7/(1+$F$7)^AU$1+AT42</f>
        <v>-40045244.21356048</v>
      </c>
      <c r="AV42" s="3">
        <f>AV7/(1+$F$7)^AV$1+AU42</f>
        <v>-40045244.21356048</v>
      </c>
      <c r="AW42" s="3">
        <f>AW7/(1+$F$7)^AW$1+AV42</f>
        <v>-40045244.21356048</v>
      </c>
      <c r="AX42" s="3">
        <f>AX7/(1+$F$7)^AX$1+AW42</f>
        <v>-40045244.21356048</v>
      </c>
      <c r="AY42" s="3">
        <f>AY7/(1+$F$7)^AY$1+AX42</f>
        <v>-40045244.21356048</v>
      </c>
      <c r="AZ42" s="3">
        <f>AZ7/(1+$F$7)^AZ$1+AY42</f>
        <v>-40045244.21356048</v>
      </c>
      <c r="BA42" s="3">
        <f>BA7/(1+$F$7)^BA$1+AZ42</f>
        <v>-40045244.21356048</v>
      </c>
      <c r="BB42" s="3">
        <f>BB7/(1+$F$7)^BB$1+BA42</f>
        <v>-40045244.21356048</v>
      </c>
      <c r="BC42" s="3">
        <f>BC7/(1+$F$7)^BC$1+BB42</f>
        <v>-40045244.21356048</v>
      </c>
      <c r="BD42" s="3">
        <f>BD7/(1+$F$7)^BD$1+BC42</f>
        <v>-40045244.21356048</v>
      </c>
      <c r="BE42" s="3">
        <f>BE7/(1+$F$7)^BE$1+BD42</f>
        <v>-40045244.21356048</v>
      </c>
      <c r="BF42" s="3">
        <f>BF7/(1+$F$7)^BF$1+BE42</f>
        <v>-40045244.21356048</v>
      </c>
      <c r="BG42" s="3">
        <f>BG7/(1+$F$7)^BG$1+BF42</f>
        <v>-40045244.21356048</v>
      </c>
      <c r="BH42" s="3">
        <f>BH7/(1+$F$7)^BH$1+BG42</f>
        <v>-40045244.21356048</v>
      </c>
      <c r="BI42" s="3">
        <f>BI7/(1+$F$7)^BI$1+BH42</f>
        <v>-40045244.21356048</v>
      </c>
      <c r="BJ42" s="3">
        <f>BJ7/(1+$F$7)^BJ$1+BI42</f>
        <v>-40045244.21356048</v>
      </c>
      <c r="BK42" s="3">
        <f>BK7/(1+$F$7)^BK$1+BJ42</f>
        <v>-40045244.21356048</v>
      </c>
      <c r="BL42" s="3">
        <f>BL7/(1+$F$7)^BL$1+BK42</f>
        <v>-40045244.21356048</v>
      </c>
      <c r="BM42" s="3">
        <f>BM7/(1+$F$7)^BM$1+BL42</f>
        <v>-40045244.21356048</v>
      </c>
      <c r="BN42" s="3">
        <f>BN7/(1+$F$7)^BN$1+BM42</f>
        <v>-40045244.21356048</v>
      </c>
      <c r="BO42" s="3">
        <f>BO7/(1+$F$7)^BO$1+BN42</f>
        <v>-40045244.21356048</v>
      </c>
      <c r="BP42" s="3">
        <f>BP7/(1+$F$7)^BP$1+BO42</f>
        <v>-40045244.21356048</v>
      </c>
      <c r="BQ42" s="3">
        <f>BQ7/(1+$F$7)^BQ$1+BP42</f>
        <v>-40045244.21356048</v>
      </c>
      <c r="BR42" s="3">
        <f>BR7/(1+$F$7)^BR$1+BQ42</f>
        <v>-40045244.21356048</v>
      </c>
      <c r="BS42" s="3">
        <f>BS7/(1+$F$7)^BS$1+BR42</f>
        <v>-40045244.21356048</v>
      </c>
      <c r="BT42" s="3">
        <f>BT7/(1+$F$7)^BT$1+BS42</f>
        <v>-40045244.21356048</v>
      </c>
    </row>
    <row r="43" hidden="1">
      <c r="A43" s="4" t="inlineStr">
        <is>
          <t>Discounted crossing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9">
        <f>0</f>
        <v>0</v>
      </c>
      <c r="M43" s="9">
        <f>IF(AND(M$1&gt;Inputs!$B$6,M42&gt;=0,L42&lt;0),M$1-1-L42/(M7/(1+$F$7)^M$1),0)</f>
        <v>0</v>
      </c>
      <c r="N43" s="9">
        <f>IF(AND(N$1&gt;Inputs!$B$6,N42&gt;=0,M42&lt;0),N$1-1-M42/(N7/(1+$F$7)^N$1),0)</f>
        <v>0</v>
      </c>
      <c r="O43" s="9">
        <f>IF(AND(O$1&gt;Inputs!$B$6,O42&gt;=0,N42&lt;0),O$1-1-N42/(O7/(1+$F$7)^O$1),0)</f>
        <v>0</v>
      </c>
      <c r="P43" s="9">
        <f>IF(AND(P$1&gt;Inputs!$B$6,P42&gt;=0,O42&lt;0),P$1-1-O42/(P7/(1+$F$7)^P$1),0)</f>
        <v>0</v>
      </c>
      <c r="Q43" s="9">
        <f>IF(AND(Q$1&gt;Inputs!$B$6,Q42&gt;=0,P42&lt;0),Q$1-1-P42/(Q7/(1+$F$7)^Q$1),0)</f>
        <v>0</v>
      </c>
      <c r="R43" s="9">
        <f>IF(AND(R$1&gt;Inputs!$B$6,R42&gt;=0,Q42&lt;0),R$1-1-Q42/(R7/(1+$F$7)^R$1),0)</f>
        <v>0</v>
      </c>
      <c r="S43" s="9">
        <f>IF(AND(S$1&gt;Inputs!$B$6,S42&gt;=0,R42&lt;0),S$1-1-R42/(S7/(1+$F$7)^S$1),0)</f>
        <v>0</v>
      </c>
      <c r="T43" s="9">
        <f>IF(AND(T$1&gt;Inputs!$B$6,T42&gt;=0,S42&lt;0),T$1-1-S42/(T7/(1+$F$7)^T$1),0)</f>
        <v>0</v>
      </c>
      <c r="U43" s="9">
        <f>IF(AND(U$1&gt;Inputs!$B$6,U42&gt;=0,T42&lt;0),U$1-1-T42/(U7/(1+$F$7)^U$1),0)</f>
        <v>0</v>
      </c>
      <c r="V43" s="9">
        <f>IF(AND(V$1&gt;Inputs!$B$6,V42&gt;=0,U42&lt;0),V$1-1-U42/(V7/(1+$F$7)^V$1),0)</f>
        <v>0</v>
      </c>
      <c r="W43" s="9">
        <f>IF(AND(W$1&gt;Inputs!$B$6,W42&gt;=0,V42&lt;0),W$1-1-V42/(W7/(1+$F$7)^W$1),0)</f>
        <v>0</v>
      </c>
      <c r="X43" s="9">
        <f>IF(AND(X$1&gt;Inputs!$B$6,X42&gt;=0,W42&lt;0),X$1-1-W42/(X7/(1+$F$7)^X$1),0)</f>
        <v>0</v>
      </c>
      <c r="Y43" s="9">
        <f>IF(AND(Y$1&gt;Inputs!$B$6,Y42&gt;=0,X42&lt;0),Y$1-1-X42/(Y7/(1+$F$7)^Y$1),0)</f>
        <v>0</v>
      </c>
      <c r="Z43" s="9">
        <f>IF(AND(Z$1&gt;Inputs!$B$6,Z42&gt;=0,Y42&lt;0),Z$1-1-Y42/(Z7/(1+$F$7)^Z$1),0)</f>
        <v>0</v>
      </c>
      <c r="AA43" s="9">
        <f>IF(AND(AA$1&gt;Inputs!$B$6,AA42&gt;=0,Z42&lt;0),AA$1-1-Z42/(AA7/(1+$F$7)^AA$1),0)</f>
        <v>0</v>
      </c>
      <c r="AB43" s="9">
        <f>IF(AND(AB$1&gt;Inputs!$B$6,AB42&gt;=0,AA42&lt;0),AB$1-1-AA42/(AB7/(1+$F$7)^AB$1),0)</f>
        <v>0</v>
      </c>
      <c r="AC43" s="9">
        <f>IF(AND(AC$1&gt;Inputs!$B$6,AC42&gt;=0,AB42&lt;0),AC$1-1-AB42/(AC7/(1+$F$7)^AC$1),0)</f>
        <v>0</v>
      </c>
      <c r="AD43" s="9">
        <f>IF(AND(AD$1&gt;Inputs!$B$6,AD42&gt;=0,AC42&lt;0),AD$1-1-AC42/(AD7/(1+$F$7)^AD$1),0)</f>
        <v>0</v>
      </c>
      <c r="AE43" s="9">
        <f>IF(AND(AE$1&gt;Inputs!$B$6,AE42&gt;=0,AD42&lt;0),AE$1-1-AD42/(AE7/(1+$F$7)^AE$1),0)</f>
        <v>0</v>
      </c>
      <c r="AF43" s="9">
        <f>IF(AND(AF$1&gt;Inputs!$B$6,AF42&gt;=0,AE42&lt;0),AF$1-1-AE42/(AF7/(1+$F$7)^AF$1),0)</f>
        <v>0</v>
      </c>
      <c r="AG43" s="9">
        <f>IF(AND(AG$1&gt;Inputs!$B$6,AG42&gt;=0,AF42&lt;0),AG$1-1-AF42/(AG7/(1+$F$7)^AG$1),0)</f>
        <v>0</v>
      </c>
      <c r="AH43" s="9">
        <f>IF(AND(AH$1&gt;Inputs!$B$6,AH42&gt;=0,AG42&lt;0),AH$1-1-AG42/(AH7/(1+$F$7)^AH$1),0)</f>
        <v>0</v>
      </c>
      <c r="AI43" s="9">
        <f>IF(AND(AI$1&gt;Inputs!$B$6,AI42&gt;=0,AH42&lt;0),AI$1-1-AH42/(AI7/(1+$F$7)^AI$1),0)</f>
        <v>0</v>
      </c>
      <c r="AJ43" s="9">
        <f>IF(AND(AJ$1&gt;Inputs!$B$6,AJ42&gt;=0,AI42&lt;0),AJ$1-1-AI42/(AJ7/(1+$F$7)^AJ$1),0)</f>
        <v>0</v>
      </c>
      <c r="AK43" s="9">
        <f>IF(AND(AK$1&gt;Inputs!$B$6,AK42&gt;=0,AJ42&lt;0),AK$1-1-AJ42/(AK7/(1+$F$7)^AK$1),0)</f>
        <v>0</v>
      </c>
      <c r="AL43" s="9">
        <f>IF(AND(AL$1&gt;Inputs!$B$6,AL42&gt;=0,AK42&lt;0),AL$1-1-AK42/(AL7/(1+$F$7)^AL$1),0)</f>
        <v>0</v>
      </c>
      <c r="AM43" s="9">
        <f>IF(AND(AM$1&gt;Inputs!$B$6,AM42&gt;=0,AL42&lt;0),AM$1-1-AL42/(AM7/(1+$F$7)^AM$1),0)</f>
        <v>0</v>
      </c>
      <c r="AN43" s="9">
        <f>IF(AND(AN$1&gt;Inputs!$B$6,AN42&gt;=0,AM42&lt;0),AN$1-1-AM42/(AN7/(1+$F$7)^AN$1),0)</f>
        <v>0</v>
      </c>
      <c r="AO43" s="9">
        <f>IF(AND(AO$1&gt;Inputs!$B$6,AO42&gt;=0,AN42&lt;0),AO$1-1-AN42/(AO7/(1+$F$7)^AO$1),0)</f>
        <v>0</v>
      </c>
      <c r="AP43" s="9">
        <f>IF(AND(AP$1&gt;Inputs!$B$6,AP42&gt;=0,AO42&lt;0),AP$1-1-AO42/(AP7/(1+$F$7)^AP$1),0)</f>
        <v>0</v>
      </c>
      <c r="AQ43" s="9">
        <f>IF(AND(AQ$1&gt;Inputs!$B$6,AQ42&gt;=0,AP42&lt;0),AQ$1-1-AP42/(AQ7/(1+$F$7)^AQ$1),0)</f>
        <v>0</v>
      </c>
      <c r="AR43" s="9">
        <f>IF(AND(AR$1&gt;Inputs!$B$6,AR42&gt;=0,AQ42&lt;0),AR$1-1-AQ42/(AR7/(1+$F$7)^AR$1),0)</f>
        <v>0</v>
      </c>
      <c r="AS43" s="9">
        <f>IF(AND(AS$1&gt;Inputs!$B$6,AS42&gt;=0,AR42&lt;0),AS$1-1-AR42/(AS7/(1+$F$7)^AS$1),0)</f>
        <v>0</v>
      </c>
      <c r="AT43" s="9">
        <f>IF(AND(AT$1&gt;Inputs!$B$6,AT42&gt;=0,AS42&lt;0),AT$1-1-AS42/(AT7/(1+$F$7)^AT$1),0)</f>
        <v>0</v>
      </c>
      <c r="AU43" s="9">
        <f>IF(AND(AU$1&gt;Inputs!$B$6,AU42&gt;=0,AT42&lt;0),AU$1-1-AT42/(AU7/(1+$F$7)^AU$1),0)</f>
        <v>0</v>
      </c>
      <c r="AV43" s="9">
        <f>IF(AND(AV$1&gt;Inputs!$B$6,AV42&gt;=0,AU42&lt;0),AV$1-1-AU42/(AV7/(1+$F$7)^AV$1),0)</f>
        <v>0</v>
      </c>
      <c r="AW43" s="9">
        <f>IF(AND(AW$1&gt;Inputs!$B$6,AW42&gt;=0,AV42&lt;0),AW$1-1-AV42/(AW7/(1+$F$7)^AW$1),0)</f>
        <v>0</v>
      </c>
      <c r="AX43" s="9">
        <f>IF(AND(AX$1&gt;Inputs!$B$6,AX42&gt;=0,AW42&lt;0),AX$1-1-AW42/(AX7/(1+$F$7)^AX$1),0)</f>
        <v>0</v>
      </c>
      <c r="AY43" s="9">
        <f>IF(AND(AY$1&gt;Inputs!$B$6,AY42&gt;=0,AX42&lt;0),AY$1-1-AX42/(AY7/(1+$F$7)^AY$1),0)</f>
        <v>0</v>
      </c>
      <c r="AZ43" s="9">
        <f>IF(AND(AZ$1&gt;Inputs!$B$6,AZ42&gt;=0,AY42&lt;0),AZ$1-1-AY42/(AZ7/(1+$F$7)^AZ$1),0)</f>
        <v>0</v>
      </c>
      <c r="BA43" s="9">
        <f>IF(AND(BA$1&gt;Inputs!$B$6,BA42&gt;=0,AZ42&lt;0),BA$1-1-AZ42/(BA7/(1+$F$7)^BA$1),0)</f>
        <v>0</v>
      </c>
      <c r="BB43" s="9">
        <f>IF(AND(BB$1&gt;Inputs!$B$6,BB42&gt;=0,BA42&lt;0),BB$1-1-BA42/(BB7/(1+$F$7)^BB$1),0)</f>
        <v>0</v>
      </c>
      <c r="BC43" s="9">
        <f>IF(AND(BC$1&gt;Inputs!$B$6,BC42&gt;=0,BB42&lt;0),BC$1-1-BB42/(BC7/(1+$F$7)^BC$1),0)</f>
        <v>0</v>
      </c>
      <c r="BD43" s="9">
        <f>IF(AND(BD$1&gt;Inputs!$B$6,BD42&gt;=0,BC42&lt;0),BD$1-1-BC42/(BD7/(1+$F$7)^BD$1),0)</f>
        <v>0</v>
      </c>
      <c r="BE43" s="9">
        <f>IF(AND(BE$1&gt;Inputs!$B$6,BE42&gt;=0,BD42&lt;0),BE$1-1-BD42/(BE7/(1+$F$7)^BE$1),0)</f>
        <v>0</v>
      </c>
      <c r="BF43" s="9">
        <f>IF(AND(BF$1&gt;Inputs!$B$6,BF42&gt;=0,BE42&lt;0),BF$1-1-BE42/(BF7/(1+$F$7)^BF$1),0)</f>
        <v>0</v>
      </c>
      <c r="BG43" s="9">
        <f>IF(AND(BG$1&gt;Inputs!$B$6,BG42&gt;=0,BF42&lt;0),BG$1-1-BF42/(BG7/(1+$F$7)^BG$1),0)</f>
        <v>0</v>
      </c>
      <c r="BH43" s="9">
        <f>IF(AND(BH$1&gt;Inputs!$B$6,BH42&gt;=0,BG42&lt;0),BH$1-1-BG42/(BH7/(1+$F$7)^BH$1),0)</f>
        <v>0</v>
      </c>
      <c r="BI43" s="9">
        <f>IF(AND(BI$1&gt;Inputs!$B$6,BI42&gt;=0,BH42&lt;0),BI$1-1-BH42/(BI7/(1+$F$7)^BI$1),0)</f>
        <v>0</v>
      </c>
      <c r="BJ43" s="9">
        <f>IF(AND(BJ$1&gt;Inputs!$B$6,BJ42&gt;=0,BI42&lt;0),BJ$1-1-BI42/(BJ7/(1+$F$7)^BJ$1),0)</f>
        <v>0</v>
      </c>
      <c r="BK43" s="9">
        <f>IF(AND(BK$1&gt;Inputs!$B$6,BK42&gt;=0,BJ42&lt;0),BK$1-1-BJ42/(BK7/(1+$F$7)^BK$1),0)</f>
        <v>0</v>
      </c>
      <c r="BL43" s="9">
        <f>IF(AND(BL$1&gt;Inputs!$B$6,BL42&gt;=0,BK42&lt;0),BL$1-1-BK42/(BL7/(1+$F$7)^BL$1),0)</f>
        <v>0</v>
      </c>
      <c r="BM43" s="9">
        <f>IF(AND(BM$1&gt;Inputs!$B$6,BM42&gt;=0,BL42&lt;0),BM$1-1-BL42/(BM7/(1+$F$7)^BM$1),0)</f>
        <v>0</v>
      </c>
      <c r="BN43" s="9">
        <f>IF(AND(BN$1&gt;Inputs!$B$6,BN42&gt;=0,BM42&lt;0),BN$1-1-BM42/(BN7/(1+$F$7)^BN$1),0)</f>
        <v>0</v>
      </c>
      <c r="BO43" s="9">
        <f>IF(AND(BO$1&gt;Inputs!$B$6,BO42&gt;=0,BN42&lt;0),BO$1-1-BN42/(BO7/(1+$F$7)^BO$1),0)</f>
        <v>0</v>
      </c>
      <c r="BP43" s="9">
        <f>IF(AND(BP$1&gt;Inputs!$B$6,BP42&gt;=0,BO42&lt;0),BP$1-1-BO42/(BP7/(1+$F$7)^BP$1),0)</f>
        <v>0</v>
      </c>
      <c r="BQ43" s="9">
        <f>IF(AND(BQ$1&gt;Inputs!$B$6,BQ42&gt;=0,BP42&lt;0),BQ$1-1-BP42/(BQ7/(1+$F$7)^BQ$1),0)</f>
        <v>0</v>
      </c>
      <c r="BR43" s="9">
        <f>IF(AND(BR$1&gt;Inputs!$B$6,BR42&gt;=0,BQ42&lt;0),BR$1-1-BQ42/(BR7/(1+$F$7)^BR$1),0)</f>
        <v>0</v>
      </c>
      <c r="BS43" s="9">
        <f>IF(AND(BS$1&gt;Inputs!$B$6,BS42&gt;=0,BR42&lt;0),BS$1-1-BR42/(BS7/(1+$F$7)^BS$1),0)</f>
        <v>0</v>
      </c>
      <c r="BT43" s="9">
        <f>IF(AND(BT$1&gt;Inputs!$B$6,BT42&gt;=0,BS42&lt;0),BT$1-1-BS42/(BT7/(1+$F$7)^BT$1),0)</f>
        <v>0</v>
      </c>
    </row>
    <row r="44" hidden="1"/>
  </sheetData>
  <autoFilter ref="A1:K7"/>
  <mergeCells count="1">
    <mergeCell ref="A10:K10"/>
  </mergeCells>
  <conditionalFormatting sqref="K2:K7">
    <cfRule type="cellIs" priority="1" operator="equal" dxfId="0">
      <formula>"FAIL"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 ht="35" customHeight="1">
      <c r="A1" s="1" t="inlineStr">
        <is>
          <t>NPV EUR | occupancy vs discount rate</t>
        </is>
      </c>
      <c r="B1" s="16" t="n">
        <v>0.043</v>
      </c>
      <c r="C1" s="16" t="n">
        <v>0.063</v>
      </c>
      <c r="D1" s="16" t="n">
        <v>0.083</v>
      </c>
      <c r="E1" s="16" t="n">
        <v>0.103</v>
      </c>
    </row>
    <row r="2">
      <c r="A2" s="8" t="n">
        <v>0.6</v>
      </c>
      <c r="B2" s="3">
        <f>SUMPRODUCT(('Cash Flow'!D2:D62*Inputs!$B$2*12*$A2*(1-Inputs!$B$9-Inputs!$B$10)-'Cash Flow'!H2:H62+'Cash Flow'!I2:I62)/(1+B$1)^'Cash Flow'!A2:A62)</f>
        <v>108224712.5517182</v>
      </c>
      <c r="C2" s="3">
        <f>SUMPRODUCT(('Cash Flow'!D2:D62*Inputs!$B$2*12*$A2*(1-Inputs!$B$9-Inputs!$B$10)-'Cash Flow'!H2:H62+'Cash Flow'!I2:I62)/(1+C$1)^'Cash Flow'!A2:A62)</f>
        <v>73952528.58328949</v>
      </c>
      <c r="D2" s="3">
        <f>SUMPRODUCT(('Cash Flow'!D2:D62*Inputs!$B$2*12*$A2*(1-Inputs!$B$9-Inputs!$B$10)-'Cash Flow'!H2:H62+'Cash Flow'!I2:I62)/(1+D$1)^'Cash Flow'!A2:A62)</f>
        <v>51389634.35877768</v>
      </c>
      <c r="E2" s="3">
        <f>SUMPRODUCT(('Cash Flow'!D2:D62*Inputs!$B$2*12*$A2*(1-Inputs!$B$9-Inputs!$B$10)-'Cash Flow'!H2:H62+'Cash Flow'!I2:I62)/(1+E$1)^'Cash Flow'!A2:A62)</f>
        <v>36112751.12997665</v>
      </c>
    </row>
    <row r="3">
      <c r="A3" s="5" t="n">
        <v>0.8</v>
      </c>
      <c r="B3" s="9">
        <f>SUMPRODUCT(('Cash Flow'!D2:D62*Inputs!$B$2*12*$A3*(1-Inputs!$B$9-Inputs!$B$10)-'Cash Flow'!H2:H62+'Cash Flow'!I2:I62)/(1+B$1)^'Cash Flow'!A2:A62)</f>
        <v>149196548.66275755</v>
      </c>
      <c r="C3" s="9">
        <f>SUMPRODUCT(('Cash Flow'!D2:D62*Inputs!$B$2*12*$A3*(1-Inputs!$B$9-Inputs!$B$10)-'Cash Flow'!H2:H62+'Cash Flow'!I2:I62)/(1+C$1)^'Cash Flow'!A2:A62)</f>
        <v>103455205.87524208</v>
      </c>
      <c r="D3" s="9">
        <f>SUMPRODUCT(('Cash Flow'!D2:D62*Inputs!$B$2*12*$A3*(1-Inputs!$B$9-Inputs!$B$10)-'Cash Flow'!H2:H62+'Cash Flow'!I2:I62)/(1+D$1)^'Cash Flow'!A2:A62)</f>
        <v>73327915.06378116</v>
      </c>
      <c r="E3" s="9">
        <f>SUMPRODUCT(('Cash Flow'!D2:D62*Inputs!$B$2*12*$A3*(1-Inputs!$B$9-Inputs!$B$10)-'Cash Flow'!H2:H62+'Cash Flow'!I2:I62)/(1+E$1)^'Cash Flow'!A2:A62)</f>
        <v>52916880.6241937</v>
      </c>
    </row>
    <row r="4">
      <c r="A4" s="8" t="n">
        <v>0.9</v>
      </c>
      <c r="B4" s="3">
        <f>SUMPRODUCT(('Cash Flow'!D2:D62*Inputs!$B$2*12*$A4*(1-Inputs!$B$9-Inputs!$B$10)-'Cash Flow'!H2:H62+'Cash Flow'!I2:I62)/(1+B$1)^'Cash Flow'!A2:A62)</f>
        <v>169682466.71827722</v>
      </c>
      <c r="C4" s="3">
        <f>SUMPRODUCT(('Cash Flow'!D2:D62*Inputs!$B$2*12*$A4*(1-Inputs!$B$9-Inputs!$B$10)-'Cash Flow'!H2:H62+'Cash Flow'!I2:I62)/(1+C$1)^'Cash Flow'!A2:A62)</f>
        <v>118206544.52121836</v>
      </c>
      <c r="D4" s="3">
        <f>SUMPRODUCT(('Cash Flow'!D2:D62*Inputs!$B$2*12*$A4*(1-Inputs!$B$9-Inputs!$B$10)-'Cash Flow'!H2:H62+'Cash Flow'!I2:I62)/(1+D$1)^'Cash Flow'!A2:A62)</f>
        <v>84297055.41628292</v>
      </c>
      <c r="E4" s="3">
        <f>SUMPRODUCT(('Cash Flow'!D2:D62*Inputs!$B$2*12*$A4*(1-Inputs!$B$9-Inputs!$B$10)-'Cash Flow'!H2:H62+'Cash Flow'!I2:I62)/(1+E$1)^'Cash Flow'!A2:A62)</f>
        <v>61318945.37130225</v>
      </c>
    </row>
    <row r="5">
      <c r="A5" s="5" t="n">
        <v>0.95</v>
      </c>
      <c r="B5" s="9">
        <f>SUMPRODUCT(('Cash Flow'!D2:D62*Inputs!$B$2*12*$A5*(1-Inputs!$B$9-Inputs!$B$10)-'Cash Flow'!H2:H62+'Cash Flow'!I2:I62)/(1+B$1)^'Cash Flow'!A2:A62)</f>
        <v>179925425.7460371</v>
      </c>
      <c r="C5" s="9">
        <f>SUMPRODUCT(('Cash Flow'!D2:D62*Inputs!$B$2*12*$A5*(1-Inputs!$B$9-Inputs!$B$10)-'Cash Flow'!H2:H62+'Cash Flow'!I2:I62)/(1+C$1)^'Cash Flow'!A2:A62)</f>
        <v>125582213.8442065</v>
      </c>
      <c r="D5" s="9">
        <f>SUMPRODUCT(('Cash Flow'!D2:D62*Inputs!$B$2*12*$A5*(1-Inputs!$B$9-Inputs!$B$10)-'Cash Flow'!H2:H62+'Cash Flow'!I2:I62)/(1+D$1)^'Cash Flow'!A2:A62)</f>
        <v>89781625.59253375</v>
      </c>
      <c r="E5" s="9">
        <f>SUMPRODUCT(('Cash Flow'!D2:D62*Inputs!$B$2*12*$A5*(1-Inputs!$B$9-Inputs!$B$10)-'Cash Flow'!H2:H62+'Cash Flow'!I2:I62)/(1+E$1)^'Cash Flow'!A2:A62)</f>
        <v>65519977.74485649</v>
      </c>
    </row>
    <row r="6">
      <c r="A6" s="8" t="n">
        <v>1</v>
      </c>
      <c r="B6" s="3">
        <f>SUMPRODUCT(('Cash Flow'!D2:D62*Inputs!$B$2*12*$A6*(1-Inputs!$B$9-Inputs!$B$10)-'Cash Flow'!H2:H62+'Cash Flow'!I2:I62)/(1+B$1)^'Cash Flow'!A2:A62)</f>
        <v>190168384.77379692</v>
      </c>
      <c r="C6" s="3">
        <f>SUMPRODUCT(('Cash Flow'!D2:D62*Inputs!$B$2*12*$A6*(1-Inputs!$B$9-Inputs!$B$10)-'Cash Flow'!H2:H62+'Cash Flow'!I2:I62)/(1+C$1)^'Cash Flow'!A2:A62)</f>
        <v>132957883.16719463</v>
      </c>
      <c r="D6" s="3">
        <f>SUMPRODUCT(('Cash Flow'!D2:D62*Inputs!$B$2*12*$A6*(1-Inputs!$B$9-Inputs!$B$10)-'Cash Flow'!H2:H62+'Cash Flow'!I2:I62)/(1+D$1)^'Cash Flow'!A2:A62)</f>
        <v>95266195.7687846</v>
      </c>
      <c r="E6" s="3">
        <f>SUMPRODUCT(('Cash Flow'!D2:D62*Inputs!$B$2*12*$A6*(1-Inputs!$B$9-Inputs!$B$10)-'Cash Flow'!H2:H62+'Cash Flow'!I2:I62)/(1+E$1)^'Cash Flow'!A2:A62)</f>
        <v>69721010.11841078</v>
      </c>
    </row>
    <row r="7">
      <c r="A7" s="4" t="n"/>
      <c r="B7" s="4" t="n"/>
      <c r="C7" s="4" t="n"/>
      <c r="D7" s="4" t="n"/>
      <c r="E7" s="4" t="n"/>
    </row>
    <row r="8">
      <c r="A8" s="2" t="n"/>
      <c r="B8" s="2" t="n"/>
      <c r="C8" s="2" t="n"/>
      <c r="D8" s="2" t="n"/>
      <c r="E8" s="2" t="n"/>
    </row>
    <row r="9" ht="45" customHeight="1">
      <c r="A9" s="4" t="inlineStr">
        <is>
          <t>Rates and occupancy are editable stress inputs; other assumptions follow Inputs. Positive NPV does not establish construction feasibility.</t>
        </is>
      </c>
      <c r="B9" s="4" t="n"/>
      <c r="C9" s="4" t="n"/>
      <c r="D9" s="4" t="n"/>
      <c r="E9" s="4" t="n"/>
    </row>
  </sheetData>
  <autoFilter ref="A1:E9"/>
  <mergeCells count="1">
    <mergeCell ref="A9:E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5" customWidth="1" min="2" max="2"/>
    <col width="94" customWidth="1" min="3" max="3"/>
  </cols>
  <sheetData>
    <row r="1" ht="35" customHeight="1">
      <c r="A1" s="1" t="inlineStr">
        <is>
          <t>SOURCE / METHOD</t>
        </is>
      </c>
      <c r="B1" s="1" t="inlineStr">
        <is>
          <t>Evidence / model use</t>
        </is>
      </c>
      <c r="C1" s="1" t="inlineStr">
        <is>
          <t>URL / status</t>
        </is>
      </c>
    </row>
    <row r="2" ht="60" customHeight="1">
      <c r="A2" s="2" t="inlineStr">
        <is>
          <t>Belgian Federal Debt Agency</t>
        </is>
      </c>
      <c r="B2" s="2" t="inlineStr">
        <is>
          <t>10-year sovereign rate 4.30%; source observation dated 14 October 2026; accessed 14 October 2026. Used as nominal reference, not a mandated property hurdle rate.</t>
        </is>
      </c>
      <c r="C2" s="2" t="inlineStr">
        <is>
          <t>https://www.debtagency.be/nl</t>
        </is>
      </c>
    </row>
    <row r="3" ht="60" customHeight="1">
      <c r="A3" s="4" t="inlineStr">
        <is>
          <t>Brussels-Capital Region</t>
        </is>
      </c>
      <c r="B3" s="4" t="inlineStr">
        <is>
          <t>Residential rent adjustment follows the health index, subject to lease registration, EPB and request requirements. Annual fixed 5% is modeled only as the user scenario.</t>
        </is>
      </c>
      <c r="C3" s="4" t="inlineStr">
        <is>
          <t>https://be.brussels/en/housing/rental/lease-contracts/rental-price-indexation</t>
        </is>
      </c>
    </row>
    <row r="4" ht="60" customHeight="1">
      <c r="A4" s="2" t="inlineStr">
        <is>
          <t>User requirements</t>
        </is>
      </c>
      <c r="B4" s="2" t="inlineStr">
        <is>
          <t>2,000 rooms; EUR 15m construction budget; EUR 450 opening rent; 5% annual growth; 2-year build; NPV &gt; 0; IRR &gt; discount rate; payback &lt;= 10 years.</t>
        </is>
      </c>
      <c r="C4" s="2" t="inlineStr">
        <is>
          <t>Provided in task</t>
        </is>
      </c>
    </row>
    <row r="5" ht="60" customHeight="1">
      <c r="A5" s="4" t="inlineStr">
        <is>
          <t>Analyst assumptions</t>
        </is>
      </c>
      <c r="B5" s="4" t="inlineStr">
        <is>
          <t>30 operating years; 95% occupancy; costs 30% and reserve 5%; no terminal value; 0% project premium. All editable.</t>
        </is>
      </c>
      <c r="C5" s="4" t="inlineStr">
        <is>
          <t>Not independently sourced</t>
        </is>
      </c>
    </row>
    <row r="6" ht="60" customHeight="1">
      <c r="A6" s="2" t="inlineStr">
        <is>
          <t>Construction schedule</t>
        </is>
      </c>
      <c r="B6" s="2" t="inlineStr">
        <is>
          <t>Equal payments at t=0 through t=construction years-1; opening at t=construction years; first annual rent receipt one year later.</t>
        </is>
      </c>
      <c r="C6" s="2" t="inlineStr">
        <is>
          <t>Cash flow timing convention</t>
        </is>
      </c>
    </row>
    <row r="7" ht="60" customHeight="1">
      <c r="A7" s="4" t="inlineStr">
        <is>
          <t>NPV and IRR</t>
        </is>
      </c>
      <c r="B7" s="4" t="inlineStr">
        <is>
          <t>NPV = sum CF(t)/(1+r)^t, including t=0. IRR is the annual rate setting NPV to zero; nominal cash flows use a nominal rate.</t>
        </is>
      </c>
      <c r="C7" s="4" t="inlineStr">
        <is>
          <t>Excel formulas; initial cached values calculated independently in Python</t>
        </is>
      </c>
    </row>
    <row r="8" ht="60" customHeight="1">
      <c r="A8" s="2" t="inlineStr">
        <is>
          <t>Payback</t>
        </is>
      </c>
      <c r="B8" s="2" t="inlineStr">
        <is>
          <t>Fractional crossing = preceding year + unrecovered balance / crossing-year cash flow. Discounted version uses PV cash flows. No recovery returns Not reached.</t>
        </is>
      </c>
      <c r="C8" s="2" t="inlineStr">
        <is>
          <t>From first commitment, not from opening</t>
        </is>
      </c>
    </row>
    <row r="9" ht="60" customHeight="1">
      <c r="A9" s="4" t="inlineStr">
        <is>
          <t>Funding and tax</t>
        </is>
      </c>
      <c r="B9" s="4" t="inlineStr">
        <is>
          <t>Construction allocation sums to EUR 15m. Additional costs increase total funding and can exceed this amount. No financing, corporate tax or independently estimated VAT/land costs.</t>
        </is>
      </c>
      <c r="C9" s="4" t="inlineStr">
        <is>
          <t>Pre-tax, unlevered scope</t>
        </is>
      </c>
    </row>
    <row r="10" ht="60" customHeight="1">
      <c r="A10" s="2" t="inlineStr">
        <is>
          <t>Recalculation</t>
        </is>
      </c>
      <c r="B10" s="2" t="inlineStr">
        <is>
          <t>Workbook stores numeric formula caches for immediate viewing; Excel recalculates after edits. Supported construction 1–10 years, operation 1–50 years.</t>
        </is>
      </c>
      <c r="C10" s="2" t="inlineStr">
        <is>
          <t>Rebuild with python3 build_model.py; needs openpyxl</t>
        </is>
      </c>
    </row>
  </sheetData>
  <autoFilter ref="A1:C1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2026-10-14T15:00:27Z</dcterms:created>
  <dcterms:modified xsi:type="dcterms:W3CDTF">2026-10-14T15:00:28Z</dcterms:modified>
</cp:coreProperties>
</file>