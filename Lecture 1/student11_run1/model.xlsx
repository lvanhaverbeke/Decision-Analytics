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Report" sheetId="1" state="visible" r:id="rId1"/>
    <sheet name="Guide" sheetId="2" state="visible" r:id="rId2"/>
    <sheet name="Inputs" sheetId="3" state="visible" r:id="rId3"/>
    <sheet name="Municipalities" sheetId="4" state="visible" r:id="rId4"/>
    <sheet name="Projects" sheetId="5" state="visible" r:id="rId5"/>
    <sheet name="Cash Flows" sheetId="6" state="visible" r:id="rId6"/>
    <sheet name="Portfolios" sheetId="7" state="visible" r:id="rId7"/>
    <sheet name="Scenarios" sheetId="8" state="visible" r:id="rId8"/>
    <sheet name="Iterations" sheetId="9" state="visible" r:id="rId9"/>
    <sheet name="Sources" sheetId="10" state="visible" r:id="rId10"/>
    <sheet name="Checks" sheetId="11" state="visible" r:id="rId11"/>
  </sheets>
  <definedNames>
    <definedName name="_xlnm._FilterDatabase" localSheetId="2" hidden="1">'Inputs'!$A$1:$C$18</definedName>
    <definedName name="_xlnm._FilterDatabase" localSheetId="3" hidden="1">'Municipalities'!$A$1:$F$20</definedName>
    <definedName name="_xlnm._FilterDatabase" localSheetId="4" hidden="1">'Projects'!$A$1:$S$9</definedName>
    <definedName name="_xlnm._FilterDatabase" localSheetId="5" hidden="1">'Cash Flows'!$A$1:$D$169</definedName>
    <definedName name="_xlnm._FilterDatabase" localSheetId="6" hidden="1">'Portfolios'!$A$1:$Q$257</definedName>
    <definedName name="_xlnm._FilterDatabase" localSheetId="7" hidden="1">'Scenarios'!$A$1:$K$5</definedName>
    <definedName name="_xlnm._FilterDatabase" localSheetId="8" hidden="1">'Iterations'!$A$1:$E$5</definedName>
    <definedName name="_xlnm._FilterDatabase" localSheetId="9" hidden="1">'Sources'!$A$1:$D$7</definedName>
    <definedName name="_xlnm._FilterDatabase" localSheetId="10" hidden="1">'Checks'!$A$1:$C$7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€&quot;;[Red](#,##0) &quot;€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1"/>
    </font>
    <font>
      <color rgb="000070C0"/>
    </font>
    <font>
      <color rgb="0000805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3" fontId="3" fillId="3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9" fontId="4" fillId="3" borderId="0" applyAlignment="1" pivotButton="0" quotePrefix="0" xfId="0">
      <alignment vertical="top" wrapText="1"/>
    </xf>
    <xf numFmtId="9" fontId="3" fillId="3" borderId="0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Selected portfolio: scenario NPV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'Scenarios'!I1</f>
            </strRef>
          </tx>
          <spPr>
            <a:ln>
              <a:prstDash val="solid"/>
            </a:ln>
          </spPr>
          <cat>
            <numRef>
              <f>'Scenarios'!$A$2:$A$4</f>
            </numRef>
          </cat>
          <val>
            <numRef>
              <f>'Scenarios'!$I$2:$I$4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C2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05" customWidth="1" min="2" max="2"/>
    <s:col width="25" customWidth="1" min="3" max="3"/>
  </s:cols>
  <s:sheetData>
    <s:row r="1" ht="34" customHeight="1">
      <s:c r="A1" s="1" t="inlineStr">
        <s:is>
          <s:t>BRUSSELS STUDENT HOUSING</s:t>
        </s:is>
      </s:c>
      <s:c r="B1" s="1" t="inlineStr">
        <s:is>
          <s:t>EXECUTIVE DECISION REPORT | v2.0</s:t>
        </s:is>
      </s:c>
      <s:c r="C1" s="1" t="n"/>
    </s:row>
    <s:row r="2" ht="34" customHeight="1">
      <s:c r="A2" s="2" t="inlineStr">
        <s:is>
          <s:t>Recommendation</s:t>
        </s:is>
      </s:c>
      <s:c r="B2" s="2" t="inlineStr">
        <s:is>
          <s:t>Conditional shortlist: maximize affordable beds under the EUR15m planning budget.</s:t>
        </s:is>
      </s:c>
      <s:c r="C2" s="2" t="n"/>
    </s:row>
    <s:row r="3" ht="34" customHeight="1">
      <s:c r="A3" s="3" t="inlineStr">
        <s:is>
          <s:t>Evidence</s:t>
        </s:is>
      </s:c>
      <s:c r="B3" s="3" t="inlineStr">
        <s:is>
          <s:t>Brussels average total rent EUR695 in Kotkompas 2025–2026; designated supply is constrained (Sources).</s:t>
        </s:is>
      </s:c>
      <s:c r="C3" s="3" t="n"/>
    </s:row>
    <s:row r="4" ht="34" customHeight="1">
      <s:c r="A4" s="2" t="inlineStr">
        <s:is>
          <s:t>Approval gate</s:t>
        </s:is>
      </s:c>
      <s:c r="B4" s="2" t="inlineStr">
        <s:is>
          <s:t>Municipal and project policy applicability, social eligibility and quotes must be confirmed before commitment.</s:t>
        </s:is>
      </s:c>
      <s:c r="C4" s="2" t="n"/>
    </s:row>
    <s:row r="5" ht="34" customHeight="1">
      <s:c r="A5" s="3" t="inlineStr">
        <s:is>
          <s:t>Decision metric</s:t>
        </s:is>
      </s:c>
      <s:c r="B5" s="3" t="inlineStr">
        <s:is>
          <s:t>Affordable beds first, NPV second; no probability weighting; projects are illustrative.</s:t>
        </s:is>
      </s:c>
      <s:c r="C5" s="3" t="n"/>
    </s:row>
    <s:row r="6" ht="34" customHeight="1">
      <s:c r="A6" s="2" t="inlineStr">
        <s:is>
          <s:t>Feasible combinations</s:t>
        </s:is>
      </s:c>
      <s:c r="B6" s="2">
        <s:f>SUM(Portfolios!O2:O257)</s:f>
        <s:v>75</s:v>
      </s:c>
      <s:c r="C6" s="2" t="n"/>
    </s:row>
    <s:row r="7" ht="34" customHeight="1">
      <s:c r="A7" s="3" t="inlineStr">
        <s:is>
          <s:t>Recommended combination index</s:t>
        </s:is>
      </s:c>
      <s:c r="B7" s="3">
        <s:f>MATCH(MAX(Portfolios!Q2:Q257),Portfolios!Q2:Q257,0)</s:f>
        <s:v>31</s:v>
      </s:c>
      <s:c r="C7" s="3" t="n"/>
    </s:row>
    <s:row r="8" ht="34" customHeight="1">
      <s:c r="A8" s="2" t="inlineStr">
        <s:is>
          <s:t>KPI</s:t>
        </s:is>
      </s:c>
      <s:c r="B8" s="2" t="inlineStr">
        <s:is>
          <s:t>Recommended</s:t>
        </s:is>
      </s:c>
      <s:c r="C8" s="2" t="inlineStr">
        <s:is>
          <s:t>Manual selection</s:t>
        </s:is>
      </s:c>
    </s:row>
    <s:row r="9" ht="34" customHeight="1">
      <s:c r="A9" s="3" t="inlineStr">
        <s:is>
          <s:t>Total investment</s:t>
        </s:is>
      </s:c>
      <s:c r="B9" s="4">
        <s:f>SUMPRODUCT(Projects!N2:N9,Projects!R2:R9)</s:f>
        <s:v>14500000</s:v>
      </s:c>
      <s:c r="C9" s="4">
        <s:f>SUMPRODUCT(Projects!N2:N9,Projects!H2:H9)</s:f>
        <s:v>14500000</s:v>
      </s:c>
    </s:row>
    <s:row r="10" ht="34" customHeight="1">
      <s:c r="A10" s="2" t="inlineStr">
        <s:is>
          <s:t>Total beds</s:t>
        </s:is>
      </s:c>
      <s:c r="B10" s="2">
        <s:f>SUMPRODUCT(Projects!C2:C9,Projects!R2:R9)</s:f>
        <s:v>350</s:v>
      </s:c>
      <s:c r="C10" s="2">
        <s:f>SUMPRODUCT(Projects!C2:C9,Projects!H2:H9)</s:f>
        <s:v>350</s:v>
      </s:c>
    </s:row>
    <s:row r="11" ht="34" customHeight="1">
      <s:c r="A11" s="3" t="inlineStr">
        <s:is>
          <s:t>Affordable beds</s:t>
        </s:is>
      </s:c>
      <s:c r="B11" s="3">
        <s:f>SUMPRODUCT(Projects!D2:D9,Projects!R2:R9)</s:f>
        <s:v>172</s:v>
      </s:c>
      <s:c r="C11" s="3">
        <s:f>SUMPRODUCT(Projects!D2:D9,Projects!H2:H9)</s:f>
        <s:v>172</s:v>
      </s:c>
    </s:row>
    <s:row r="12" ht="34" customHeight="1">
      <s:c r="A12" s="2" t="inlineStr">
        <s:is>
          <s:t>NPV incl terminal value</s:t>
        </s:is>
      </s:c>
      <s:c r="B12" s="5">
        <s:f>SUMPRODUCT(Projects!O2:O9,Projects!R2:R9)</s:f>
        <s:v>11863873.188833974</s:v>
      </s:c>
      <s:c r="C12" s="5">
        <s:f>SUMPRODUCT(Projects!O2:O9,Projects!H2:H9)</s:f>
        <s:v>11863873.188833974</s:v>
      </s:c>
    </s:row>
    <s:row r="13" ht="34" customHeight="1">
      <s:c r="A13" s="3" t="inlineStr">
        <s:is>
          <s:t>Year 1 NOI</s:t>
        </s:is>
      </s:c>
      <s:c r="B13" s="4">
        <s:f>SUMPRODUCT(Projects!M2:M9,Projects!R2:R9)</s:f>
        <s:v>1216467.7</s:v>
      </s:c>
      <s:c r="C13" s="4">
        <s:f>SUMPRODUCT(Projects!M2:M9,Projects!H2:H9)</s:f>
        <s:v>1216467.7</s:v>
      </s:c>
    </s:row>
    <s:row r="14" ht="34" customHeight="1">
      <s:c r="A14" s="2" t="inlineStr">
        <s:is>
          <s:t>Year 1 NOI yield</s:t>
        </s:is>
      </s:c>
      <s:c r="B14" s="6">
        <s:f>IFERROR(B13/B9,0)</s:f>
        <s:v>0.08389432413793103</s:v>
      </s:c>
      <s:c r="C14" s="2" t="n"/>
    </s:row>
    <s:row r="15" ht="34" customHeight="1">
      <s:c r="A15" s="3" t="inlineStr">
        <s:is>
          <s:t>Budget headroom</s:t>
        </s:is>
      </s:c>
      <s:c r="B15" s="4">
        <s:f>Inputs!B2-B9</s:f>
        <s:v>500000</s:v>
      </s:c>
      <s:c r="C15" s="4" t="n"/>
    </s:row>
    <s:row r="16" ht="34" customHeight="1">
      <s:c r="A16" s="2" t="inlineStr">
        <s:is>
          <s:t>Manual planning status</s:t>
        </s:is>
      </s:c>
      <s:c r="B16" s="2" t="n"/>
      <s:c r="C16" s="2" t="str">
        <s:f>IF(AND(C9&lt;=Inputs!B2,C11&gt;=Inputs!B3,C12&gt;=Inputs!B18,SUMPRODUCT(Projects!H2:H9,Projects!Q2:Q9)=SUM(Projects!H2:H9)),"PLANNING FEASIBLE","FAIL")</s:f>
        <s:v>PLANNING FEASIBLE</s:v>
      </s:c>
    </s:row>
    <s:row r="17" ht="34" customHeight="1">
      <s:c r="A17" s="3" t="n"/>
      <s:c r="B17" s="3" t="n"/>
      <s:c r="C17" s="3" t="n"/>
    </s:row>
    <s:row r="18" ht="34" customHeight="1">
      <s:c r="A18" s="2" t="inlineStr">
        <s:is>
          <s:t>Shortlist at saved inputs</s:t>
        </s:is>
      </s:c>
      <s:c r="B18" s="2" t="inlineStr">
        <s:is>
          <s:t>D / Etterbeek, E / Schaerbeek, F / Jette, G / Molenbeek-Saint-Jean</s:t>
        </s:is>
      </s:c>
      <s:c r="C18" s="2" t="n"/>
    </s:row>
    <s:row r="19" ht="34" customHeight="1">
      <s:c r="A19" s="3" t="inlineStr">
        <s:is>
          <s:t>Interpretation</s:t>
        </s:is>
      </s:c>
      <s:c r="B19" s="3" t="inlineStr">
        <s:is>
          <s:t>Recommendation updates via Projects R when inputs change; this text records the saved-input shortlist.</s:t>
        </s:is>
      </s:c>
      <s:c r="C19" s="3" t="n"/>
    </s:row>
    <s:row r="20" ht="34" customHeight="1">
      <s:c r="A20" s="2" t="inlineStr">
        <s:is>
          <s:t>Affordability</s:t>
        </s:is>
      </s:c>
      <s:c r="B20" s="2" t="inlineStr">
        <s:is>
          <s:t>EUR550 all-in ceiling is a course planning definition. It does not establish social-housing legal compliance.</s:t>
        </s:is>
      </s:c>
      <s:c r="C20" s="2" t="n"/>
    </s:row>
    <s:row r="21" ht="34" customHeight="1">
      <s:c r="A21" s="3" t="inlineStr">
        <s:is>
          <s:t>Municipal differences</s:t>
        </s:is>
      </s:c>
      <s:c r="B21" s="3" t="inlineStr">
        <s:is>
          <s:t>City Brussels policy: 20% from 30 student units. Ixelles: 15% for large projects. Other 17 minima unverified.</s:t>
        </s:is>
      </s:c>
      <s:c r="C21" s="3" t="n"/>
    </s:row>
    <s:row r="22" ht="34" customHeight="1">
      <s:c r="A22" s="2" t="inlineStr">
        <s:is>
          <s:t>Risk</s:t>
        </s:is>
      </s:c>
      <s:c r="B22" s="2" t="inlineStr">
        <s:is>
          <s:t>Downside: NPV about -EUR0.43m and cost EUR16.675m, exceeding the EUR15m budget. Secure contingency or reduce scope before commitment.</s:t>
        </s:is>
      </s:c>
      <s:c r="C22" s="2" t="n"/>
    </s:row>
    <s:row r="23" ht="34" customHeight="1">
      <s:c r="A23" s="3" t="inlineStr">
        <s:is>
          <s:t>Next agile sprint</s:t>
        </s:is>
      </s:c>
      <s:c r="B23" s="3" t="inlineStr">
        <s:is>
          <s:t>Validate thresholds and allocation with municipalities/AISE; replace costs with quotes; add delivery schedule and debt only after evidence.</s:t>
        </s:is>
      </s:c>
      <s:c r="C23" s="3" t="n"/>
    </s:row>
    <s:row r="24" ht="34" customHeight="1">
      <s:c r="A24" s="2" t="inlineStr">
        <s:is>
          <s:t>Decision requested</s:t>
        </s:is>
      </s:c>
      <s:c r="B24" s="2" t="inlineStr">
        <s:is>
          <s:t>Approve further feasibility work on the shortlist; capital commitment remains conditional on due diligence.</s:t>
        </s:is>
      </s:c>
      <s:c r="C24" s="2" t="n"/>
    </s:row>
  </s:sheetData>
  <s:pageMargins left="0.75" right="0.75" top="1" bottom="1" header="0.5" footer="0.5"/>
  <s:drawing r:id="rId1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B15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05" customWidth="1" min="2" max="2"/>
  </s:cols>
  <s:sheetData>
    <s:row r="1" ht="34" customHeight="1">
      <s:c r="A1" s="1" t="inlineStr">
        <s:is>
          <s:t>HOW TO USE</s:t>
        </s:is>
      </s:c>
      <s:c r="B1" s="1" t="inlineStr">
        <s:is>
          <s:t>Decision model v2.0 | 14 October 2026</s:t>
        </s:is>
      </s:c>
    </s:row>
    <s:row r="2" ht="34" customHeight="1">
      <s:c r="A2" s="2" t="inlineStr">
        <s:is>
          <s:t>1</s:t>
        </s:is>
      </s:c>
      <s:c r="B2" s="2" t="inlineStr">
        <s:is>
          <s:t>Read Executive Report. All eight developments are hypothetical investment opportunities.</s:t>
        </s:is>
      </s:c>
    </s:row>
    <s:row r="3" ht="34" customHeight="1">
      <s:c r="A3" s="3" t="inlineStr">
        <s:is>
          <s:t>2</s:t>
        </s:is>
      </s:c>
      <s:c r="B3" s="3" t="inlineStr">
        <s:is>
          <s:t>Blue cells are editable assumptions; green cells hold external evidence; black cells are formulas.</s:t>
        </s:is>
      </s:c>
    </s:row>
    <s:row r="4" ht="34" customHeight="1">
      <s:c r="A4" s="2" t="inlineStr">
        <s:is>
          <s:t>3</s:t>
        </s:is>
      </s:c>
      <s:c r="B4" s="2" t="inlineStr">
        <s:is>
          <s:t>Edit Inputs, project costs/rents/beds, municipal planning percentages and policy applicability.</s:t>
        </s:is>
      </s:c>
    </s:row>
    <s:row r="5" ht="34" customHeight="1">
      <s:c r="A5" s="3" t="inlineStr">
        <s:is>
          <s:t>4</s:t>
        </s:is>
      </s:c>
      <s:c r="B5" s="3" t="inlineStr">
        <s:is>
          <s:t>Projects H is manual selection 0/1. Dashboard compares manual selection with the live optimal recommendation.</s:t>
        </s:is>
      </s:c>
    </s:row>
    <s:row r="6" ht="34" customHeight="1">
      <s:c r="A6" s="2" t="inlineStr">
        <s:is>
          <s:t>5</s:t>
        </s:is>
      </s:c>
      <s:c r="B6" s="2" t="inlineStr">
        <s:is>
          <s:t>Portfolios enumerates all 256 binary combinations: maximize affordable beds, then NPV at equal beds.</s:t>
        </s:is>
      </s:c>
    </s:row>
    <s:row r="7" ht="34" customHeight="1">
      <s:c r="A7" s="3" t="inlineStr">
        <s:is>
          <s:t>6</s:t>
        </s:is>
      </s:c>
      <s:c r="B7" s="3" t="inlineStr">
        <s:is>
          <s:t>Feasible requires budget, at least target affordable beds, nonnegative portfolio NPV and all selected projects passing planning/rent checks.</s:t>
        </s:is>
      </s:c>
    </s:row>
    <s:row r="8" ht="34" customHeight="1">
      <s:c r="A8" s="2" t="inlineStr">
        <s:is>
          <s:t>7</s:t>
        </s:is>
      </s:c>
      <s:c r="B8" s="2" t="inlineStr">
        <s:is>
          <s:t>Municipal source evidence is distinct from verified legal approval. Unknown requirements do not mean zero requirements.</s:t>
        </s:is>
      </s:c>
    </s:row>
    <s:row r="9" ht="34" customHeight="1">
      <s:c r="A9" s="3" t="inlineStr">
        <s:is>
          <s:t>8</s:t>
        </s:is>
      </s:c>
      <s:c r="B9" s="3" t="inlineStr">
        <s:is>
          <s:t>Change project policy applicability to 1 only when a cited policy applies; social allocation and rent must be validated separately.</s:t>
        </s:is>
      </s:c>
    </s:row>
    <s:row r="10" ht="34" customHeight="1">
      <s:c r="A10" s="2" t="inlineStr">
        <s:is>
          <s:t>9</s:t>
        </s:is>
      </s:c>
      <s:c r="B10" s="2" t="inlineStr">
        <s:is>
          <s:t>Recommendation is conditional feasibility analysis. Obtain municipal confirmation, quotes, demand studies and due diligence before investment.</s:t>
        </s:is>
      </s:c>
    </s:row>
    <s:row r="11" ht="34" customHeight="1">
      <s:c r="A11" s="3" t="inlineStr">
        <s:is>
          <s:t>10</s:t>
        </s:is>
      </s:c>
      <s:c r="B11" s="3" t="inlineStr">
        <s:is>
          <s:t>Reopen in Excel to recalculate edits. Run python3 build_model.py to regenerate defaults; it overwrites manual edits.</s:t>
        </s:is>
      </s:c>
    </s:row>
    <s:row r="12" ht="34" customHeight="1">
      <s:c r="A12" s="2" t="inlineStr">
        <s:is>
          <s:t>Scope</s:t>
        </s:is>
      </s:c>
      <s:c r="B12" s="2" t="inlineStr">
        <s:is>
          <s:t>Unlevered pre-tax cash flow; no borrowing, grants, corporate tax, construction delays or VAT separately. Total cost inputs must include acquisition, fees, taxes and contingency.</s:t>
        </s:is>
      </s:c>
    </s:row>
    <s:row r="13" ht="34" customHeight="1">
      <s:c r="A13" s="3" t="inlineStr">
        <s:is>
          <s:t>Affordability</s:t>
        </s:is>
      </s:c>
      <s:c r="B13" s="3" t="inlineStr">
        <s:is>
          <s:t>Model affordable = designated beds with base rent + service charges &lt;= ceiling. Legal social/moderate rent eligibility is a separate unresolved gate.</s:t>
        </s:is>
      </s:c>
    </s:row>
    <s:row r="14" ht="34" customHeight="1">
      <s:c r="A14" s="2" t="inlineStr">
        <s:is>
          <s:t>Timing</s:t>
        </s:is>
      </s:c>
      <s:c r="B14" s="2" t="inlineStr">
        <s:is>
          <s:t>Total cost at t0; first operational NOI at t1; exit end t20 using t21 NOI. Assumes immediate completion.</s:t>
        </s:is>
      </s:c>
    </s:row>
    <s:row r="15" ht="34" customHeight="1">
      <s:c r="A15" s="3" t="inlineStr">
        <s:is>
          <s:t>Authors</s:t>
        </s:is>
      </s:c>
      <s:c r="B15" s="3" t="inlineStr">
        <s:is>
          <s:t>Nisa, Maite, Ilias — names supplied with uncertainty; confirm before course submission.</s:t>
        </s:is>
      </s:c>
    </s:row>
  </s:sheetData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C18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52" customWidth="1" min="3" max="3"/>
    <s:col width="52" customWidth="1" min="4" max="4"/>
    <s:col width="52" customWidth="1" min="5" max="5"/>
    <s:col width="52" customWidth="1" min="6" max="6"/>
  </s:cols>
  <s:sheetData>
    <s:row r="1" ht="34" customHeight="1">
      <s:c r="A1" s="1" t="inlineStr">
        <s:is>
          <s:t>Parameter</s:t>
        </s:is>
      </s:c>
      <s:c r="B1" s="1" t="inlineStr">
        <s:is>
          <s:t>Value</s:t>
        </s:is>
      </s:c>
      <s:c r="C1" s="1" t="inlineStr">
        <s:is>
          <s:t>Definition / evidence</s:t>
        </s:is>
      </s:c>
    </s:row>
    <s:row r="2" ht="32" customHeight="1">
      <s:c r="A2" s="2" t="inlineStr">
        <s:is>
          <s:t>Capital budget</s:t>
        </s:is>
      </s:c>
      <s:c r="B2" s="7" t="n">
        <s:v>15000000</s:v>
      </s:c>
      <s:c r="C2" s="2" t="inlineStr">
        <s:is>
          <s:t>EUR; total development outlay; illustrative</s:t>
        </s:is>
      </s:c>
    </s:row>
    <s:row r="3" ht="32" customHeight="1">
      <s:c r="A3" s="3" t="inlineStr">
        <s:is>
          <s:t>Minimum affordable beds</s:t>
        </s:is>
      </s:c>
      <s:c r="B3" s="8" t="n">
        <s:v>80</s:v>
      </s:c>
      <s:c r="C3" s="3" t="inlineStr">
        <s:is>
          <s:t>Portfolio target; illustrative</s:t>
        </s:is>
      </s:c>
    </s:row>
    <s:row r="4" ht="32" customHeight="1">
      <s:c r="A4" s="2" t="inlineStr">
        <s:is>
          <s:t>Base occupancy</s:t>
        </s:is>
      </s:c>
      <s:c r="B4" s="9" t="n">
        <s:v>0.95</s:v>
      </s:c>
      <s:c r="C4" s="2" t="inlineStr">
        <s:is>
          <s:t>Same for both rent classes; illustrative</s:t>
        </s:is>
      </s:c>
    </s:row>
    <s:row r="5" ht="32" customHeight="1">
      <s:c r="A5" s="3" t="inlineStr">
        <s:is>
          <s:t>Months billed</s:t>
        </s:is>
      </s:c>
      <s:c r="B5" s="8" t="n">
        <s:v>12</s:v>
      </s:c>
      <s:c r="C5" s="3" t="inlineStr">
        <s:is>
          <s:t>Annual contracts; illustrative</s:t>
        </s:is>
      </s:c>
    </s:row>
    <s:row r="6" ht="32" customHeight="1">
      <s:c r="A6" s="2" t="inlineStr">
        <s:is>
          <s:t>Variable operating share</s:t>
        </s:is>
      </s:c>
      <s:c r="B6" s="9" t="n">
        <s:v>0.15</s:v>
      </s:c>
      <s:c r="C6" s="2" t="inlineStr">
        <s:is>
          <s:t>Share of collected base rents; illustrative</s:t>
        </s:is>
      </s:c>
    </s:row>
    <s:row r="7" ht="32" customHeight="1">
      <s:c r="A7" s="3" t="inlineStr">
        <s:is>
          <s:t>Fixed annual operating cost / bed</s:t>
        </s:is>
      </s:c>
      <s:c r="B7" s="8" t="n">
        <s:v>1600</s:v>
      </s:c>
      <s:c r="C7" s="3" t="inlineStr">
        <s:is>
          <s:t>EUR; includes reserve, insurance, maintenance; illustrative</s:t>
        </s:is>
      </s:c>
    </s:row>
    <s:row r="8" ht="32" customHeight="1">
      <s:c r="A8" s="2" t="inlineStr">
        <s:is>
          <s:t>Rent and operating growth</s:t>
        </s:is>
      </s:c>
      <s:c r="B8" s="9" t="n">
        <s:v>0.02</s:v>
      </s:c>
      <s:c r="C8" s="2" t="inlineStr">
        <s:is>
          <s:t>Annual; both rent and costs grow at same rate</s:t>
        </s:is>
      </s:c>
    </s:row>
    <s:row r="9" ht="32" customHeight="1">
      <s:c r="A9" s="3" t="inlineStr">
        <s:is>
          <s:t>Discount rate</s:t>
        </s:is>
      </s:c>
      <s:c r="B9" s="10" t="n">
        <s:v>0.06</s:v>
      </s:c>
      <s:c r="C9" s="3" t="inlineStr">
        <s:is>
          <s:t>Unlevered nominal annual hurdle; illustrative</s:t>
        </s:is>
      </s:c>
    </s:row>
    <s:row r="10" ht="32" customHeight="1">
      <s:c r="A10" s="2" t="inlineStr">
        <s:is>
          <s:t>Exit capitalization rate</s:t>
        </s:is>
      </s:c>
      <s:c r="B10" s="9" t="n">
        <s:v>0.055</s:v>
      </s:c>
      <s:c r="C10" s="2" t="inlineStr">
        <s:is>
          <s:t>Terminal value on year 21 NOI; illustrative</s:t>
        </s:is>
      </s:c>
    </s:row>
    <s:row r="11" ht="32" customHeight="1">
      <s:c r="A11" s="3" t="inlineStr">
        <s:is>
          <s:t>Sale cost share</s:t>
        </s:is>
      </s:c>
      <s:c r="B11" s="10" t="n">
        <s:v>0.02</s:v>
      </s:c>
      <s:c r="C11" s="3" t="inlineStr">
        <s:is>
          <s:t>Terminal sale proceeds haircut</s:t>
        </s:is>
      </s:c>
    </s:row>
    <s:row r="12" ht="32" customHeight="1">
      <s:c r="A12" s="2" t="inlineStr">
        <s:is>
          <s:t>Hold years</s:t>
        </s:is>
      </s:c>
      <s:c r="B12" s="7" t="n">
        <s:v>20</s:v>
      </s:c>
      <s:c r="C12" s="2" t="inlineStr">
        <s:is>
          <s:t>Fixed 20-year DCF; change code to alter horizon</s:t>
        </s:is>
      </s:c>
    </s:row>
    <s:row r="13" ht="32" customHeight="1">
      <s:c r="A13" s="3" t="inlineStr">
        <s:is>
          <s:t>Affordable all-in rent ceiling</s:t>
        </s:is>
      </s:c>
      <s:c r="B13" s="8" t="n">
        <s:v>550</s:v>
      </s:c>
      <s:c r="C13" s="3" t="inlineStr">
        <s:is>
          <s:t>EUR/month; course definition, not legal social-rent definition</s:t>
        </s:is>
      </s:c>
    </s:row>
    <s:row r="14" ht="32" customHeight="1">
      <s:c r="A14" s="2" t="inlineStr">
        <s:is>
          <s:t>Tenant monthly service charges</s:t>
        </s:is>
      </s:c>
      <s:c r="B14" s="7" t="n">
        <s:v>100</s:v>
      </s:c>
      <s:c r="C14" s="2" t="inlineStr">
        <s:is>
          <s:t>EUR; pass-through excluded from investor revenue</s:t>
        </s:is>
      </s:c>
    </s:row>
    <s:row r="15" ht="32" customHeight="1">
      <s:c r="A15" s="3" t="inlineStr">
        <s:is>
          <s:t>Market base-rent benchmark</s:t>
        </s:is>
      </s:c>
      <s:c r="B15" s="8" t="n">
        <s:v>570</s:v>
      </s:c>
      <s:c r="C15" s="3" t="inlineStr">
        <s:is>
          <s:t>Kotkompas 2025–2026 Brussels average; context only</s:t>
        </s:is>
      </s:c>
    </s:row>
    <s:row r="16" ht="32" customHeight="1">
      <s:c r="A16" s="2" t="inlineStr">
        <s:is>
          <s:t>Default unverified planning share</s:t>
        </s:is>
      </s:c>
      <s:c r="B16" s="9" t="n">
        <s:v>0.25</s:v>
      </s:c>
      <s:c r="C16" s="2" t="inlineStr">
        <s:is>
          <s:t>Scenario assumption; never treated as law</s:t>
        </s:is>
      </s:c>
    </s:row>
    <s:row r="17" ht="32" customHeight="1">
      <s:c r="A17" s="3" t="inlineStr">
        <s:is>
          <s:t>Construction overrun</s:t>
        </s:is>
      </s:c>
      <s:c r="B17" s="10" t="n">
        <s:v>0</s:v>
      </s:c>
      <s:c r="C17" s="3" t="inlineStr">
        <s:is>
          <s:t>Base scenario additional capex %</s:t>
        </s:is>
      </s:c>
    </s:row>
    <s:row r="18" ht="32" customHeight="1">
      <s:c r="A18" s="2" t="inlineStr">
        <s:is>
          <s:t>Portfolio minimum NPV</s:t>
        </s:is>
      </s:c>
      <s:c r="B18" s="7" t="n">
        <s:v>0</s:v>
      </s:c>
      <s:c r="C18" s="2" t="inlineStr">
        <s:is>
          <s:t>Unlevered; positive-NPV requirement</s:t>
        </s:is>
      </s:c>
    </s:row>
  </s:sheetData>
  <s:autoFilter ref="A1:C18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F20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52" customWidth="1" min="3" max="3"/>
    <s:col width="52" customWidth="1" min="4" max="4"/>
    <s:col width="52" customWidth="1" min="5" max="5"/>
    <s:col width="52" customWidth="1" min="6" max="6"/>
  </s:cols>
  <s:sheetData>
    <s:row r="1" ht="34" customHeight="1">
      <s:c r="A1" s="1" t="inlineStr">
        <s:is>
          <s:t>Municipality</s:t>
        </s:is>
      </s:c>
      <s:c r="B1" s="1" t="inlineStr">
        <s:is>
          <s:t>Sourced policy share</s:t>
        </s:is>
      </s:c>
      <s:c r="C1" s="1" t="inlineStr">
        <s:is>
          <s:t>Planning share (editable)</s:t>
        </s:is>
      </s:c>
      <s:c r="D1" s="1" t="inlineStr">
        <s:is>
          <s:t>Activation / scope</s:t>
        </s:is>
      </s:c>
      <s:c r="E1" s="1" t="inlineStr">
        <s:is>
          <s:t>Evidence status</s:t>
        </s:is>
      </s:c>
      <s:c r="F1" s="1" t="inlineStr">
        <s:is>
          <s:t>Source</s:t>
        </s:is>
      </s:c>
    </s:row>
    <s:row r="2" ht="45" customHeight="1">
      <s:c r="A2" s="2" t="inlineStr">
        <s:is>
          <s:t>Anderlecht</s:t>
        </s:is>
      </s:c>
      <s:c r="B2" s="11" t="n"/>
      <s:c r="C2" s="12" t="n">
        <s:v>0.25</s:v>
      </s:c>
      <s:c r="D2" s="2" t="inlineStr">
        <s:is>
          <s:t>Unknown; request project-specific minimum</s:t>
        </s:is>
      </s:c>
      <s:c r="E2" s="2" t="inlineStr">
        <s:is>
          <s:t>UNVERIFIED</s:t>
        </s:is>
      </s:c>
      <s:c r="F2" s="2" t="inlineStr">
        <s:is>
          <s:t>Not yet located</s:t>
        </s:is>
      </s:c>
    </s:row>
    <s:row r="3" ht="45" customHeight="1">
      <s:c r="A3" s="3" t="inlineStr">
        <s:is>
          <s:t>Auderghem</s:t>
        </s:is>
      </s:c>
      <s:c r="B3" s="13" t="n"/>
      <s:c r="C3" s="14" t="n">
        <s:v>0.25</s:v>
      </s:c>
      <s:c r="D3" s="3" t="inlineStr">
        <s:is>
          <s:t>Unknown; request project-specific minimum</s:t>
        </s:is>
      </s:c>
      <s:c r="E3" s="3" t="inlineStr">
        <s:is>
          <s:t>UNVERIFIED</s:t>
        </s:is>
      </s:c>
      <s:c r="F3" s="3" t="inlineStr">
        <s:is>
          <s:t>Not yet located</s:t>
        </s:is>
      </s:c>
    </s:row>
    <s:row r="4" ht="45" customHeight="1">
      <s:c r="A4" s="2" t="inlineStr">
        <s:is>
          <s:t>Berchem-Sainte-Agathe</s:t>
        </s:is>
      </s:c>
      <s:c r="B4" s="11" t="n"/>
      <s:c r="C4" s="12" t="n">
        <s:v>0.25</s:v>
      </s:c>
      <s:c r="D4" s="2" t="inlineStr">
        <s:is>
          <s:t>Unknown; request project-specific minimum</s:t>
        </s:is>
      </s:c>
      <s:c r="E4" s="2" t="inlineStr">
        <s:is>
          <s:t>UNVERIFIED</s:t>
        </s:is>
      </s:c>
      <s:c r="F4" s="2" t="inlineStr">
        <s:is>
          <s:t>Not yet located</s:t>
        </s:is>
      </s:c>
    </s:row>
    <s:row r="5" ht="45" customHeight="1">
      <s:c r="A5" s="3" t="inlineStr">
        <s:is>
          <s:t>Bruxelles-Ville</s:t>
        </s:is>
      </s:c>
      <s:c r="B5" s="13" t="n">
        <s:v>0.2</s:v>
      </s:c>
      <s:c r="C5" s="14" t="n">
        <s:v>0.25</s:v>
      </s:c>
      <s:c r="D5" s="3" t="inlineStr">
        <s:is>
          <s:t>&gt;=30 student units; social allocation</s:t>
        </s:is>
      </s:c>
      <s:c r="E5" s="3" t="inlineStr">
        <s:is>
          <s:t>POLICY FOUND; application not verified</s:t>
        </s:is>
      </s:c>
      <s:c r="F5" s="3" t="inlineStr">
        <s:is>
          <s:t>https://www.bruxelles.be/sites/default/files/bxl/Recommandations_logements_etudiants_VBX_17juin2021.pdf</s:t>
        </s:is>
      </s:c>
    </s:row>
    <s:row r="6" ht="45" customHeight="1">
      <s:c r="A6" s="2" t="inlineStr">
        <s:is>
          <s:t>Etterbeek</s:t>
        </s:is>
      </s:c>
      <s:c r="B6" s="11" t="n"/>
      <s:c r="C6" s="12" t="n">
        <s:v>0.25</s:v>
      </s:c>
      <s:c r="D6" s="2" t="inlineStr">
        <s:is>
          <s:t>Unknown; request project-specific minimum</s:t>
        </s:is>
      </s:c>
      <s:c r="E6" s="2" t="inlineStr">
        <s:is>
          <s:t>UNVERIFIED</s:t>
        </s:is>
      </s:c>
      <s:c r="F6" s="2" t="inlineStr">
        <s:is>
          <s:t>Not yet located</s:t>
        </s:is>
      </s:c>
    </s:row>
    <s:row r="7" ht="45" customHeight="1">
      <s:c r="A7" s="3" t="inlineStr">
        <s:is>
          <s:t>Evere</s:t>
        </s:is>
      </s:c>
      <s:c r="B7" s="13" t="n"/>
      <s:c r="C7" s="14" t="n">
        <s:v>0.25</s:v>
      </s:c>
      <s:c r="D7" s="3" t="inlineStr">
        <s:is>
          <s:t>Unknown; request project-specific minimum</s:t>
        </s:is>
      </s:c>
      <s:c r="E7" s="3" t="inlineStr">
        <s:is>
          <s:t>UNVERIFIED</s:t>
        </s:is>
      </s:c>
      <s:c r="F7" s="3" t="inlineStr">
        <s:is>
          <s:t>Not yet located</s:t>
        </s:is>
      </s:c>
    </s:row>
    <s:row r="8" ht="45" customHeight="1">
      <s:c r="A8" s="2" t="inlineStr">
        <s:is>
          <s:t>Forest</s:t>
        </s:is>
      </s:c>
      <s:c r="B8" s="11" t="n"/>
      <s:c r="C8" s="12" t="n">
        <s:v>0.25</s:v>
      </s:c>
      <s:c r="D8" s="2" t="inlineStr">
        <s:is>
          <s:t>Unknown; request project-specific minimum</s:t>
        </s:is>
      </s:c>
      <s:c r="E8" s="2" t="inlineStr">
        <s:is>
          <s:t>UNVERIFIED</s:t>
        </s:is>
      </s:c>
      <s:c r="F8" s="2" t="inlineStr">
        <s:is>
          <s:t>Not yet located</s:t>
        </s:is>
      </s:c>
    </s:row>
    <s:row r="9" ht="45" customHeight="1">
      <s:c r="A9" s="3" t="inlineStr">
        <s:is>
          <s:t>Ganshoren</s:t>
        </s:is>
      </s:c>
      <s:c r="B9" s="13" t="n"/>
      <s:c r="C9" s="14" t="n">
        <s:v>0.25</s:v>
      </s:c>
      <s:c r="D9" s="3" t="inlineStr">
        <s:is>
          <s:t>Unknown; request project-specific minimum</s:t>
        </s:is>
      </s:c>
      <s:c r="E9" s="3" t="inlineStr">
        <s:is>
          <s:t>UNVERIFIED</s:t>
        </s:is>
      </s:c>
      <s:c r="F9" s="3" t="inlineStr">
        <s:is>
          <s:t>Not yet located</s:t>
        </s:is>
      </s:c>
    </s:row>
    <s:row r="10" ht="45" customHeight="1">
      <s:c r="A10" s="2" t="inlineStr">
        <s:is>
          <s:t>Ixelles</s:t>
        </s:is>
      </s:c>
      <s:c r="B10" s="11" t="n">
        <s:v>0.15</s:v>
      </s:c>
      <s:c r="C10" s="12" t="n">
        <s:v>0.25</s:v>
      </s:c>
      <s:c r="D10" s="2" t="inlineStr">
        <s:is>
          <s:t>Large kot projects; trigger needs confirmation</s:t>
        </s:is>
      </s:c>
      <s:c r="E10" s="2" t="inlineStr">
        <s:is>
          <s:t>POLICY FOUND; application not verified</s:t>
        </s:is>
      </s:c>
      <s:c r="F10" s="2" t="inlineStr">
        <s:is>
          <s:t>https://www.ixelles.be/site/downloads/publications/infoxl-2014-/infoxl20250304.pdf</s:t>
        </s:is>
      </s:c>
    </s:row>
    <s:row r="11" ht="45" customHeight="1">
      <s:c r="A11" s="3" t="inlineStr">
        <s:is>
          <s:t>Jette</s:t>
        </s:is>
      </s:c>
      <s:c r="B11" s="13" t="n"/>
      <s:c r="C11" s="14" t="n">
        <s:v>0.25</s:v>
      </s:c>
      <s:c r="D11" s="3" t="inlineStr">
        <s:is>
          <s:t>Unknown; request project-specific minimum</s:t>
        </s:is>
      </s:c>
      <s:c r="E11" s="3" t="inlineStr">
        <s:is>
          <s:t>UNVERIFIED</s:t>
        </s:is>
      </s:c>
      <s:c r="F11" s="3" t="inlineStr">
        <s:is>
          <s:t>Not yet located</s:t>
        </s:is>
      </s:c>
    </s:row>
    <s:row r="12" ht="45" customHeight="1">
      <s:c r="A12" s="2" t="inlineStr">
        <s:is>
          <s:t>Koekelberg</s:t>
        </s:is>
      </s:c>
      <s:c r="B12" s="11" t="n"/>
      <s:c r="C12" s="12" t="n">
        <s:v>0.25</s:v>
      </s:c>
      <s:c r="D12" s="2" t="inlineStr">
        <s:is>
          <s:t>Unknown; request project-specific minimum</s:t>
        </s:is>
      </s:c>
      <s:c r="E12" s="2" t="inlineStr">
        <s:is>
          <s:t>UNVERIFIED</s:t>
        </s:is>
      </s:c>
      <s:c r="F12" s="2" t="inlineStr">
        <s:is>
          <s:t>Not yet located</s:t>
        </s:is>
      </s:c>
    </s:row>
    <s:row r="13" ht="45" customHeight="1">
      <s:c r="A13" s="3" t="inlineStr">
        <s:is>
          <s:t>Molenbeek-Saint-Jean</s:t>
        </s:is>
      </s:c>
      <s:c r="B13" s="13" t="n"/>
      <s:c r="C13" s="14" t="n">
        <s:v>0.25</s:v>
      </s:c>
      <s:c r="D13" s="3" t="inlineStr">
        <s:is>
          <s:t>Unknown; request project-specific minimum</s:t>
        </s:is>
      </s:c>
      <s:c r="E13" s="3" t="inlineStr">
        <s:is>
          <s:t>UNVERIFIED</s:t>
        </s:is>
      </s:c>
      <s:c r="F13" s="3" t="inlineStr">
        <s:is>
          <s:t>Not yet located</s:t>
        </s:is>
      </s:c>
    </s:row>
    <s:row r="14" ht="45" customHeight="1">
      <s:c r="A14" s="2" t="inlineStr">
        <s:is>
          <s:t>Saint-Gilles</s:t>
        </s:is>
      </s:c>
      <s:c r="B14" s="11" t="n"/>
      <s:c r="C14" s="12" t="n">
        <s:v>0.25</s:v>
      </s:c>
      <s:c r="D14" s="2" t="inlineStr">
        <s:is>
          <s:t>Unknown; request project-specific minimum</s:t>
        </s:is>
      </s:c>
      <s:c r="E14" s="2" t="inlineStr">
        <s:is>
          <s:t>UNVERIFIED</s:t>
        </s:is>
      </s:c>
      <s:c r="F14" s="2" t="inlineStr">
        <s:is>
          <s:t>Not yet located</s:t>
        </s:is>
      </s:c>
    </s:row>
    <s:row r="15" ht="45" customHeight="1">
      <s:c r="A15" s="3" t="inlineStr">
        <s:is>
          <s:t>Saint-Josse-ten-Noode</s:t>
        </s:is>
      </s:c>
      <s:c r="B15" s="13" t="n"/>
      <s:c r="C15" s="14" t="n">
        <s:v>0.25</s:v>
      </s:c>
      <s:c r="D15" s="3" t="inlineStr">
        <s:is>
          <s:t>Unknown; request project-specific minimum</s:t>
        </s:is>
      </s:c>
      <s:c r="E15" s="3" t="inlineStr">
        <s:is>
          <s:t>UNVERIFIED</s:t>
        </s:is>
      </s:c>
      <s:c r="F15" s="3" t="inlineStr">
        <s:is>
          <s:t>Not yet located</s:t>
        </s:is>
      </s:c>
    </s:row>
    <s:row r="16" ht="45" customHeight="1">
      <s:c r="A16" s="2" t="inlineStr">
        <s:is>
          <s:t>Schaerbeek</s:t>
        </s:is>
      </s:c>
      <s:c r="B16" s="11" t="n"/>
      <s:c r="C16" s="12" t="n">
        <s:v>0.25</s:v>
      </s:c>
      <s:c r="D16" s="2" t="inlineStr">
        <s:is>
          <s:t>Unknown; request project-specific minimum</s:t>
        </s:is>
      </s:c>
      <s:c r="E16" s="2" t="inlineStr">
        <s:is>
          <s:t>UNVERIFIED</s:t>
        </s:is>
      </s:c>
      <s:c r="F16" s="2" t="inlineStr">
        <s:is>
          <s:t>Not yet located</s:t>
        </s:is>
      </s:c>
    </s:row>
    <s:row r="17" ht="45" customHeight="1">
      <s:c r="A17" s="3" t="inlineStr">
        <s:is>
          <s:t>Uccle</s:t>
        </s:is>
      </s:c>
      <s:c r="B17" s="13" t="n"/>
      <s:c r="C17" s="14" t="n">
        <s:v>0.25</s:v>
      </s:c>
      <s:c r="D17" s="3" t="inlineStr">
        <s:is>
          <s:t>Unknown; request project-specific minimum</s:t>
        </s:is>
      </s:c>
      <s:c r="E17" s="3" t="inlineStr">
        <s:is>
          <s:t>UNVERIFIED</s:t>
        </s:is>
      </s:c>
      <s:c r="F17" s="3" t="inlineStr">
        <s:is>
          <s:t>Not yet located</s:t>
        </s:is>
      </s:c>
    </s:row>
    <s:row r="18" ht="45" customHeight="1">
      <s:c r="A18" s="2" t="inlineStr">
        <s:is>
          <s:t>Watermael-Boitsfort</s:t>
        </s:is>
      </s:c>
      <s:c r="B18" s="11" t="n"/>
      <s:c r="C18" s="12" t="n">
        <s:v>0.25</s:v>
      </s:c>
      <s:c r="D18" s="2" t="inlineStr">
        <s:is>
          <s:t>Unknown; request project-specific minimum</s:t>
        </s:is>
      </s:c>
      <s:c r="E18" s="2" t="inlineStr">
        <s:is>
          <s:t>UNVERIFIED</s:t>
        </s:is>
      </s:c>
      <s:c r="F18" s="2" t="inlineStr">
        <s:is>
          <s:t>Not yet located</s:t>
        </s:is>
      </s:c>
    </s:row>
    <s:row r="19" ht="45" customHeight="1">
      <s:c r="A19" s="3" t="inlineStr">
        <s:is>
          <s:t>Woluwe-Saint-Lambert</s:t>
        </s:is>
      </s:c>
      <s:c r="B19" s="13" t="n"/>
      <s:c r="C19" s="14" t="n">
        <s:v>0.25</s:v>
      </s:c>
      <s:c r="D19" s="3" t="inlineStr">
        <s:is>
          <s:t>Unknown; request project-specific minimum</s:t>
        </s:is>
      </s:c>
      <s:c r="E19" s="3" t="inlineStr">
        <s:is>
          <s:t>UNVERIFIED</s:t>
        </s:is>
      </s:c>
      <s:c r="F19" s="3" t="inlineStr">
        <s:is>
          <s:t>Not yet located</s:t>
        </s:is>
      </s:c>
    </s:row>
    <s:row r="20" ht="45" customHeight="1">
      <s:c r="A20" s="2" t="inlineStr">
        <s:is>
          <s:t>Woluwe-Saint-Pierre</s:t>
        </s:is>
      </s:c>
      <s:c r="B20" s="11" t="n"/>
      <s:c r="C20" s="12" t="n">
        <s:v>0.25</s:v>
      </s:c>
      <s:c r="D20" s="2" t="inlineStr">
        <s:is>
          <s:t>Unknown; request project-specific minimum</s:t>
        </s:is>
      </s:c>
      <s:c r="E20" s="2" t="inlineStr">
        <s:is>
          <s:t>UNVERIFIED</s:t>
        </s:is>
      </s:c>
      <s:c r="F20" s="2" t="inlineStr">
        <s:is>
          <s:t>Not yet located</s:t>
        </s:is>
      </s:c>
    </s:row>
  </s:sheetData>
  <s:autoFilter ref="A1:F20"/>
  <s:dataValidations count="1">
    <s:dataValidation sqref="C2:C20" showDropDown="0" showInputMessage="0" showErrorMessage="1" allowBlank="0" errorTitle="Invalid input" error="Use a value within the allowed range." type="decimal" operator="between">
      <s:formula1>0</s:formula1>
      <s:formula2>1</s:formula2>
    </s:dataValidation>
  </s:dataValidations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S9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22" customWidth="1" min="3" max="3"/>
    <s:col width="22" customWidth="1" min="4" max="4"/>
    <s:col width="22" customWidth="1" min="5" max="5"/>
    <s:col width="22" customWidth="1" min="6" max="6"/>
    <s:col width="22" customWidth="1" min="7" max="7"/>
    <s:col width="22" customWidth="1" min="8" max="8"/>
    <s:col width="22" customWidth="1" min="9" max="9"/>
    <s:col width="22" customWidth="1" min="10" max="10"/>
    <s:col width="22" customWidth="1" min="11" max="11"/>
    <s:col width="22" customWidth="1" min="12" max="12"/>
    <s:col width="22" customWidth="1" min="13" max="13"/>
    <s:col width="22" customWidth="1" min="14" max="14"/>
    <s:col width="22" customWidth="1" min="15" max="15"/>
    <s:col width="22" customWidth="1" min="16" max="16"/>
    <s:col width="22" customWidth="1" min="17" max="17"/>
    <s:col width="22" customWidth="1" min="18" max="18"/>
    <s:col width="22" customWidth="1" min="19" max="19"/>
  </s:cols>
  <s:sheetData>
    <s:row r="1" ht="34" customHeight="1">
      <s:c r="A1" s="1" t="inlineStr">
        <s:is>
          <s:t>ID</s:t>
        </s:is>
      </s:c>
      <s:c r="B1" s="1" t="inlineStr">
        <s:is>
          <s:t>Municipality</s:t>
        </s:is>
      </s:c>
      <s:c r="C1" s="1" t="inlineStr">
        <s:is>
          <s:t>Beds</s:t>
        </s:is>
      </s:c>
      <s:c r="D1" s="1" t="inlineStr">
        <s:is>
          <s:t>Affordable beds</s:t>
        </s:is>
      </s:c>
      <s:c r="E1" s="1" t="inlineStr">
        <s:is>
          <s:t>Affordable base rent/mo</s:t>
        </s:is>
      </s:c>
      <s:c r="F1" s="1" t="inlineStr">
        <s:is>
          <s:t>Market base rent/mo</s:t>
        </s:is>
      </s:c>
      <s:c r="G1" s="1" t="inlineStr">
        <s:is>
          <s:t>Total development cost</s:t>
        </s:is>
      </s:c>
      <s:c r="H1" s="1" t="inlineStr">
        <s:is>
          <s:t>Manual select 0/1</s:t>
        </s:is>
      </s:c>
      <s:c r="I1" s="1" t="inlineStr">
        <s:is>
          <s:t>Policy applies 0/1</s:t>
        </s:is>
      </s:c>
      <s:c r="J1" s="1" t="inlineStr">
        <s:is>
          <s:t>Effective planning minimum</s:t>
        </s:is>
      </s:c>
      <s:c r="K1" s="1" t="inlineStr">
        <s:is>
          <s:t>Required affordable beds</s:t>
        </s:is>
      </s:c>
      <s:c r="L1" s="1" t="inlineStr">
        <s:is>
          <s:t>Year 1 collected rent</s:t>
        </s:is>
      </s:c>
      <s:c r="M1" s="1" t="inlineStr">
        <s:is>
          <s:t>Year 1 NOI</s:t>
        </s:is>
      </s:c>
      <s:c r="N1" s="1" t="inlineStr">
        <s:is>
          <s:t>Cost with overrun</s:t>
        </s:is>
      </s:c>
      <s:c r="O1" s="1" t="inlineStr">
        <s:is>
          <s:t>NPV incl exit</s:t>
        </s:is>
      </s:c>
      <s:c r="P1" s="1" t="inlineStr">
        <s:is>
          <s:t>NOI yield</s:t>
        </s:is>
      </s:c>
      <s:c r="Q1" s="1" t="inlineStr">
        <s:is>
          <s:t>Planning &amp; rent pass</s:t>
        </s:is>
      </s:c>
      <s:c r="R1" s="1" t="inlineStr">
        <s:is>
          <s:t>Recommended select</s:t>
        </s:is>
      </s:c>
      <s:c r="S1" s="1" t="inlineStr">
        <s:is>
          <s:t>Affordable all-in rent</s:t>
        </s:is>
      </s:c>
    </s:row>
    <s:row r="2" ht="32" customHeight="1">
      <s:c r="A2" s="2" t="inlineStr">
        <s:is>
          <s:t>A</s:t>
        </s:is>
      </s:c>
      <s:c r="B2" s="2" t="inlineStr">
        <s:is>
          <s:t>Bruxelles-Ville</s:t>
        </s:is>
      </s:c>
      <s:c r="C2" s="7" t="n">
        <s:v>100</s:v>
      </s:c>
      <s:c r="D2" s="7" t="n">
        <s:v>40</s:v>
      </s:c>
      <s:c r="E2" s="15" t="n">
        <s:v>440</s:v>
      </s:c>
      <s:c r="F2" s="15" t="n">
        <s:v>680</s:v>
      </s:c>
      <s:c r="G2" s="15" t="n">
        <s:v>4800000</s:v>
      </s:c>
      <s:c r="H2" s="7" t="n">
        <s:v>0</s:v>
      </s:c>
      <s:c r="I2" s="7" t="n">
        <s:v>1</s:v>
      </s:c>
      <s:c r="J2" s="6">
        <s:f>MAX(Municipalities!C5,IF(I2=1,Municipalities!B5,0))</s:f>
        <s:v>0.25</s:v>
      </s:c>
      <s:c r="K2" s="2">
        <s:f>ROUNDUP(C2*J2,0)</s:f>
        <s:v>25</s:v>
      </s:c>
      <s:c r="L2" s="5">
        <s:f>(D2*E2+(C2-D2)*F2)*Inputs!B5*Inputs!B4</s:f>
        <s:v>665760.0</s:v>
      </s:c>
      <s:c r="M2" s="5">
        <s:f>L2*(1-Inputs!B6)-C2*Inputs!B7</s:f>
        <s:v>405896.0</s:v>
      </s:c>
      <s:c r="N2" s="5">
        <s:f>G2*(1+Inputs!B17)</s:f>
        <s:v>4800000</s:v>
      </s:c>
      <s:c r="O2" s="5">
        <s:f>SUM('Cash Flows'!D2:D22)</s:f>
        <s:v>3996773.3724906584</s:v>
      </s:c>
      <s:c r="P2" s="6">
        <s:f>IFERROR(M2/N2,0)</s:f>
        <s:v>0.08456166666666666</s:v>
      </s:c>
      <s:c r="Q2" s="2">
        <s:f>IF(AND(D2&gt;=K2,D2&lt;=C2,E2+Inputs!B14&lt;=Inputs!B13,C2&gt;0,D2&gt;=0,E2&gt;0,F2&gt;0,G2&gt;0),1,0)</s:f>
        <s:v>1</s:v>
      </s:c>
      <s:c r="R2" s="2">
        <s:f>IF('Executive Report'!B6=0,0,INDEX(Portfolios!B$2:B$257,'Executive Report'!B7))</s:f>
        <s:v>0</s:v>
      </s:c>
      <s:c r="S2" s="5">
        <s:f>E2+Inputs!B14</s:f>
        <s:v>540</s:v>
      </s:c>
    </s:row>
    <s:row r="3" ht="32" customHeight="1">
      <s:c r="A3" s="3" t="inlineStr">
        <s:is>
          <s:t>B</s:t>
        </s:is>
      </s:c>
      <s:c r="B3" s="3" t="inlineStr">
        <s:is>
          <s:t>Ixelles</s:t>
        </s:is>
      </s:c>
      <s:c r="C3" s="8" t="n">
        <s:v>80</s:v>
      </s:c>
      <s:c r="D3" s="8" t="n">
        <s:v>24</s:v>
      </s:c>
      <s:c r="E3" s="16" t="n">
        <s:v>450</s:v>
      </s:c>
      <s:c r="F3" s="16" t="n">
        <s:v>730</s:v>
      </s:c>
      <s:c r="G3" s="16" t="n">
        <s:v>4300000</s:v>
      </s:c>
      <s:c r="H3" s="8" t="n">
        <s:v>0</s:v>
      </s:c>
      <s:c r="I3" s="8" t="n">
        <s:v>1</s:v>
      </s:c>
      <s:c r="J3" s="17">
        <s:f>MAX(Municipalities!C10,IF(I3=1,Municipalities!B10,0))</s:f>
        <s:v>0.25</s:v>
      </s:c>
      <s:c r="K3" s="3">
        <s:f>ROUNDUP(C3*J3,0)</s:f>
        <s:v>20</s:v>
      </s:c>
      <s:c r="L3" s="4">
        <s:f>(D3*E3+(C3-D3)*F3)*Inputs!B5*Inputs!B4</s:f>
        <s:v>589152.0</s:v>
      </s:c>
      <s:c r="M3" s="4">
        <s:f>L3*(1-Inputs!B6)-C3*Inputs!B7</s:f>
        <s:v>372779.2</s:v>
      </s:c>
      <s:c r="N3" s="4">
        <s:f>G3*(1+Inputs!B17)</s:f>
        <s:v>4300000</s:v>
      </s:c>
      <s:c r="O3" s="4">
        <s:f>SUM('Cash Flows'!D23:D43)</s:f>
        <s:v>3779050.1517097238</s:v>
      </s:c>
      <s:c r="P3" s="17">
        <s:f>IFERROR(M3/N3,0)</s:f>
        <s:v>0.08669283720930233</s:v>
      </s:c>
      <s:c r="Q3" s="3">
        <s:f>IF(AND(D3&gt;=K3,D3&lt;=C3,E3+Inputs!B14&lt;=Inputs!B13,C3&gt;0,D3&gt;=0,E3&gt;0,F3&gt;0,G3&gt;0),1,0)</s:f>
        <s:v>1</s:v>
      </s:c>
      <s:c r="R3" s="3">
        <s:f>IF('Executive Report'!B6=0,0,INDEX(Portfolios!C$2:C$257,'Executive Report'!B7))</s:f>
        <s:v>0</s:v>
      </s:c>
      <s:c r="S3" s="4">
        <s:f>E3+Inputs!B14</s:f>
        <s:v>550</s:v>
      </s:c>
    </s:row>
    <s:row r="4" ht="32" customHeight="1">
      <s:c r="A4" s="2" t="inlineStr">
        <s:is>
          <s:t>C</s:t>
        </s:is>
      </s:c>
      <s:c r="B4" s="2" t="inlineStr">
        <s:is>
          <s:t>Anderlecht</s:t>
        </s:is>
      </s:c>
      <s:c r="C4" s="7" t="n">
        <s:v>120</s:v>
      </s:c>
      <s:c r="D4" s="7" t="n">
        <s:v>60</s:v>
      </s:c>
      <s:c r="E4" s="15" t="n">
        <s:v>400</s:v>
      </s:c>
      <s:c r="F4" s="15" t="n">
        <s:v>620</s:v>
      </s:c>
      <s:c r="G4" s="15" t="n">
        <s:v>4900000</s:v>
      </s:c>
      <s:c r="H4" s="7" t="n">
        <s:v>0</s:v>
      </s:c>
      <s:c r="I4" s="7" t="n">
        <s:v>0</s:v>
      </s:c>
      <s:c r="J4" s="6">
        <s:f>MAX(Municipalities!C2,IF(I4=1,Municipalities!B2,0))</s:f>
        <s:v>0.25</s:v>
      </s:c>
      <s:c r="K4" s="2">
        <s:f>ROUNDUP(C4*J4,0)</s:f>
        <s:v>30</s:v>
      </s:c>
      <s:c r="L4" s="5">
        <s:f>(D4*E4+(C4-D4)*F4)*Inputs!B5*Inputs!B4</s:f>
        <s:v>697680.0</s:v>
      </s:c>
      <s:c r="M4" s="5">
        <s:f>L4*(1-Inputs!B6)-C4*Inputs!B7</s:f>
        <s:v>401028.0</s:v>
      </s:c>
      <s:c r="N4" s="5">
        <s:f>G4*(1+Inputs!B17)</s:f>
        <s:v>4900000</s:v>
      </s:c>
      <s:c r="O4" s="5">
        <s:f>SUM('Cash Flows'!D44:D64)</s:f>
        <s:v>3791271.7346886494</s:v>
      </s:c>
      <s:c r="P4" s="6">
        <s:f>IFERROR(M4/N4,0)</s:f>
        <s:v>0.08184244897959184</s:v>
      </s:c>
      <s:c r="Q4" s="2">
        <s:f>IF(AND(D4&gt;=K4,D4&lt;=C4,E4+Inputs!B14&lt;=Inputs!B13,C4&gt;0,D4&gt;=0,E4&gt;0,F4&gt;0,G4&gt;0),1,0)</s:f>
        <s:v>1</s:v>
      </s:c>
      <s:c r="R4" s="2">
        <s:f>IF('Executive Report'!B6=0,0,INDEX(Portfolios!D$2:D$257,'Executive Report'!B7))</s:f>
        <s:v>0</s:v>
      </s:c>
      <s:c r="S4" s="5">
        <s:f>E4+Inputs!B14</s:f>
        <s:v>500</s:v>
      </s:c>
    </s:row>
    <s:row r="5" ht="32" customHeight="1">
      <s:c r="A5" s="3" t="inlineStr">
        <s:is>
          <s:t>D</s:t>
        </s:is>
      </s:c>
      <s:c r="B5" s="3" t="inlineStr">
        <s:is>
          <s:t>Etterbeek</s:t>
        </s:is>
      </s:c>
      <s:c r="C5" s="8" t="n">
        <s:v>70</s:v>
      </s:c>
      <s:c r="D5" s="8" t="n">
        <s:v>21</s:v>
      </s:c>
      <s:c r="E5" s="16" t="n">
        <s:v>440</s:v>
      </s:c>
      <s:c r="F5" s="16" t="n">
        <s:v>700</s:v>
      </s:c>
      <s:c r="G5" s="16" t="n">
        <s:v>3400000</s:v>
      </s:c>
      <s:c r="H5" s="8" t="n">
        <s:v>1</s:v>
      </s:c>
      <s:c r="I5" s="8" t="n">
        <s:v>0</s:v>
      </s:c>
      <s:c r="J5" s="17">
        <s:f>MAX(Municipalities!C6,IF(I5=1,Municipalities!B6,0))</s:f>
        <s:v>0.25</s:v>
      </s:c>
      <s:c r="K5" s="3">
        <s:f>ROUNDUP(C5*J5,0)</s:f>
        <s:v>18</s:v>
      </s:c>
      <s:c r="L5" s="4">
        <s:f>(D5*E5+(C5-D5)*F5)*Inputs!B5*Inputs!B4</s:f>
        <s:v>496356.0</s:v>
      </s:c>
      <s:c r="M5" s="4">
        <s:f>L5*(1-Inputs!B6)-C5*Inputs!B7</s:f>
        <s:v>309902.6</s:v>
      </s:c>
      <s:c r="N5" s="4">
        <s:f>G5*(1+Inputs!B17)</s:f>
        <s:v>3400000</s:v>
      </s:c>
      <s:c r="O5" s="4">
        <s:f>SUM('Cash Flows'!D65:D85)</s:f>
        <s:v>3316358.2290676017</s:v>
      </s:c>
      <s:c r="P5" s="17">
        <s:f>IFERROR(M5/N5,0)</s:f>
        <s:v>0.09114782352941175</s:v>
      </s:c>
      <s:c r="Q5" s="3">
        <s:f>IF(AND(D5&gt;=K5,D5&lt;=C5,E5+Inputs!B14&lt;=Inputs!B13,C5&gt;0,D5&gt;=0,E5&gt;0,F5&gt;0,G5&gt;0),1,0)</s:f>
        <s:v>1</s:v>
      </s:c>
      <s:c r="R5" s="3">
        <s:f>IF('Executive Report'!B6=0,0,INDEX(Portfolios!E$2:E$257,'Executive Report'!B7))</s:f>
        <s:v>1</s:v>
      </s:c>
      <s:c r="S5" s="4">
        <s:f>E5+Inputs!B14</s:f>
        <s:v>540</s:v>
      </s:c>
    </s:row>
    <s:row r="6" ht="32" customHeight="1">
      <s:c r="A6" s="2" t="inlineStr">
        <s:is>
          <s:t>E</s:t>
        </s:is>
      </s:c>
      <s:c r="B6" s="2" t="inlineStr">
        <s:is>
          <s:t>Schaerbeek</s:t>
        </s:is>
      </s:c>
      <s:c r="C6" s="7" t="n">
        <s:v>90</s:v>
      </s:c>
      <s:c r="D6" s="7" t="n">
        <s:v>45</s:v>
      </s:c>
      <s:c r="E6" s="15" t="n">
        <s:v>410</s:v>
      </s:c>
      <s:c r="F6" s="15" t="n">
        <s:v>640</s:v>
      </s:c>
      <s:c r="G6" s="15" t="n">
        <s:v>3800000</s:v>
      </s:c>
      <s:c r="H6" s="7" t="n">
        <s:v>1</s:v>
      </s:c>
      <s:c r="I6" s="7" t="n">
        <s:v>0</s:v>
      </s:c>
      <s:c r="J6" s="6">
        <s:f>MAX(Municipalities!C16,IF(I6=1,Municipalities!B16,0))</s:f>
        <s:v>0.25</s:v>
      </s:c>
      <s:c r="K6" s="2">
        <s:f>ROUNDUP(C6*J6,0)</s:f>
        <s:v>23</s:v>
      </s:c>
      <s:c r="L6" s="5">
        <s:f>(D6*E6+(C6-D6)*F6)*Inputs!B5*Inputs!B4</s:f>
        <s:v>538650.0</s:v>
      </s:c>
      <s:c r="M6" s="5">
        <s:f>L6*(1-Inputs!B6)-C6*Inputs!B7</s:f>
        <s:v>313852.5</s:v>
      </s:c>
      <s:c r="N6" s="5">
        <s:f>G6*(1+Inputs!B17)</s:f>
        <s:v>3800000</s:v>
      </s:c>
      <s:c r="O6" s="5">
        <s:f>SUM('Cash Flows'!D86:D106)</s:f>
        <s:v>3001962.3620080627</s:v>
      </s:c>
      <s:c r="P6" s="6">
        <s:f>IFERROR(M6/N6,0)</s:f>
        <s:v>0.08259276315789474</s:v>
      </s:c>
      <s:c r="Q6" s="2">
        <s:f>IF(AND(D6&gt;=K6,D6&lt;=C6,E6+Inputs!B14&lt;=Inputs!B13,C6&gt;0,D6&gt;=0,E6&gt;0,F6&gt;0,G6&gt;0),1,0)</s:f>
        <s:v>1</s:v>
      </s:c>
      <s:c r="R6" s="2">
        <s:f>IF('Executive Report'!B6=0,0,INDEX(Portfolios!F$2:F$257,'Executive Report'!B7))</s:f>
        <s:v>1</s:v>
      </s:c>
      <s:c r="S6" s="5">
        <s:f>E6+Inputs!B14</s:f>
        <s:v>510</s:v>
      </s:c>
    </s:row>
    <s:row r="7" ht="32" customHeight="1">
      <s:c r="A7" s="3" t="inlineStr">
        <s:is>
          <s:t>F</s:t>
        </s:is>
      </s:c>
      <s:c r="B7" s="3" t="inlineStr">
        <s:is>
          <s:t>Jette</s:t>
        </s:is>
      </s:c>
      <s:c r="C7" s="8" t="n">
        <s:v>80</s:v>
      </s:c>
      <s:c r="D7" s="8" t="n">
        <s:v>40</s:v>
      </s:c>
      <s:c r="E7" s="16" t="n">
        <s:v>400</s:v>
      </s:c>
      <s:c r="F7" s="16" t="n">
        <s:v>610</s:v>
      </s:c>
      <s:c r="G7" s="16" t="n">
        <s:v>3200000</s:v>
      </s:c>
      <s:c r="H7" s="8" t="n">
        <s:v>1</s:v>
      </s:c>
      <s:c r="I7" s="8" t="n">
        <s:v>0</s:v>
      </s:c>
      <s:c r="J7" s="17">
        <s:f>MAX(Municipalities!C11,IF(I7=1,Municipalities!B11,0))</s:f>
        <s:v>0.25</s:v>
      </s:c>
      <s:c r="K7" s="3">
        <s:f>ROUNDUP(C7*J7,0)</s:f>
        <s:v>20</s:v>
      </s:c>
      <s:c r="L7" s="4">
        <s:f>(D7*E7+(C7-D7)*F7)*Inputs!B5*Inputs!B4</s:f>
        <s:v>460560.0</s:v>
      </s:c>
      <s:c r="M7" s="4">
        <s:f>L7*(1-Inputs!B6)-C7*Inputs!B7</s:f>
        <s:v>263476.0</s:v>
      </s:c>
      <s:c r="N7" s="4">
        <s:f>G7*(1+Inputs!B17)</s:f>
        <s:v>3200000</s:v>
      </s:c>
      <s:c r="O7" s="4">
        <s:f>SUM('Cash Flows'!D107:D127)</s:f>
        <s:v>2510178.619869003</s:v>
      </s:c>
      <s:c r="P7" s="17">
        <s:f>IFERROR(M7/N7,0)</s:f>
        <s:v>0.08233625</s:v>
      </s:c>
      <s:c r="Q7" s="3">
        <s:f>IF(AND(D7&gt;=K7,D7&lt;=C7,E7+Inputs!B14&lt;=Inputs!B13,C7&gt;0,D7&gt;=0,E7&gt;0,F7&gt;0,G7&gt;0),1,0)</s:f>
        <s:v>1</s:v>
      </s:c>
      <s:c r="R7" s="3">
        <s:f>IF('Executive Report'!B6=0,0,INDEX(Portfolios!G$2:G$257,'Executive Report'!B7))</s:f>
        <s:v>1</s:v>
      </s:c>
      <s:c r="S7" s="4">
        <s:f>E7+Inputs!B14</s:f>
        <s:v>500</s:v>
      </s:c>
    </s:row>
    <s:row r="8" ht="32" customHeight="1">
      <s:c r="A8" s="2" t="inlineStr">
        <s:is>
          <s:t>G</s:t>
        </s:is>
      </s:c>
      <s:c r="B8" s="2" t="inlineStr">
        <s:is>
          <s:t>Molenbeek-Saint-Jean</s:t>
        </s:is>
      </s:c>
      <s:c r="C8" s="7" t="n">
        <s:v>110</s:v>
      </s:c>
      <s:c r="D8" s="7" t="n">
        <s:v>66</s:v>
      </s:c>
      <s:c r="E8" s="15" t="n">
        <s:v>390</s:v>
      </s:c>
      <s:c r="F8" s="15" t="n">
        <s:v>600</s:v>
      </s:c>
      <s:c r="G8" s="15" t="n">
        <s:v>4100000</s:v>
      </s:c>
      <s:c r="H8" s="7" t="n">
        <s:v>1</s:v>
      </s:c>
      <s:c r="I8" s="7" t="n">
        <s:v>0</s:v>
      </s:c>
      <s:c r="J8" s="6">
        <s:f>MAX(Municipalities!C13,IF(I8=1,Municipalities!B13,0))</s:f>
        <s:v>0.25</s:v>
      </s:c>
      <s:c r="K8" s="2">
        <s:f>ROUNDUP(C8*J8,0)</s:f>
        <s:v>28</s:v>
      </s:c>
      <s:c r="L8" s="5">
        <s:f>(D8*E8+(C8-D8)*F8)*Inputs!B5*Inputs!B4</s:f>
        <s:v>594396.0</s:v>
      </s:c>
      <s:c r="M8" s="5">
        <s:f>L8*(1-Inputs!B6)-C8*Inputs!B7</s:f>
        <s:v>329236.6</s:v>
      </s:c>
      <s:c r="N8" s="5">
        <s:f>G8*(1+Inputs!B17)</s:f>
        <s:v>4100000</s:v>
      </s:c>
      <s:c r="O8" s="5">
        <s:f>SUM('Cash Flows'!D128:D148)</s:f>
        <s:v>3035373.9778893073</s:v>
      </s:c>
      <s:c r="P8" s="6">
        <s:f>IFERROR(M8/N8,0)</s:f>
        <s:v>0.08030160975609756</s:v>
      </s:c>
      <s:c r="Q8" s="2">
        <s:f>IF(AND(D8&gt;=K8,D8&lt;=C8,E8+Inputs!B14&lt;=Inputs!B13,C8&gt;0,D8&gt;=0,E8&gt;0,F8&gt;0,G8&gt;0),1,0)</s:f>
        <s:v>1</s:v>
      </s:c>
      <s:c r="R8" s="2">
        <s:f>IF('Executive Report'!B6=0,0,INDEX(Portfolios!H$2:H$257,'Executive Report'!B7))</s:f>
        <s:v>1</s:v>
      </s:c>
      <s:c r="S8" s="5">
        <s:f>E8+Inputs!B14</s:f>
        <s:v>490</s:v>
      </s:c>
    </s:row>
    <s:row r="9" ht="32" customHeight="1">
      <s:c r="A9" s="3" t="inlineStr">
        <s:is>
          <s:t>H</s:t>
        </s:is>
      </s:c>
      <s:c r="B9" s="3" t="inlineStr">
        <s:is>
          <s:t>Woluwe-Saint-Lambert</s:t>
        </s:is>
      </s:c>
      <s:c r="C9" s="8" t="n">
        <s:v>90</s:v>
      </s:c>
      <s:c r="D9" s="8" t="n">
        <s:v>27</s:v>
      </s:c>
      <s:c r="E9" s="16" t="n">
        <s:v>450</s:v>
      </s:c>
      <s:c r="F9" s="16" t="n">
        <s:v>720</s:v>
      </s:c>
      <s:c r="G9" s="16" t="n">
        <s:v>4500000</s:v>
      </s:c>
      <s:c r="H9" s="8" t="n">
        <s:v>0</s:v>
      </s:c>
      <s:c r="I9" s="8" t="n">
        <s:v>0</s:v>
      </s:c>
      <s:c r="J9" s="17">
        <s:f>MAX(Municipalities!C19,IF(I9=1,Municipalities!B19,0))</s:f>
        <s:v>0.25</s:v>
      </s:c>
      <s:c r="K9" s="3">
        <s:f>ROUNDUP(C9*J9,0)</s:f>
        <s:v>23</s:v>
      </s:c>
      <s:c r="L9" s="4">
        <s:f>(D9*E9+(C9-D9)*F9)*Inputs!B5*Inputs!B4</s:f>
        <s:v>655614.0</s:v>
      </s:c>
      <s:c r="M9" s="4">
        <s:f>L9*(1-Inputs!B6)-C9*Inputs!B7</s:f>
        <s:v>413271.9</s:v>
      </s:c>
      <s:c r="N9" s="4">
        <s:f>G9*(1+Inputs!B17)</s:f>
        <s:v>4500000</s:v>
      </s:c>
      <s:c r="O9" s="4">
        <s:f>SUM('Cash Flows'!D149:D169)</s:f>
        <s:v>4456627.425544036</s:v>
      </s:c>
      <s:c r="P9" s="17">
        <s:f>IFERROR(M9/N9,0)</s:f>
        <s:v>0.09183820000000001</s:v>
      </s:c>
      <s:c r="Q9" s="3">
        <s:f>IF(AND(D9&gt;=K9,D9&lt;=C9,E9+Inputs!B14&lt;=Inputs!B13,C9&gt;0,D9&gt;=0,E9&gt;0,F9&gt;0,G9&gt;0),1,0)</s:f>
        <s:v>1</s:v>
      </s:c>
      <s:c r="R9" s="3">
        <s:f>IF('Executive Report'!B6=0,0,INDEX(Portfolios!I$2:I$257,'Executive Report'!B7))</s:f>
        <s:v>0</s:v>
      </s:c>
      <s:c r="S9" s="4">
        <s:f>E9+Inputs!B14</s:f>
        <s:v>550</s:v>
      </s:c>
    </s:row>
  </s:sheetData>
  <s:autoFilter ref="A1:S9"/>
  <s:conditionalFormatting sqref="O2:O9">
    <s:cfRule type="colorScale" priority="1">
      <s:colorScale>
        <s:cfvo type="min"/>
        <s:cfvo type="max"/>
        <s:color rgb="00F8D7DA"/>
        <s:color rgb="00B7DFBE"/>
      </s:colorScale>
    </s:cfRule>
  </s:conditionalFormatting>
  <s:dataValidations count="2">
    <s:dataValidation sqref="H2:I9" showDropDown="0" showInputMessage="0" showErrorMessage="1" allowBlank="0" errorTitle="Invalid input" error="Use a value within the allowed range." type="whole" operator="between">
      <s:formula1>0</s:formula1>
      <s:formula2>1</s:formula2>
    </s:dataValidation>
    <s:dataValidation sqref="C2:D9" showDropDown="0" showInputMessage="0" showErrorMessage="1" allowBlank="0" errorTitle="Invalid input" error="Use a value within the allowed range." type="whole" operator="between">
      <s:formula1>0</s:formula1>
      <s:formula2>10000</s:formula2>
    </s:dataValidation>
  </s:dataValidations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D169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22" customWidth="1" min="3" max="3"/>
    <s:col width="22" customWidth="1" min="4" max="4"/>
  </s:cols>
  <s:sheetData>
    <s:row r="1" ht="34" customHeight="1">
      <s:c r="A1" s="1" t="inlineStr">
        <s:is>
          <s:t>Project</s:t>
        </s:is>
      </s:c>
      <s:c r="B1" s="1" t="inlineStr">
        <s:is>
          <s:t>Year</s:t>
        </s:is>
      </s:c>
      <s:c r="C1" s="1" t="inlineStr">
        <s:is>
          <s:t>Unlevered cash flow</s:t>
        </s:is>
      </s:c>
      <s:c r="D1" s="1" t="inlineStr">
        <s:is>
          <s:t>Discounted cash flow</s:t>
        </s:is>
      </s:c>
    </s:row>
    <s:row r="2">
      <s:c r="A2" s="2" t="inlineStr">
        <s:is>
          <s:t>A</s:t>
        </s:is>
      </s:c>
      <s:c r="B2" s="18" t="n">
        <s:v>0</s:v>
      </s:c>
      <s:c r="C2" s="5">
        <s:f>-Projects!N2</s:f>
        <s:v>-4800000</s:v>
      </s:c>
      <s:c r="D2" s="5">
        <s:f>C2/(1+Inputs!B9)^B2</s:f>
        <s:v>-4800000.0</s:v>
      </s:c>
    </s:row>
    <s:row r="3">
      <s:c r="A3" s="3" t="inlineStr">
        <s:is>
          <s:t>A</s:t>
        </s:is>
      </s:c>
      <s:c r="B3" s="19" t="n">
        <s:v>1</s:v>
      </s:c>
      <s:c r="C3" s="4">
        <s:f>Projects!M2*(1+Inputs!B8)^(B3-1)</s:f>
        <s:v>405896.0</s:v>
      </s:c>
      <s:c r="D3" s="4">
        <s:f>C3/(1+Inputs!B9)^B3</s:f>
        <s:v>382920.7547169811</s:v>
      </s:c>
    </s:row>
    <s:row r="4">
      <s:c r="A4" s="2" t="inlineStr">
        <s:is>
          <s:t>A</s:t>
        </s:is>
      </s:c>
      <s:c r="B4" s="18" t="n">
        <s:v>2</s:v>
      </s:c>
      <s:c r="C4" s="5">
        <s:f>Projects!M2*(1+Inputs!B8)^(B4-1)</s:f>
        <s:v>414013.92</s:v>
      </s:c>
      <s:c r="D4" s="5">
        <s:f>C4/(1+Inputs!B9)^B4</s:f>
        <s:v>368470.91491634026</s:v>
      </s:c>
    </s:row>
    <s:row r="5">
      <s:c r="A5" s="3" t="inlineStr">
        <s:is>
          <s:t>A</s:t>
        </s:is>
      </s:c>
      <s:c r="B5" s="19" t="n">
        <s:v>3</s:v>
      </s:c>
      <s:c r="C5" s="4">
        <s:f>Projects!M2*(1+Inputs!B8)^(B5-1)</s:f>
        <s:v>422294.1984</s:v>
      </s:c>
      <s:c r="D5" s="4">
        <s:f>C5/(1+Inputs!B9)^B5</s:f>
        <s:v>354566.3520893086</s:v>
      </s:c>
    </s:row>
    <s:row r="6">
      <s:c r="A6" s="2" t="inlineStr">
        <s:is>
          <s:t>A</s:t>
        </s:is>
      </s:c>
      <s:c r="B6" s="18" t="n">
        <s:v>4</s:v>
      </s:c>
      <s:c r="C6" s="5">
        <s:f>Projects!M2*(1+Inputs!B8)^(B6-1)</s:f>
        <s:v>430740.08236800006</s:v>
      </s:c>
      <s:c r="D6" s="5">
        <s:f>C6/(1+Inputs!B9)^B6</s:f>
        <s:v>341186.4897463158</s:v>
      </s:c>
    </s:row>
    <s:row r="7">
      <s:c r="A7" s="3" t="inlineStr">
        <s:is>
          <s:t>A</s:t>
        </s:is>
      </s:c>
      <s:c r="B7" s="19" t="n">
        <s:v>5</s:v>
      </s:c>
      <s:c r="C7" s="4">
        <s:f>Projects!M2*(1+Inputs!B8)^(B7-1)</s:f>
        <s:v>439354.88401536</s:v>
      </s:c>
      <s:c r="D7" s="4">
        <s:f>C7/(1+Inputs!B9)^B7</s:f>
        <s:v>328311.5278690963</s:v>
      </s:c>
    </s:row>
    <s:row r="8">
      <s:c r="A8" s="2" t="inlineStr">
        <s:is>
          <s:t>A</s:t>
        </s:is>
      </s:c>
      <s:c r="B8" s="18" t="n">
        <s:v>6</s:v>
      </s:c>
      <s:c r="C8" s="5">
        <s:f>Projects!M2*(1+Inputs!B8)^(B8-1)</s:f>
        <s:v>448141.9816956672</s:v>
      </s:c>
      <s:c r="D8" s="5">
        <s:f>C8/(1+Inputs!B9)^B8</s:f>
        <s:v>315922.41360988514</s:v>
      </s:c>
    </s:row>
    <s:row r="9">
      <s:c r="A9" s="3" t="inlineStr">
        <s:is>
          <s:t>A</s:t>
        </s:is>
      </s:c>
      <s:c r="B9" s="19" t="n">
        <s:v>7</s:v>
      </s:c>
      <s:c r="C9" s="4">
        <s:f>Projects!M2*(1+Inputs!B8)^(B9-1)</s:f>
        <s:v>457104.82132958056</s:v>
      </s:c>
      <s:c r="D9" s="4">
        <s:f>C9/(1+Inputs!B9)^B9</s:f>
        <s:v>304000.81309630454</s:v>
      </s:c>
    </s:row>
    <s:row r="10">
      <s:c r="A10" s="2" t="inlineStr">
        <s:is>
          <s:t>A</s:t>
        </s:is>
      </s:c>
      <s:c r="B10" s="18" t="n">
        <s:v>8</s:v>
      </s:c>
      <s:c r="C10" s="5">
        <s:f>Projects!M2*(1+Inputs!B8)^(B10-1)</s:f>
        <s:v>466246.9177561722</s:v>
      </s:c>
      <s:c r="D10" s="5">
        <s:f>C10/(1+Inputs!B9)^B10</s:f>
        <s:v>292529.08430021757</s:v>
      </s:c>
    </s:row>
    <s:row r="11">
      <s:c r="A11" s="3" t="inlineStr">
        <s:is>
          <s:t>A</s:t>
        </s:is>
      </s:c>
      <s:c r="B11" s="19" t="n">
        <s:v>9</s:v>
      </s:c>
      <s:c r="C11" s="4">
        <s:f>Projects!M2*(1+Inputs!B8)^(B11-1)</s:f>
        <s:v>475571.85611129564</s:v>
      </s:c>
      <s:c r="D11" s="4">
        <s:f>C11/(1+Inputs!B9)^B11</s:f>
        <s:v>281490.250930398</s:v>
      </s:c>
    </s:row>
    <s:row r="12">
      <s:c r="A12" s="2" t="inlineStr">
        <s:is>
          <s:t>A</s:t>
        </s:is>
      </s:c>
      <s:c r="B12" s="18" t="n">
        <s:v>10</s:v>
      </s:c>
      <s:c r="C12" s="5">
        <s:f>Projects!M2*(1+Inputs!B8)^(B12-1)</s:f>
        <s:v>485083.2932335216</s:v>
      </s:c>
      <s:c r="D12" s="5">
        <s:f>C12/(1+Inputs!B9)^B12</s:f>
        <s:v>270867.977310383</s:v>
      </s:c>
    </s:row>
    <s:row r="13">
      <s:c r="A13" s="3" t="inlineStr">
        <s:is>
          <s:t>A</s:t>
        </s:is>
      </s:c>
      <s:c r="B13" s="19" t="n">
        <s:v>11</s:v>
      </s:c>
      <s:c r="C13" s="4">
        <s:f>Projects!M2*(1+Inputs!B8)^(B13-1)</s:f>
        <s:v>494784.95909819205</s:v>
      </s:c>
      <s:c r="D13" s="4">
        <s:f>C13/(1+Inputs!B9)^B13</s:f>
        <s:v>260646.5442043308</s:v>
      </s:c>
    </s:row>
    <s:row r="14">
      <s:c r="A14" s="2" t="inlineStr">
        <s:is>
          <s:t>A</s:t>
        </s:is>
      </s:c>
      <s:c r="B14" s="18" t="n">
        <s:v>12</s:v>
      </s:c>
      <s:c r="C14" s="5">
        <s:f>Projects!M2*(1+Inputs!B8)^(B14-1)</s:f>
        <s:v>504680.65828015585</s:v>
      </s:c>
      <s:c r="D14" s="5">
        <s:f>C14/(1+Inputs!B9)^B14</s:f>
        <s:v>250810.8255551108</s:v>
      </s:c>
    </s:row>
    <s:row r="15">
      <s:c r="A15" s="3" t="inlineStr">
        <s:is>
          <s:t>A</s:t>
        </s:is>
      </s:c>
      <s:c r="B15" s="19" t="n">
        <s:v>13</s:v>
      </s:c>
      <s:c r="C15" s="4">
        <s:f>Projects!M2*(1+Inputs!B8)^(B15-1)</s:f>
        <s:v>514774.271445759</s:v>
      </s:c>
      <s:c r="D15" s="4">
        <s:f>C15/(1+Inputs!B9)^B15</s:f>
        <s:v>241346.2661002009</s:v>
      </s:c>
    </s:row>
    <s:row r="16">
      <s:c r="A16" s="2" t="inlineStr">
        <s:is>
          <s:t>A</s:t>
        </s:is>
      </s:c>
      <s:c r="B16" s="18" t="n">
        <s:v>14</s:v>
      </s:c>
      <s:c r="C16" s="5">
        <s:f>Projects!M2*(1+Inputs!B8)^(B16-1)</s:f>
        <s:v>525069.7568746742</s:v>
      </s:c>
      <s:c r="D16" s="5">
        <s:f>C16/(1+Inputs!B9)^B16</s:f>
        <s:v>232238.8598322688</s:v>
      </s:c>
    </s:row>
    <s:row r="17">
      <s:c r="A17" s="3" t="inlineStr">
        <s:is>
          <s:t>A</s:t>
        </s:is>
      </s:c>
      <s:c r="B17" s="19" t="n">
        <s:v>15</s:v>
      </s:c>
      <s:c r="C17" s="4">
        <s:f>Projects!M2*(1+Inputs!B8)^(B17-1)</s:f>
        <s:v>535571.1520121676</s:v>
      </s:c>
      <s:c r="D17" s="4">
        <s:f>C17/(1+Inputs!B9)^B17</s:f>
        <s:v>223475.12927256053</s:v>
      </s:c>
    </s:row>
    <s:row r="18">
      <s:c r="A18" s="2" t="inlineStr">
        <s:is>
          <s:t>A</s:t>
        </s:is>
      </s:c>
      <s:c r="B18" s="18" t="n">
        <s:v>16</s:v>
      </s:c>
      <s:c r="C18" s="5">
        <s:f>Projects!M2*(1+Inputs!B8)^(B18-1)</s:f>
        <s:v>546282.5750524111</s:v>
      </s:c>
      <s:c r="D18" s="5">
        <s:f>C18/(1+Inputs!B9)^B18</s:f>
        <s:v>215042.10552642617</s:v>
      </s:c>
    </s:row>
    <s:row r="19">
      <s:c r="A19" s="3" t="inlineStr">
        <s:is>
          <s:t>A</s:t>
        </s:is>
      </s:c>
      <s:c r="B19" s="19" t="n">
        <s:v>17</s:v>
      </s:c>
      <s:c r="C19" s="4">
        <s:f>Projects!M2*(1+Inputs!B8)^(B19-1)</s:f>
        <s:v>557208.2265534593</s:v>
      </s:c>
      <s:c r="D19" s="4">
        <s:f>C19/(1+Inputs!B9)^B19</s:f>
        <s:v>206927.3090914667</s:v>
      </s:c>
    </s:row>
    <s:row r="20">
      <s:c r="A20" s="2" t="inlineStr">
        <s:is>
          <s:t>A</s:t>
        </s:is>
      </s:c>
      <s:c r="B20" s="18" t="n">
        <s:v>18</s:v>
      </s:c>
      <s:c r="C20" s="5">
        <s:f>Projects!M2*(1+Inputs!B8)^(B20-1)</s:f>
        <s:v>568352.3910845285</s:v>
      </s:c>
      <s:c r="D20" s="5">
        <s:f>C20/(1+Inputs!B9)^B20</s:f>
        <s:v>199118.73138990192</s:v>
      </s:c>
    </s:row>
    <s:row r="21">
      <s:c r="A21" s="3" t="inlineStr">
        <s:is>
          <s:t>A</s:t>
        </s:is>
      </s:c>
      <s:c r="B21" s="19" t="n">
        <s:v>19</s:v>
      </s:c>
      <s:c r="C21" s="4">
        <s:f>Projects!M2*(1+Inputs!B8)^(B21-1)</s:f>
        <s:v>579719.4389062191</s:v>
      </s:c>
      <s:c r="D21" s="4">
        <s:f>C21/(1+Inputs!B9)^B21</s:f>
        <s:v>191604.81699783014</s:v>
      </s:c>
    </s:row>
    <s:row r="22">
      <s:c r="A22" s="2" t="inlineStr">
        <s:is>
          <s:t>A</s:t>
        </s:is>
      </s:c>
      <s:c r="B22" s="18" t="n">
        <s:v>20</s:v>
      </s:c>
      <s:c r="C22" s="5">
        <s:f>Projects!M2*(1+Inputs!B8)^(B22-1)+Projects!M2*(1+Inputs!B8)^20/Inputs!B10*(1-Inputs!B11)</s:f>
        <s:v>11338173.866834702</s:v>
      </s:c>
      <s:c r="D22" s="5">
        <s:f>C22/(1+Inputs!B9)^B22</s:f>
        <s:v>3535296.2059353325</s:v>
      </s:c>
    </s:row>
    <s:row r="23">
      <s:c r="A23" s="3" t="inlineStr">
        <s:is>
          <s:t>B</s:t>
        </s:is>
      </s:c>
      <s:c r="B23" s="19" t="n">
        <s:v>0</s:v>
      </s:c>
      <s:c r="C23" s="4">
        <s:f>-Projects!N3</s:f>
        <s:v>-4300000</s:v>
      </s:c>
      <s:c r="D23" s="4">
        <s:f>C23/(1+Inputs!B9)^B23</s:f>
        <s:v>-4300000.0</s:v>
      </s:c>
    </s:row>
    <s:row r="24">
      <s:c r="A24" s="2" t="inlineStr">
        <s:is>
          <s:t>B</s:t>
        </s:is>
      </s:c>
      <s:c r="B24" s="18" t="n">
        <s:v>1</s:v>
      </s:c>
      <s:c r="C24" s="5">
        <s:f>Projects!M3*(1+Inputs!B8)^(B24-1)</s:f>
        <s:v>372779.2</s:v>
      </s:c>
      <s:c r="D24" s="5">
        <s:f>C24/(1+Inputs!B9)^B24</s:f>
        <s:v>351678.4905660377</s:v>
      </s:c>
    </s:row>
    <s:row r="25">
      <s:c r="A25" s="3" t="inlineStr">
        <s:is>
          <s:t>B</s:t>
        </s:is>
      </s:c>
      <s:c r="B25" s="19" t="n">
        <s:v>2</s:v>
      </s:c>
      <s:c r="C25" s="4">
        <s:f>Projects!M3*(1+Inputs!B8)^(B25-1)</s:f>
        <s:v>380234.78400000004</s:v>
      </s:c>
      <s:c r="D25" s="4">
        <s:f>C25/(1+Inputs!B9)^B25</s:f>
        <s:v>338407.60412958346</s:v>
      </s:c>
    </s:row>
    <s:row r="26">
      <s:c r="A26" s="2" t="inlineStr">
        <s:is>
          <s:t>B</s:t>
        </s:is>
      </s:c>
      <s:c r="B26" s="18" t="n">
        <s:v>3</s:v>
      </s:c>
      <s:c r="C26" s="5">
        <s:f>Projects!M3*(1+Inputs!B8)^(B26-1)</s:f>
        <s:v>387839.47968</s:v>
      </s:c>
      <s:c r="D26" s="5">
        <s:f>C26/(1+Inputs!B9)^B26</s:f>
        <s:v>325637.5058605426</s:v>
      </s:c>
    </s:row>
    <s:row r="27">
      <s:c r="A27" s="3" t="inlineStr">
        <s:is>
          <s:t>B</s:t>
        </s:is>
      </s:c>
      <s:c r="B27" s="19" t="n">
        <s:v>4</s:v>
      </s:c>
      <s:c r="C27" s="4">
        <s:f>Projects!M3*(1+Inputs!B8)^(B27-1)</s:f>
        <s:v>395596.2692736001</s:v>
      </s:c>
      <s:c r="D27" s="4">
        <s:f>C27/(1+Inputs!B9)^B27</s:f>
        <s:v>313349.2980922202</s:v>
      </s:c>
    </s:row>
    <s:row r="28">
      <s:c r="A28" s="2" t="inlineStr">
        <s:is>
          <s:t>B</s:t>
        </s:is>
      </s:c>
      <s:c r="B28" s="18" t="n">
        <s:v>5</s:v>
      </s:c>
      <s:c r="C28" s="5">
        <s:f>Projects!M3*(1+Inputs!B8)^(B28-1)</s:f>
        <s:v>403508.19465907203</s:v>
      </s:c>
      <s:c r="D28" s="5">
        <s:f>C28/(1+Inputs!B9)^B28</s:f>
        <s:v>301524.79627741943</s:v>
      </s:c>
    </s:row>
    <s:row r="29">
      <s:c r="A29" s="3" t="inlineStr">
        <s:is>
          <s:t>B</s:t>
        </s:is>
      </s:c>
      <s:c r="B29" s="19" t="n">
        <s:v>6</s:v>
      </s:c>
      <s:c r="C29" s="4">
        <s:f>Projects!M3*(1+Inputs!B8)^(B29-1)</s:f>
        <s:v>411578.35855225346</s:v>
      </s:c>
      <s:c r="D29" s="4">
        <s:f>C29/(1+Inputs!B9)^B29</s:f>
        <s:v>290146.50207827153</s:v>
      </s:c>
    </s:row>
    <s:row r="30">
      <s:c r="A30" s="2" t="inlineStr">
        <s:is>
          <s:t>B</s:t>
        </s:is>
      </s:c>
      <s:c r="B30" s="18" t="n">
        <s:v>7</s:v>
      </s:c>
      <s:c r="C30" s="5">
        <s:f>Projects!M3*(1+Inputs!B8)^(B30-1)</s:f>
        <s:v>419809.92572329857</s:v>
      </s:c>
      <s:c r="D30" s="5">
        <s:f>C30/(1+Inputs!B9)^B30</s:f>
        <s:v>279197.57747154427</s:v>
      </s:c>
    </s:row>
    <s:row r="31">
      <s:c r="A31" s="3" t="inlineStr">
        <s:is>
          <s:t>B</s:t>
        </s:is>
      </s:c>
      <s:c r="B31" s="19" t="n">
        <s:v>8</s:v>
      </s:c>
      <s:c r="C31" s="4">
        <s:f>Projects!M3*(1+Inputs!B8)^(B31-1)</s:f>
        <s:v>428206.1242377645</s:v>
      </s:c>
      <s:c r="D31" s="4">
        <s:f>C31/(1+Inputs!B9)^B31</s:f>
        <s:v>268661.8198311086</s:v>
      </s:c>
    </s:row>
    <s:row r="32">
      <s:c r="A32" s="2" t="inlineStr">
        <s:is>
          <s:t>B</s:t>
        </s:is>
      </s:c>
      <s:c r="B32" s="18" t="n">
        <s:v>9</s:v>
      </s:c>
      <s:c r="C32" s="5">
        <s:f>Projects!M3*(1+Inputs!B8)^(B32-1)</s:f>
        <s:v>436770.24672251986</s:v>
      </s:c>
      <s:c r="D32" s="5">
        <s:f>C32/(1+Inputs!B9)^B32</s:f>
        <s:v>258523.63795068944</s:v>
      </s:c>
    </s:row>
    <s:row r="33">
      <s:c r="A33" s="3" t="inlineStr">
        <s:is>
          <s:t>B</s:t>
        </s:is>
      </s:c>
      <s:c r="B33" s="19" t="n">
        <s:v>10</s:v>
      </s:c>
      <s:c r="C33" s="4">
        <s:f>Projects!M3*(1+Inputs!B8)^(B33-1)</s:f>
        <s:v>445505.6516569702</s:v>
      </s:c>
      <s:c r="D33" s="4">
        <s:f>C33/(1+Inputs!B9)^B33</s:f>
        <s:v>248768.0289714181</s:v>
      </s:c>
    </s:row>
    <s:row r="34">
      <s:c r="A34" s="2" t="inlineStr">
        <s:is>
          <s:t>B</s:t>
        </s:is>
      </s:c>
      <s:c r="B34" s="18" t="n">
        <s:v>11</s:v>
      </s:c>
      <s:c r="C34" s="5">
        <s:f>Projects!M3*(1+Inputs!B8)^(B34-1)</s:f>
        <s:v>454415.76469010965</s:v>
      </s:c>
      <s:c r="D34" s="5">
        <s:f>C34/(1+Inputs!B9)^B34</s:f>
        <s:v>239380.55618004384</s:v>
      </s:c>
    </s:row>
    <s:row r="35">
      <s:c r="A35" s="3" t="inlineStr">
        <s:is>
          <s:t>B</s:t>
        </s:is>
      </s:c>
      <s:c r="B35" s="19" t="n">
        <s:v>12</s:v>
      </s:c>
      <s:c r="C35" s="4">
        <s:f>Projects!M3*(1+Inputs!B8)^(B35-1)</s:f>
        <s:v>463504.0799839118</s:v>
      </s:c>
      <s:c r="D35" s="4">
        <s:f>C35/(1+Inputs!B9)^B35</s:f>
        <s:v>230347.32764494786</s:v>
      </s:c>
    </s:row>
    <s:row r="36">
      <s:c r="A36" s="2" t="inlineStr">
        <s:is>
          <s:t>B</s:t>
        </s:is>
      </s:c>
      <s:c r="B36" s="18" t="n">
        <s:v>13</s:v>
      </s:c>
      <s:c r="C36" s="5">
        <s:f>Projects!M3*(1+Inputs!B8)^(B36-1)</s:f>
        <s:v>472774.1615835901</s:v>
      </s:c>
      <s:c r="D36" s="5">
        <s:f>C36/(1+Inputs!B9)^B36</s:f>
        <s:v>221654.97565834603</s:v>
      </s:c>
    </s:row>
    <s:row r="37">
      <s:c r="A37" s="3" t="inlineStr">
        <s:is>
          <s:t>B</s:t>
        </s:is>
      </s:c>
      <s:c r="B37" s="19" t="n">
        <s:v>14</s:v>
      </s:c>
      <s:c r="C37" s="4">
        <s:f>Projects!M3*(1+Inputs!B8)^(B37-1)</s:f>
        <s:v>482229.64481526194</s:v>
      </s:c>
      <s:c r="D37" s="4">
        <s:f>C37/(1+Inputs!B9)^B37</s:f>
        <s:v>213290.6369542575</s:v>
      </s:c>
    </s:row>
    <s:row r="38">
      <s:c r="A38" s="2" t="inlineStr">
        <s:is>
          <s:t>B</s:t>
        </s:is>
      </s:c>
      <s:c r="B38" s="18" t="n">
        <s:v>15</s:v>
      </s:c>
      <s:c r="C38" s="5">
        <s:f>Projects!M3*(1+Inputs!B8)^(B38-1)</s:f>
        <s:v>491874.23771156714</s:v>
      </s:c>
      <s:c r="D38" s="5">
        <s:f>C38/(1+Inputs!B9)^B38</s:f>
        <s:v>205241.93367296475</s:v>
      </s:c>
    </s:row>
    <s:row r="39">
      <s:c r="A39" s="3" t="inlineStr">
        <s:is>
          <s:t>B</s:t>
        </s:is>
      </s:c>
      <s:c r="B39" s="19" t="n">
        <s:v>16</s:v>
      </s:c>
      <s:c r="C39" s="4">
        <s:f>Projects!M3*(1+Inputs!B8)^(B39-1)</s:f>
        <s:v>501711.7224657985</s:v>
      </s:c>
      <s:c r="D39" s="4">
        <s:f>C39/(1+Inputs!B9)^B39</s:f>
        <s:v>197496.95504379625</s:v>
      </s:c>
    </s:row>
    <s:row r="40">
      <s:c r="A40" s="2" t="inlineStr">
        <s:is>
          <s:t>B</s:t>
        </s:is>
      </s:c>
      <s:c r="B40" s="18" t="n">
        <s:v>17</s:v>
      </s:c>
      <s:c r="C40" s="5">
        <s:f>Projects!M3*(1+Inputs!B8)^(B40-1)</s:f>
        <s:v>511745.9569151145</s:v>
      </s:c>
      <s:c r="D40" s="5">
        <s:f>C40/(1+Inputs!B9)^B40</s:f>
        <s:v>190044.2397591247</s:v>
      </s:c>
    </s:row>
    <s:row r="41">
      <s:c r="A41" s="3" t="inlineStr">
        <s:is>
          <s:t>B</s:t>
        </s:is>
      </s:c>
      <s:c r="B41" s="19" t="n">
        <s:v>18</s:v>
      </s:c>
      <s:c r="C41" s="4">
        <s:f>Projects!M3*(1+Inputs!B8)^(B41-1)</s:f>
        <s:v>521980.8760534168</s:v>
      </s:c>
      <s:c r="D41" s="4">
        <s:f>C41/(1+Inputs!B9)^B41</s:f>
        <s:v>182872.75901349736</s:v>
      </s:c>
    </s:row>
    <s:row r="42">
      <s:c r="A42" s="2" t="inlineStr">
        <s:is>
          <s:t>B</s:t>
        </s:is>
      </s:c>
      <s:c r="B42" s="18" t="n">
        <s:v>19</s:v>
      </s:c>
      <s:c r="C42" s="5">
        <s:f>Projects!M3*(1+Inputs!B8)^(B42-1)</s:f>
        <s:v>532420.4935744852</s:v>
      </s:c>
      <s:c r="D42" s="5">
        <s:f>C42/(1+Inputs!B9)^B42</s:f>
        <s:v>175971.90018279935</s:v>
      </s:c>
    </s:row>
    <s:row r="43">
      <s:c r="A43" s="3" t="inlineStr">
        <s:is>
          <s:t>B</s:t>
        </s:is>
      </s:c>
      <s:c r="B43" s="19" t="n">
        <s:v>20</s:v>
      </s:c>
      <s:c r="C43" s="4">
        <s:f>Projects!M3*(1+Inputs!B8)^(B43-1)+Projects!M3*(1+Inputs!B8)^20/Inputs!B10*(1-Inputs!B11)</s:f>
        <s:v>10413099.374075001</s:v>
      </s:c>
      <s:c r="D43" s="4">
        <s:f>C43/(1+Inputs!B9)^B43</s:f>
        <s:v>3246853.606371111</s:v>
      </s:c>
    </s:row>
    <s:row r="44">
      <s:c r="A44" s="2" t="inlineStr">
        <s:is>
          <s:t>C</s:t>
        </s:is>
      </s:c>
      <s:c r="B44" s="18" t="n">
        <s:v>0</s:v>
      </s:c>
      <s:c r="C44" s="5">
        <s:f>-Projects!N4</s:f>
        <s:v>-4900000</s:v>
      </s:c>
      <s:c r="D44" s="5">
        <s:f>C44/(1+Inputs!B9)^B44</s:f>
        <s:v>-4900000.0</s:v>
      </s:c>
    </s:row>
    <s:row r="45">
      <s:c r="A45" s="3" t="inlineStr">
        <s:is>
          <s:t>C</s:t>
        </s:is>
      </s:c>
      <s:c r="B45" s="19" t="n">
        <s:v>1</s:v>
      </s:c>
      <s:c r="C45" s="4">
        <s:f>Projects!M4*(1+Inputs!B8)^(B45-1)</s:f>
        <s:v>401028.0</s:v>
      </s:c>
      <s:c r="D45" s="4">
        <s:f>C45/(1+Inputs!B9)^B45</s:f>
        <s:v>378328.3018867924</s:v>
      </s:c>
    </s:row>
    <s:row r="46">
      <s:c r="A46" s="2" t="inlineStr">
        <s:is>
          <s:t>C</s:t>
        </s:is>
      </s:c>
      <s:c r="B46" s="18" t="n">
        <s:v>2</s:v>
      </s:c>
      <s:c r="C46" s="5">
        <s:f>Projects!M4*(1+Inputs!B8)^(B46-1)</s:f>
        <s:v>409048.56</s:v>
      </s:c>
      <s:c r="D46" s="5">
        <s:f>C46/(1+Inputs!B9)^B46</s:f>
        <s:v>364051.76219295117</s:v>
      </s:c>
    </s:row>
    <s:row r="47">
      <s:c r="A47" s="3" t="inlineStr">
        <s:is>
          <s:t>C</s:t>
        </s:is>
      </s:c>
      <s:c r="B47" s="19" t="n">
        <s:v>3</s:v>
      </s:c>
      <s:c r="C47" s="4">
        <s:f>Projects!M4*(1+Inputs!B8)^(B47-1)</s:f>
        <s:v>417229.53119999997</s:v>
      </s:c>
      <s:c r="D47" s="4">
        <s:f>C47/(1+Inputs!B9)^B47</s:f>
        <s:v>350313.95984604734</s:v>
      </s:c>
    </s:row>
    <s:row r="48">
      <s:c r="A48" s="2" t="inlineStr">
        <s:is>
          <s:t>C</s:t>
        </s:is>
      </s:c>
      <s:c r="B48" s="18" t="n">
        <s:v>4</s:v>
      </s:c>
      <s:c r="C48" s="5">
        <s:f>Projects!M4*(1+Inputs!B8)^(B48-1)</s:f>
        <s:v>425574.1218240001</s:v>
      </s:c>
      <s:c r="D48" s="5">
        <s:f>C48/(1+Inputs!B9)^B48</s:f>
        <s:v>337094.56513487577</s:v>
      </s:c>
    </s:row>
    <s:row r="49">
      <s:c r="A49" s="3" t="inlineStr">
        <s:is>
          <s:t>C</s:t>
        </s:is>
      </s:c>
      <s:c r="B49" s="19" t="n">
        <s:v>5</s:v>
      </s:c>
      <s:c r="C49" s="4">
        <s:f>Projects!M4*(1+Inputs!B8)^(B49-1)</s:f>
        <s:v>434085.60426048</s:v>
      </s:c>
      <s:c r="D49" s="4">
        <s:f>C49/(1+Inputs!B9)^B49</s:f>
        <s:v>324374.01550714456</s:v>
      </s:c>
    </s:row>
    <s:row r="50">
      <s:c r="A50" s="2" t="inlineStr">
        <s:is>
          <s:t>C</s:t>
        </s:is>
      </s:c>
      <s:c r="B50" s="18" t="n">
        <s:v>6</s:v>
      </s:c>
      <s:c r="C50" s="5">
        <s:f>Projects!M4*(1+Inputs!B8)^(B50-1)</s:f>
        <s:v>442767.3163456896</s:v>
      </s:c>
      <s:c r="D50" s="5">
        <s:f>C50/(1+Inputs!B9)^B50</s:f>
        <s:v>312133.4866200825</s:v>
      </s:c>
    </s:row>
    <s:row r="51">
      <s:c r="A51" s="3" t="inlineStr">
        <s:is>
          <s:t>C</s:t>
        </s:is>
      </s:c>
      <s:c r="B51" s="19" t="n">
        <s:v>7</s:v>
      </s:c>
      <s:c r="C51" s="4">
        <s:f>Projects!M4*(1+Inputs!B8)^(B51-1)</s:f>
        <s:v>451622.66267260344</s:v>
      </s:c>
      <s:c r="D51" s="4">
        <s:f>C51/(1+Inputs!B9)^B51</s:f>
        <s:v>300354.8644834756</s:v>
      </s:c>
    </s:row>
    <s:row r="52">
      <s:c r="A52" s="2" t="inlineStr">
        <s:is>
          <s:t>C</s:t>
        </s:is>
      </s:c>
      <s:c r="B52" s="18" t="n">
        <s:v>8</s:v>
      </s:c>
      <s:c r="C52" s="5">
        <s:f>Projects!M4*(1+Inputs!B8)^(B52-1)</s:f>
        <s:v>460655.11592605547</s:v>
      </s:c>
      <s:c r="D52" s="5">
        <s:f>C52/(1+Inputs!B9)^B52</s:f>
        <s:v>289020.71865391044</s:v>
      </s:c>
    </s:row>
    <s:row r="53">
      <s:c r="A53" s="3" t="inlineStr">
        <s:is>
          <s:t>C</s:t>
        </s:is>
      </s:c>
      <s:c r="B53" s="19" t="n">
        <s:v>9</s:v>
      </s:c>
      <s:c r="C53" s="4">
        <s:f>Projects!M4*(1+Inputs!B8)^(B53-1)</s:f>
        <s:v>469868.21824457665</s:v>
      </s:c>
      <s:c r="D53" s="4">
        <s:f>C53/(1+Inputs!B9)^B53</s:f>
        <s:v>278114.2764405554</s:v>
      </s:c>
    </s:row>
    <s:row r="54">
      <s:c r="A54" s="2" t="inlineStr">
        <s:is>
          <s:t>C</s:t>
        </s:is>
      </s:c>
      <s:c r="B54" s="18" t="n">
        <s:v>10</s:v>
      </s:c>
      <s:c r="C54" s="5">
        <s:f>Projects!M4*(1+Inputs!B8)^(B54-1)</s:f>
        <s:v>479265.58260946814</s:v>
      </s:c>
      <s:c r="D54" s="5">
        <s:f>C54/(1+Inputs!B9)^B54</s:f>
        <s:v>267619.39808430796</s:v>
      </s:c>
    </s:row>
    <s:row r="55">
      <s:c r="A55" s="3" t="inlineStr">
        <s:is>
          <s:t>C</s:t>
        </s:is>
      </s:c>
      <s:c r="B55" s="19" t="n">
        <s:v>11</s:v>
      </s:c>
      <s:c r="C55" s="4">
        <s:f>Projects!M4*(1+Inputs!B8)^(B55-1)</s:f>
        <s:v>488850.89426165755</s:v>
      </s:c>
      <s:c r="D55" s="4">
        <s:f>C55/(1+Inputs!B9)^B55</s:f>
        <s:v>257520.55287357938</s:v>
      </s:c>
    </s:row>
    <s:row r="56">
      <s:c r="A56" s="2" t="inlineStr">
        <s:is>
          <s:t>C</s:t>
        </s:is>
      </s:c>
      <s:c r="B56" s="18" t="n">
        <s:v>12</s:v>
      </s:c>
      <s:c r="C56" s="5">
        <s:f>Projects!M4*(1+Inputs!B8)^(B56-1)</s:f>
        <s:v>498627.9121468907</s:v>
      </s:c>
      <s:c r="D56" s="5">
        <s:f>C56/(1+Inputs!B9)^B56</s:f>
        <s:v>247802.79616136884</s:v>
      </s:c>
    </s:row>
    <s:row r="57">
      <s:c r="A57" s="3" t="inlineStr">
        <s:is>
          <s:t>C</s:t>
        </s:is>
      </s:c>
      <s:c r="B57" s="19" t="n">
        <s:v>13</s:v>
      </s:c>
      <s:c r="C57" s="4">
        <s:f>Projects!M4*(1+Inputs!B8)^(B57-1)</s:f>
        <s:v>508600.4703898285</s:v>
      </s:c>
      <s:c r="D57" s="4">
        <s:f>C57/(1+Inputs!B9)^B57</s:f>
        <s:v>238451.74724961905</s:v>
      </s:c>
    </s:row>
    <s:row r="58">
      <s:c r="A58" s="2" t="inlineStr">
        <s:is>
          <s:t>C</s:t>
        </s:is>
      </s:c>
      <s:c r="B58" s="18" t="n">
        <s:v>14</s:v>
      </s:c>
      <s:c r="C58" s="5">
        <s:f>Projects!M4*(1+Inputs!B8)^(B58-1)</s:f>
        <s:v>518772.4797976251</s:v>
      </s:c>
      <s:c r="D58" s="5">
        <s:f>C58/(1+Inputs!B9)^B58</s:f>
        <s:v>229453.56810812396</s:v>
      </s:c>
    </s:row>
    <s:row r="59">
      <s:c r="A59" s="3" t="inlineStr">
        <s:is>
          <s:t>C</s:t>
        </s:is>
      </s:c>
      <s:c r="B59" s="19" t="n">
        <s:v>15</s:v>
      </s:c>
      <s:c r="C59" s="4">
        <s:f>Projects!M4*(1+Inputs!B8)^(B59-1)</s:f>
        <s:v>529147.9293935776</s:v>
      </s:c>
      <s:c r="D59" s="4">
        <s:f>C59/(1+Inputs!B9)^B59</s:f>
        <s:v>220794.94289649668</s:v>
      </s:c>
    </s:row>
    <s:row r="60">
      <s:c r="A60" s="2" t="inlineStr">
        <s:is>
          <s:t>C</s:t>
        </s:is>
      </s:c>
      <s:c r="B60" s="18" t="n">
        <s:v>16</s:v>
      </s:c>
      <s:c r="C60" s="5">
        <s:f>Projects!M4*(1+Inputs!B8)^(B60-1)</s:f>
        <s:v>539730.8879814491</s:v>
      </s:c>
      <s:c r="D60" s="5">
        <s:f>C60/(1+Inputs!B9)^B60</s:f>
        <s:v>212463.05825889297</s:v>
      </s:c>
    </s:row>
    <s:row r="61">
      <s:c r="A61" s="3" t="inlineStr">
        <s:is>
          <s:t>C</s:t>
        </s:is>
      </s:c>
      <s:c r="B61" s="19" t="n">
        <s:v>17</s:v>
      </s:c>
      <s:c r="C61" s="4">
        <s:f>Projects!M4*(1+Inputs!B8)^(B61-1)</s:f>
        <s:v>550525.5057410782</s:v>
      </s:c>
      <s:c r="D61" s="4">
        <s:f>C61/(1+Inputs!B9)^B61</s:f>
        <s:v>204445.58436233102</s:v>
      </s:c>
    </s:row>
    <s:row r="62">
      <s:c r="A62" s="2" t="inlineStr">
        <s:is>
          <s:t>C</s:t>
        </s:is>
      </s:c>
      <s:c r="B62" s="18" t="n">
        <s:v>18</s:v>
      </s:c>
      <s:c r="C62" s="5">
        <s:f>Projects!M4*(1+Inputs!B8)^(B62-1)</s:f>
        <s:v>561536.0158558998</s:v>
      </s:c>
      <s:c r="D62" s="5">
        <s:f>C62/(1+Inputs!B9)^B62</s:f>
        <s:v>196730.65665054493</s:v>
      </s:c>
    </s:row>
    <s:row r="63">
      <s:c r="A63" s="3" t="inlineStr">
        <s:is>
          <s:t>C</s:t>
        </s:is>
      </s:c>
      <s:c r="B63" s="19" t="n">
        <s:v>19</s:v>
      </s:c>
      <s:c r="C63" s="4">
        <s:f>Projects!M4*(1+Inputs!B8)^(B63-1)</s:f>
        <s:v>572766.7361730178</s:v>
      </s:c>
      <s:c r="D63" s="4">
        <s:f>C63/(1+Inputs!B9)^B63</s:f>
        <s:v>189306.8582863734</s:v>
      </s:c>
    </s:row>
    <s:row r="64">
      <s:c r="A64" s="2" t="inlineStr">
        <s:is>
          <s:t>C</s:t>
        </s:is>
      </s:c>
      <s:c r="B64" s="18" t="n">
        <s:v>20</s:v>
      </s:c>
      <s:c r="C64" s="5">
        <s:f>Projects!M4*(1+Inputs!B8)^(B64-1)+Projects!M4*(1+Inputs!B8)^20/Inputs!B10*(1-Inputs!B11)</s:f>
        <s:v>11202192.653953196</s:v>
      </s:c>
      <s:c r="D64" s="5">
        <s:f>C64/(1+Inputs!B9)^B64</s:f>
        <s:v>3492896.620991176</s:v>
      </s:c>
    </s:row>
    <s:row r="65">
      <s:c r="A65" s="3" t="inlineStr">
        <s:is>
          <s:t>D</s:t>
        </s:is>
      </s:c>
      <s:c r="B65" s="19" t="n">
        <s:v>0</s:v>
      </s:c>
      <s:c r="C65" s="4">
        <s:f>-Projects!N5</s:f>
        <s:v>-3400000</s:v>
      </s:c>
      <s:c r="D65" s="4">
        <s:f>C65/(1+Inputs!B9)^B65</s:f>
        <s:v>-3400000.0</s:v>
      </s:c>
    </s:row>
    <s:row r="66">
      <s:c r="A66" s="2" t="inlineStr">
        <s:is>
          <s:t>D</s:t>
        </s:is>
      </s:c>
      <s:c r="B66" s="18" t="n">
        <s:v>1</s:v>
      </s:c>
      <s:c r="C66" s="5">
        <s:f>Projects!M5*(1+Inputs!B8)^(B66-1)</s:f>
        <s:v>309902.6</s:v>
      </s:c>
      <s:c r="D66" s="5">
        <s:f>C66/(1+Inputs!B9)^B66</s:f>
        <s:v>292360.9433962264</s:v>
      </s:c>
    </s:row>
    <s:row r="67">
      <s:c r="A67" s="3" t="inlineStr">
        <s:is>
          <s:t>D</s:t>
        </s:is>
      </s:c>
      <s:c r="B67" s="19" t="n">
        <s:v>2</s:v>
      </s:c>
      <s:c r="C67" s="4">
        <s:f>Projects!M5*(1+Inputs!B8)^(B67-1)</s:f>
        <s:v>316100.652</s:v>
      </s:c>
      <s:c r="D67" s="4">
        <s:f>C67/(1+Inputs!B9)^B67</s:f>
        <s:v>281328.4549661801</s:v>
      </s:c>
    </s:row>
    <s:row r="68">
      <s:c r="A68" s="2" t="inlineStr">
        <s:is>
          <s:t>D</s:t>
        </s:is>
      </s:c>
      <s:c r="B68" s="18" t="n">
        <s:v>3</s:v>
      </s:c>
      <s:c r="C68" s="5">
        <s:f>Projects!M5*(1+Inputs!B8)^(B68-1)</s:f>
        <s:v>322422.66504</s:v>
      </s:c>
      <s:c r="D68" s="5">
        <s:f>C68/(1+Inputs!B9)^B68</s:f>
        <s:v>270712.2868542488</s:v>
      </s:c>
    </s:row>
    <s:row r="69">
      <s:c r="A69" s="3" t="inlineStr">
        <s:is>
          <s:t>D</s:t>
        </s:is>
      </s:c>
      <s:c r="B69" s="19" t="n">
        <s:v>4</s:v>
      </s:c>
      <s:c r="C69" s="4">
        <s:f>Projects!M5*(1+Inputs!B8)^(B69-1)</s:f>
        <s:v>328871.11834080005</s:v>
      </s:c>
      <s:c r="D69" s="4">
        <s:f>C69/(1+Inputs!B9)^B69</s:f>
        <s:v>260496.72885974884</s:v>
      </s:c>
    </s:row>
    <s:row r="70">
      <s:c r="A70" s="2" t="inlineStr">
        <s:is>
          <s:t>D</s:t>
        </s:is>
      </s:c>
      <s:c r="B70" s="18" t="n">
        <s:v>5</s:v>
      </s:c>
      <s:c r="C70" s="5">
        <s:f>Projects!M5*(1+Inputs!B8)^(B70-1)</s:f>
        <s:v>335448.54070761596</s:v>
      </s:c>
      <s:c r="D70" s="5">
        <s:f>C70/(1+Inputs!B9)^B70</s:f>
        <s:v>250666.66361975824</s:v>
      </s:c>
    </s:row>
    <s:row r="71">
      <s:c r="A71" s="3" t="inlineStr">
        <s:is>
          <s:t>D</s:t>
        </s:is>
      </s:c>
      <s:c r="B71" s="19" t="n">
        <s:v>6</s:v>
      </s:c>
      <s:c r="C71" s="4">
        <s:f>Projects!M5*(1+Inputs!B8)^(B71-1)</s:f>
        <s:v>342157.5115217683</s:v>
      </s:c>
      <s:c r="D71" s="4">
        <s:f>C71/(1+Inputs!B9)^B71</s:f>
        <s:v>241207.5442378806</s:v>
      </s:c>
    </s:row>
    <s:row r="72">
      <s:c r="A72" s="2" t="inlineStr">
        <s:is>
          <s:t>D</s:t>
        </s:is>
      </s:c>
      <s:c r="B72" s="18" t="n">
        <s:v>7</s:v>
      </s:c>
      <s:c r="C72" s="5">
        <s:f>Projects!M5*(1+Inputs!B8)^(B72-1)</s:f>
        <s:v>349000.66175220365</s:v>
      </s:c>
      <s:c r="D72" s="5">
        <s:f>C72/(1+Inputs!B9)^B72</s:f>
        <s:v>232105.3727572058</s:v>
      </s:c>
    </s:row>
    <s:row r="73">
      <s:c r="A73" s="3" t="inlineStr">
        <s:is>
          <s:t>D</s:t>
        </s:is>
      </s:c>
      <s:c r="B73" s="19" t="n">
        <s:v>8</s:v>
      </s:c>
      <s:c r="C73" s="4">
        <s:f>Projects!M5*(1+Inputs!B8)^(B73-1)</s:f>
        <s:v>355980.67498724774</s:v>
      </s:c>
      <s:c r="D73" s="4">
        <s:f>C73/(1+Inputs!B9)^B73</s:f>
        <s:v>223346.67944561312</s:v>
      </s:c>
    </s:row>
    <s:row r="74">
      <s:c r="A74" s="2" t="inlineStr">
        <s:is>
          <s:t>D</s:t>
        </s:is>
      </s:c>
      <s:c r="B74" s="18" t="n">
        <s:v>9</s:v>
      </s:c>
      <s:c r="C74" s="5">
        <s:f>Projects!M5*(1+Inputs!B8)^(B74-1)</s:f>
        <s:v>363100.2884869927</s:v>
      </s:c>
      <s:c r="D74" s="5">
        <s:f>C74/(1+Inputs!B9)^B74</s:f>
        <s:v>214918.5028627598</s:v>
      </s:c>
    </s:row>
    <s:row r="75">
      <s:c r="A75" s="3" t="inlineStr">
        <s:is>
          <s:t>D</s:t>
        </s:is>
      </s:c>
      <s:c r="B75" s="19" t="n">
        <s:v>10</s:v>
      </s:c>
      <s:c r="C75" s="4">
        <s:f>Projects!M5*(1+Inputs!B8)^(B75-1)</s:f>
        <s:v>370362.29425673257</s:v>
      </s:c>
      <s:c r="D75" s="4">
        <s:f>C75/(1+Inputs!B9)^B75</s:f>
        <s:v>206808.37067925942</s:v>
      </s:c>
    </s:row>
    <s:row r="76">
      <s:c r="A76" s="2" t="inlineStr">
        <s:is>
          <s:t>D</s:t>
        </s:is>
      </s:c>
      <s:c r="B76" s="18" t="n">
        <s:v>11</s:v>
      </s:c>
      <s:c r="C76" s="5">
        <s:f>Projects!M5*(1+Inputs!B8)^(B76-1)</s:f>
        <s:v>377769.54014186724</s:v>
      </s:c>
      <s:c r="D76" s="5">
        <s:f>C76/(1+Inputs!B9)^B76</s:f>
        <s:v>199004.28121966473</s:v>
      </s:c>
    </s:row>
    <s:row r="77">
      <s:c r="A77" s="3" t="inlineStr">
        <s:is>
          <s:t>D</s:t>
        </s:is>
      </s:c>
      <s:c r="B77" s="19" t="n">
        <s:v>12</s:v>
      </s:c>
      <s:c r="C77" s="4">
        <s:f>Projects!M5*(1+Inputs!B8)^(B77-1)</s:f>
        <s:v>385324.93094470457</s:v>
      </s:c>
      <s:c r="D77" s="4">
        <s:f>C77/(1+Inputs!B9)^B77</s:f>
        <s:v>191494.68570194155</s:v>
      </s:c>
    </s:row>
    <s:row r="78">
      <s:c r="A78" s="2" t="inlineStr">
        <s:is>
          <s:t>D</s:t>
        </s:is>
      </s:c>
      <s:c r="B78" s="18" t="n">
        <s:v>13</s:v>
      </s:c>
      <s:c r="C78" s="5">
        <s:f>Projects!M5*(1+Inputs!B8)^(B78-1)</s:f>
        <s:v>393031.4295635987</s:v>
      </s:c>
      <s:c r="D78" s="5">
        <s:f>C78/(1+Inputs!B9)^B78</s:f>
        <s:v>184268.4711471513</s:v>
      </s:c>
    </s:row>
    <s:row r="79">
      <s:c r="A79" s="3" t="inlineStr">
        <s:is>
          <s:t>D</s:t>
        </s:is>
      </s:c>
      <s:c r="B79" s="19" t="n">
        <s:v>14</s:v>
      </s:c>
      <s:c r="C79" s="4">
        <s:f>Projects!M5*(1+Inputs!B8)^(B79-1)</s:f>
        <s:v>400892.0581548707</s:v>
      </s:c>
      <s:c r="D79" s="4">
        <s:f>C79/(1+Inputs!B9)^B79</s:f>
        <s:v>177314.94393405123</s:v>
      </s:c>
    </s:row>
    <s:row r="80">
      <s:c r="A80" s="2" t="inlineStr">
        <s:is>
          <s:t>D</s:t>
        </s:is>
      </s:c>
      <s:c r="B80" s="18" t="n">
        <s:v>15</s:v>
      </s:c>
      <s:c r="C80" s="5">
        <s:f>Projects!M5*(1+Inputs!B8)^(B80-1)</s:f>
        <s:v>408909.89931796805</s:v>
      </s:c>
      <s:c r="D80" s="5">
        <s:f>C80/(1+Inputs!B9)^B80</s:f>
        <s:v>170623.8139742757</s:v>
      </s:c>
    </s:row>
    <s:row r="81">
      <s:c r="A81" s="3" t="inlineStr">
        <s:is>
          <s:t>D</s:t>
        </s:is>
      </s:c>
      <s:c r="B81" s="19" t="n">
        <s:v>16</s:v>
      </s:c>
      <s:c r="C81" s="4">
        <s:f>Projects!M5*(1+Inputs!B8)^(B81-1)</s:f>
        <s:v>417088.0973043275</s:v>
      </s:c>
      <s:c r="D81" s="4">
        <s:f>C81/(1+Inputs!B9)^B81</s:f>
        <s:v>164185.17948468038</s:v>
      </s:c>
    </s:row>
    <s:row r="82">
      <s:c r="A82" s="2" t="inlineStr">
        <s:is>
          <s:t>D</s:t>
        </s:is>
      </s:c>
      <s:c r="B82" s="18" t="n">
        <s:v>17</s:v>
      </s:c>
      <s:c r="C82" s="5">
        <s:f>Projects!M5*(1+Inputs!B8)^(B82-1)</s:f>
        <s:v>425429.859250414</s:v>
      </s:c>
      <s:c r="D82" s="5">
        <s:f>C82/(1+Inputs!B9)^B82</s:f>
        <s:v>157989.5123343151</s:v>
      </s:c>
    </s:row>
    <s:row r="83">
      <s:c r="A83" s="3" t="inlineStr">
        <s:is>
          <s:t>D</s:t>
        </s:is>
      </s:c>
      <s:c r="B83" s="19" t="n">
        <s:v>18</s:v>
      </s:c>
      <s:c r="C83" s="4">
        <s:f>Projects!M5*(1+Inputs!B8)^(B83-1)</s:f>
        <s:v>433938.45643542235</s:v>
      </s:c>
      <s:c r="D83" s="4">
        <s:f>C83/(1+Inputs!B9)^B83</s:f>
        <s:v>152027.64394434093</s:v>
      </s:c>
    </s:row>
    <s:row r="84">
      <s:c r="A84" s="2" t="inlineStr">
        <s:is>
          <s:t>D</s:t>
        </s:is>
      </s:c>
      <s:c r="B84" s="18" t="n">
        <s:v>19</s:v>
      </s:c>
      <s:c r="C84" s="5">
        <s:f>Projects!M5*(1+Inputs!B8)^(B84-1)</s:f>
        <s:v>442617.2255641308</s:v>
      </s:c>
      <s:c r="D84" s="5">
        <s:f>C84/(1+Inputs!B9)^B84</s:f>
        <s:v>146290.7517200262</s:v>
      </s:c>
    </s:row>
    <s:row r="85">
      <s:c r="A85" s="3" t="inlineStr">
        <s:is>
          <s:t>D</s:t>
        </s:is>
      </s:c>
      <s:c r="B85" s="19" t="n">
        <s:v>20</s:v>
      </s:c>
      <s:c r="C85" s="4">
        <s:f>Projects!M5*(1+Inputs!B8)^(B85-1)+Projects!M5*(1+Inputs!B8)^20/Inputs!B10*(1-Inputs!B11)</s:f>
        <s:v>8656723.792755108</s:v>
      </s:c>
      <s:c r="D85" s="4">
        <s:f>C85/(1+Inputs!B9)^B85</s:f>
        <s:v>2699207.3979282742</s:v>
      </s:c>
    </s:row>
    <s:row r="86">
      <s:c r="A86" s="2" t="inlineStr">
        <s:is>
          <s:t>E</s:t>
        </s:is>
      </s:c>
      <s:c r="B86" s="18" t="n">
        <s:v>0</s:v>
      </s:c>
      <s:c r="C86" s="5">
        <s:f>-Projects!N6</s:f>
        <s:v>-3800000</s:v>
      </s:c>
      <s:c r="D86" s="5">
        <s:f>C86/(1+Inputs!B9)^B86</s:f>
        <s:v>-3800000.0</s:v>
      </s:c>
    </s:row>
    <s:row r="87">
      <s:c r="A87" s="3" t="inlineStr">
        <s:is>
          <s:t>E</s:t>
        </s:is>
      </s:c>
      <s:c r="B87" s="19" t="n">
        <s:v>1</s:v>
      </s:c>
      <s:c r="C87" s="4">
        <s:f>Projects!M6*(1+Inputs!B8)^(B87-1)</s:f>
        <s:v>313852.5</s:v>
      </s:c>
      <s:c r="D87" s="4">
        <s:f>C87/(1+Inputs!B9)^B87</s:f>
        <s:v>296087.2641509434</s:v>
      </s:c>
    </s:row>
    <s:row r="88">
      <s:c r="A88" s="2" t="inlineStr">
        <s:is>
          <s:t>E</s:t>
        </s:is>
      </s:c>
      <s:c r="B88" s="18" t="n">
        <s:v>2</s:v>
      </s:c>
      <s:c r="C88" s="5">
        <s:f>Projects!M6*(1+Inputs!B8)^(B88-1)</s:f>
        <s:v>320129.55</s:v>
      </s:c>
      <s:c r="D88" s="5">
        <s:f>C88/(1+Inputs!B9)^B88</s:f>
        <s:v>284914.1598433606</s:v>
      </s:c>
    </s:row>
    <s:row r="89">
      <s:c r="A89" s="3" t="inlineStr">
        <s:is>
          <s:t>E</s:t>
        </s:is>
      </s:c>
      <s:c r="B89" s="19" t="n">
        <s:v>3</s:v>
      </s:c>
      <s:c r="C89" s="4">
        <s:f>Projects!M6*(1+Inputs!B8)^(B89-1)</s:f>
        <s:v>326532.141</s:v>
      </s:c>
      <s:c r="D89" s="4">
        <s:f>C89/(1+Inputs!B9)^B89</s:f>
        <s:v>274162.6821134225</s:v>
      </s:c>
    </s:row>
    <s:row r="90">
      <s:c r="A90" s="2" t="inlineStr">
        <s:is>
          <s:t>E</s:t>
        </s:is>
      </s:c>
      <s:c r="B90" s="18" t="n">
        <s:v>4</s:v>
      </s:c>
      <s:c r="C90" s="5">
        <s:f>Projects!M6*(1+Inputs!B8)^(B90-1)</s:f>
        <s:v>333062.78382000007</s:v>
      </s:c>
      <s:c r="D90" s="5">
        <s:f>C90/(1+Inputs!B9)^B90</s:f>
        <s:v>263816.92052423675</s:v>
      </s:c>
    </s:row>
    <s:row r="91">
      <s:c r="A91" s="3" t="inlineStr">
        <s:is>
          <s:t>E</s:t>
        </s:is>
      </s:c>
      <s:c r="B91" s="19" t="n">
        <s:v>5</s:v>
      </s:c>
      <s:c r="C91" s="4">
        <s:f>Projects!M6*(1+Inputs!B8)^(B91-1)</s:f>
        <s:v>339724.0394964</s:v>
      </s:c>
      <s:c r="D91" s="4">
        <s:f>C91/(1+Inputs!B9)^B91</s:f>
        <s:v>253861.56503275604</s:v>
      </s:c>
    </s:row>
    <s:row r="92">
      <s:c r="A92" s="2" t="inlineStr">
        <s:is>
          <s:t>E</s:t>
        </s:is>
      </s:c>
      <s:c r="B92" s="18" t="n">
        <s:v>6</s:v>
      </s:c>
      <s:c r="C92" s="5">
        <s:f>Projects!M6*(1+Inputs!B8)^(B92-1)</s:f>
        <s:v>346518.520286328</s:v>
      </s:c>
      <s:c r="D92" s="5">
        <s:f>C92/(1+Inputs!B9)^B92</s:f>
        <s:v>244281.88333340673</s:v>
      </s:c>
    </s:row>
    <s:row r="93">
      <s:c r="A93" s="3" t="inlineStr">
        <s:is>
          <s:t>E</s:t>
        </s:is>
      </s:c>
      <s:c r="B93" s="19" t="n">
        <s:v>7</s:v>
      </s:c>
      <s:c r="C93" s="4">
        <s:f>Projects!M6*(1+Inputs!B8)^(B93-1)</s:f>
        <s:v>353448.8906920546</s:v>
      </s:c>
      <s:c r="D93" s="4">
        <s:f>C93/(1+Inputs!B9)^B93</s:f>
        <s:v>235063.6990566744</s:v>
      </s:c>
    </s:row>
    <s:row r="94">
      <s:c r="A94" s="2" t="inlineStr">
        <s:is>
          <s:t>E</s:t>
        </s:is>
      </s:c>
      <s:c r="B94" s="18" t="n">
        <s:v>8</s:v>
      </s:c>
      <s:c r="C94" s="5">
        <s:f>Projects!M6*(1+Inputs!B8)^(B94-1)</s:f>
        <s:v>360517.86850589566</s:v>
      </s:c>
      <s:c r="D94" s="5">
        <s:f>C94/(1+Inputs!B9)^B94</s:f>
        <s:v>226193.3707903848</s:v>
      </s:c>
    </s:row>
    <s:row r="95">
      <s:c r="A95" s="3" t="inlineStr">
        <s:is>
          <s:t>E</s:t>
        </s:is>
      </s:c>
      <s:c r="B95" s="19" t="n">
        <s:v>9</s:v>
      </s:c>
      <s:c r="C95" s="4">
        <s:f>Projects!M6*(1+Inputs!B8)^(B95-1)</s:f>
        <s:v>367728.22587601363</s:v>
      </s:c>
      <s:c r="D95" s="4">
        <s:f>C95/(1+Inputs!B9)^B95</s:f>
        <s:v>217657.77189263445</s:v>
      </s:c>
    </s:row>
    <s:row r="96">
      <s:c r="A96" s="2" t="inlineStr">
        <s:is>
          <s:t>E</s:t>
        </s:is>
      </s:c>
      <s:c r="B96" s="18" t="n">
        <s:v>10</s:v>
      </s:c>
      <s:c r="C96" s="5">
        <s:f>Projects!M6*(1+Inputs!B8)^(B96-1)</s:f>
        <s:v>375082.7903935339</s:v>
      </s:c>
      <s:c r="D96" s="5">
        <s:f>C96/(1+Inputs!B9)^B96</s:f>
        <s:v>209444.27106649728</s:v>
      </s:c>
    </s:row>
    <s:row r="97">
      <s:c r="A97" s="3" t="inlineStr">
        <s:is>
          <s:t>E</s:t>
        </s:is>
      </s:c>
      <s:c r="B97" s="19" t="n">
        <s:v>11</s:v>
      </s:c>
      <s:c r="C97" s="4">
        <s:f>Projects!M6*(1+Inputs!B8)^(B97-1)</s:f>
        <s:v>382584.44620140456</s:v>
      </s:c>
      <s:c r="D97" s="4">
        <s:f>C97/(1+Inputs!B9)^B97</s:f>
        <s:v>201540.7136677615</s:v>
      </s:c>
    </s:row>
    <s:row r="98">
      <s:c r="A98" s="2" t="inlineStr">
        <s:is>
          <s:t>E</s:t>
        </s:is>
      </s:c>
      <s:c r="B98" s="18" t="n">
        <s:v>12</s:v>
      </s:c>
      <s:c r="C98" s="5">
        <s:f>Projects!M6*(1+Inputs!B8)^(B98-1)</s:f>
        <s:v>390236.1351254327</s:v>
      </s:c>
      <s:c r="D98" s="5">
        <s:f>C98/(1+Inputs!B9)^B98</s:f>
        <s:v>193935.4037180347</s:v>
      </s:c>
    </s:row>
    <s:row r="99">
      <s:c r="A99" s="3" t="inlineStr">
        <s:is>
          <s:t>E</s:t>
        </s:is>
      </s:c>
      <s:c r="B99" s="19" t="n">
        <s:v>13</s:v>
      </s:c>
      <s:c r="C99" s="4">
        <s:f>Projects!M6*(1+Inputs!B8)^(B99-1)</s:f>
        <s:v>398040.8578279413</s:v>
      </s:c>
      <s:c r="D99" s="4">
        <s:f>C99/(1+Inputs!B9)^B99</s:f>
        <s:v>186617.08659659937</s:v>
      </s:c>
    </s:row>
    <s:row r="100">
      <s:c r="A100" s="2" t="inlineStr">
        <s:is>
          <s:t>E</s:t>
        </s:is>
      </s:c>
      <s:c r="B100" s="18" t="n">
        <s:v>14</s:v>
      </s:c>
      <s:c r="C100" s="5">
        <s:f>Projects!M6*(1+Inputs!B8)^(B100-1)</s:f>
        <s:v>406001.67498450016</s:v>
      </s:c>
      <s:c r="D100" s="5">
        <s:f>C100/(1+Inputs!B9)^B100</s:f>
        <s:v>179574.93238540695</s:v>
      </s:c>
    </s:row>
    <s:row r="101">
      <s:c r="A101" s="3" t="inlineStr">
        <s:is>
          <s:t>E</s:t>
        </s:is>
      </s:c>
      <s:c r="B101" s="19" t="n">
        <s:v>15</s:v>
      </s:c>
      <s:c r="C101" s="4">
        <s:f>Projects!M6*(1+Inputs!B8)^(B101-1)</s:f>
        <s:v>414121.70848419017</s:v>
      </s:c>
      <s:c r="D101" s="4">
        <s:f>C101/(1+Inputs!B9)^B101</s:f>
        <s:v>172798.51984256142</s:v>
      </s:c>
    </s:row>
    <s:row r="102">
      <s:c r="A102" s="2" t="inlineStr">
        <s:is>
          <s:t>E</s:t>
        </s:is>
      </s:c>
      <s:c r="B102" s="18" t="n">
        <s:v>16</s:v>
      </s:c>
      <s:c r="C102" s="5">
        <s:f>Projects!M6*(1+Inputs!B8)^(B102-1)</s:f>
        <s:v>422404.14265387395</s:v>
      </s:c>
      <s:c r="D102" s="5">
        <s:f>C102/(1+Inputs!B9)^B102</s:f>
        <s:v>166277.82098057793</s:v>
      </s:c>
    </s:row>
    <s:row r="103">
      <s:c r="A103" s="3" t="inlineStr">
        <s:is>
          <s:t>E</s:t>
        </s:is>
      </s:c>
      <s:c r="B103" s="19" t="n">
        <s:v>17</s:v>
      </s:c>
      <s:c r="C103" s="4">
        <s:f>Projects!M6*(1+Inputs!B8)^(B103-1)</s:f>
        <s:v>430852.22550695145</s:v>
      </s:c>
      <s:c r="D103" s="4">
        <s:f>C103/(1+Inputs!B9)^B103</s:f>
        <s:v>160003.18622659388</s:v>
      </s:c>
    </s:row>
    <s:row r="104">
      <s:c r="A104" s="2" t="inlineStr">
        <s:is>
          <s:t>E</s:t>
        </s:is>
      </s:c>
      <s:c r="B104" s="18" t="n">
        <s:v>18</s:v>
      </s:c>
      <s:c r="C104" s="5">
        <s:f>Projects!M6*(1+Inputs!B8)^(B104-1)</s:f>
        <s:v>439469.27001709054</s:v>
      </s:c>
      <s:c r="D104" s="5">
        <s:f>C104/(1+Inputs!B9)^B104</s:f>
        <s:v>153965.33014257147</s:v>
      </s:c>
    </s:row>
    <s:row r="105">
      <s:c r="A105" s="3" t="inlineStr">
        <s:is>
          <s:t>E</s:t>
        </s:is>
      </s:c>
      <s:c r="B105" s="19" t="n">
        <s:v>19</s:v>
      </s:c>
      <s:c r="C105" s="4">
        <s:f>Projects!M6*(1+Inputs!B8)^(B105-1)</s:f>
        <s:v>448258.65541743237</s:v>
      </s:c>
      <s:c r="D105" s="4">
        <s:f>C105/(1+Inputs!B9)^B105</s:f>
        <s:v>148155.31768436122</s:v>
      </s:c>
    </s:row>
    <s:row r="106">
      <s:c r="A106" s="2" t="inlineStr">
        <s:is>
          <s:t>E</s:t>
        </s:is>
      </s:c>
      <s:c r="B106" s="18" t="n">
        <s:v>20</s:v>
      </s:c>
      <s:c r="C106" s="5">
        <s:f>Projects!M6*(1+Inputs!B8)^(B106-1)+Projects!M6*(1+Inputs!B8)^20/Inputs!B10*(1-Inputs!B11)</s:f>
        <s:v>8767059.082968885</s:v>
      </s:c>
      <s:c r="D106" s="5">
        <s:f>C106/(1+Inputs!B9)^B106</s:f>
        <s:v>2733610.462959278</s:v>
      </s:c>
    </s:row>
    <s:row r="107">
      <s:c r="A107" s="3" t="inlineStr">
        <s:is>
          <s:t>F</s:t>
        </s:is>
      </s:c>
      <s:c r="B107" s="19" t="n">
        <s:v>0</s:v>
      </s:c>
      <s:c r="C107" s="4">
        <s:f>-Projects!N7</s:f>
        <s:v>-3200000</s:v>
      </s:c>
      <s:c r="D107" s="4">
        <s:f>C107/(1+Inputs!B9)^B107</s:f>
        <s:v>-3200000.0</s:v>
      </s:c>
    </s:row>
    <s:row r="108">
      <s:c r="A108" s="2" t="inlineStr">
        <s:is>
          <s:t>F</s:t>
        </s:is>
      </s:c>
      <s:c r="B108" s="18" t="n">
        <s:v>1</s:v>
      </s:c>
      <s:c r="C108" s="5">
        <s:f>Projects!M7*(1+Inputs!B8)^(B108-1)</s:f>
        <s:v>263476.0</s:v>
      </s:c>
      <s:c r="D108" s="5">
        <s:f>C108/(1+Inputs!B9)^B108</s:f>
        <s:v>248562.26415094337</s:v>
      </s:c>
    </s:row>
    <s:row r="109">
      <s:c r="A109" s="3" t="inlineStr">
        <s:is>
          <s:t>F</s:t>
        </s:is>
      </s:c>
      <s:c r="B109" s="19" t="n">
        <s:v>2</s:v>
      </s:c>
      <s:c r="C109" s="4">
        <s:f>Projects!M7*(1+Inputs!B8)^(B109-1)</s:f>
        <s:v>268745.52</s:v>
      </s:c>
      <s:c r="D109" s="4">
        <s:f>C109/(1+Inputs!B9)^B109</s:f>
        <s:v>239182.55606977572</s:v>
      </s:c>
    </s:row>
    <s:row r="110">
      <s:c r="A110" s="2" t="inlineStr">
        <s:is>
          <s:t>F</s:t>
        </s:is>
      </s:c>
      <s:c r="B110" s="18" t="n">
        <s:v>3</s:v>
      </s:c>
      <s:c r="C110" s="5">
        <s:f>Projects!M7*(1+Inputs!B8)^(B110-1)</s:f>
        <s:v>274120.4304</s:v>
      </s:c>
      <s:c r="D110" s="5">
        <s:f>C110/(1+Inputs!B9)^B110</s:f>
        <s:v>230156.799236954</s:v>
      </s:c>
    </s:row>
    <s:row r="111">
      <s:c r="A111" s="3" t="inlineStr">
        <s:is>
          <s:t>F</s:t>
        </s:is>
      </s:c>
      <s:c r="B111" s="19" t="n">
        <s:v>4</s:v>
      </s:c>
      <s:c r="C111" s="4">
        <s:f>Projects!M7*(1+Inputs!B8)^(B111-1)</s:f>
        <s:v>279602.83900800004</s:v>
      </s:c>
      <s:c r="D111" s="4">
        <s:f>C111/(1+Inputs!B9)^B111</s:f>
        <s:v>221471.6370015972</s:v>
      </s:c>
    </s:row>
    <s:row r="112">
      <s:c r="A112" s="2" t="inlineStr">
        <s:is>
          <s:t>F</s:t>
        </s:is>
      </s:c>
      <s:c r="B112" s="18" t="n">
        <s:v>5</s:v>
      </s:c>
      <s:c r="C112" s="5">
        <s:f>Projects!M7*(1+Inputs!B8)^(B112-1)</s:f>
        <s:v>285194.89578816</s:v>
      </s:c>
      <s:c r="D112" s="5">
        <s:f>C112/(1+Inputs!B9)^B112</s:f>
        <s:v>213114.21673738596</s:v>
      </s:c>
    </s:row>
    <s:row r="113">
      <s:c r="A113" s="3" t="inlineStr">
        <s:is>
          <s:t>F</s:t>
        </s:is>
      </s:c>
      <s:c r="B113" s="19" t="n">
        <s:v>6</s:v>
      </s:c>
      <s:c r="C113" s="4">
        <s:f>Projects!M7*(1+Inputs!B8)^(B113-1)</s:f>
        <s:v>290898.7937039232</s:v>
      </s:c>
      <s:c r="D113" s="4">
        <s:f>C113/(1+Inputs!B9)^B113</s:f>
        <s:v>205072.17082276763</s:v>
      </s:c>
    </s:row>
    <s:row r="114">
      <s:c r="A114" s="2" t="inlineStr">
        <s:is>
          <s:t>F</s:t>
        </s:is>
      </s:c>
      <s:c r="B114" s="18" t="n">
        <s:v>7</s:v>
      </s:c>
      <s:c r="C114" s="5">
        <s:f>Projects!M7*(1+Inputs!B8)^(B114-1)</s:f>
        <s:v>296716.7695780017</s:v>
      </s:c>
      <s:c r="D114" s="5">
        <s:f>C114/(1+Inputs!B9)^B114</s:f>
        <s:v>197333.5983388896</s:v>
      </s:c>
    </s:row>
    <s:row r="115">
      <s:c r="A115" s="3" t="inlineStr">
        <s:is>
          <s:t>F</s:t>
        </s:is>
      </s:c>
      <s:c r="B115" s="19" t="n">
        <s:v>8</s:v>
      </s:c>
      <s:c r="C115" s="4">
        <s:f>Projects!M7*(1+Inputs!B8)^(B115-1)</s:f>
        <s:v>302651.1049695617</s:v>
      </s:c>
      <s:c r="D115" s="4">
        <s:f>C115/(1+Inputs!B9)^B115</s:f>
        <s:v>189887.04745817673</s:v>
      </s:c>
    </s:row>
    <s:row r="116">
      <s:c r="A116" s="2" t="inlineStr">
        <s:is>
          <s:t>F</s:t>
        </s:is>
      </s:c>
      <s:c r="B116" s="18" t="n">
        <s:v>9</s:v>
      </s:c>
      <s:c r="C116" s="5">
        <s:f>Projects!M7*(1+Inputs!B8)^(B116-1)</s:f>
        <s:v>308704.12706895295</s:v>
      </s:c>
      <s:c r="D116" s="5">
        <s:f>C116/(1+Inputs!B9)^B116</s:f>
        <s:v>182721.49849749086</s:v>
      </s:c>
    </s:row>
    <s:row r="117">
      <s:c r="A117" s="3" t="inlineStr">
        <s:is>
          <s:t>F</s:t>
        </s:is>
      </s:c>
      <s:c r="B117" s="19" t="n">
        <s:v>10</s:v>
      </s:c>
      <s:c r="C117" s="4">
        <s:f>Projects!M7*(1+Inputs!B8)^(B117-1)</s:f>
        <s:v>314878.20961033204</s:v>
      </s:c>
      <s:c r="D117" s="4">
        <s:f>C117/(1+Inputs!B9)^B117</s:f>
        <s:v>175826.34761079308</s:v>
      </s:c>
    </s:row>
    <s:row r="118">
      <s:c r="A118" s="2" t="inlineStr">
        <s:is>
          <s:t>F</s:t>
        </s:is>
      </s:c>
      <s:c r="B118" s="18" t="n">
        <s:v>11</s:v>
      </s:c>
      <s:c r="C118" s="5">
        <s:f>Projects!M7*(1+Inputs!B8)^(B118-1)</s:f>
        <s:v>321175.7738025387</s:v>
      </s:c>
      <s:c r="D118" s="5">
        <s:f>C118/(1+Inputs!B9)^B118</s:f>
        <s:v>169191.39109717825</s:v>
      </s:c>
    </s:row>
    <s:row r="119">
      <s:c r="A119" s="3" t="inlineStr">
        <s:is>
          <s:t>F</s:t>
        </s:is>
      </s:c>
      <s:c r="B119" s="19" t="n">
        <s:v>12</s:v>
      </s:c>
      <s:c r="C119" s="4">
        <s:f>Projects!M7*(1+Inputs!B8)^(B119-1)</s:f>
        <s:v>327599.2892785895</s:v>
      </s:c>
      <s:c r="D119" s="4">
        <s:f>C119/(1+Inputs!B9)^B119</s:f>
        <s:v>162806.81030105834</s:v>
      </s:c>
    </s:row>
    <s:row r="120">
      <s:c r="A120" s="2" t="inlineStr">
        <s:is>
          <s:t>F</s:t>
        </s:is>
      </s:c>
      <s:c r="B120" s="18" t="n">
        <s:v>13</s:v>
      </s:c>
      <s:c r="C120" s="5">
        <s:f>Projects!M7*(1+Inputs!B8)^(B120-1)</s:f>
        <s:v>334151.2750641612</s:v>
      </s:c>
      <s:c r="D120" s="5">
        <s:f>C120/(1+Inputs!B9)^B120</s:f>
        <s:v>156663.15708215043</s:v>
      </s:c>
    </s:row>
    <s:row r="121">
      <s:c r="A121" s="3" t="inlineStr">
        <s:is>
          <s:t>F</s:t>
        </s:is>
      </s:c>
      <s:c r="B121" s="19" t="n">
        <s:v>14</s:v>
      </s:c>
      <s:c r="C121" s="4">
        <s:f>Projects!M7*(1+Inputs!B8)^(B121-1)</s:f>
        <s:v>340834.3005654445</s:v>
      </s:c>
      <s:c r="D121" s="4">
        <s:f>C121/(1+Inputs!B9)^B121</s:f>
        <s:v>150751.33983376742</s:v>
      </s:c>
    </s:row>
    <s:row r="122">
      <s:c r="A122" s="2" t="inlineStr">
        <s:is>
          <s:t>F</s:t>
        </s:is>
      </s:c>
      <s:c r="B122" s="18" t="n">
        <s:v>15</s:v>
      </s:c>
      <s:c r="C122" s="5">
        <s:f>Projects!M7*(1+Inputs!B8)^(B122-1)</s:f>
        <s:v>347650.9865767534</s:v>
      </s:c>
      <s:c r="D122" s="5">
        <s:f>C122/(1+Inputs!B9)^B122</s:f>
        <s:v>145062.6100287196</s:v>
      </s:c>
    </s:row>
    <s:row r="123">
      <s:c r="A123" s="3" t="inlineStr">
        <s:is>
          <s:t>F</s:t>
        </s:is>
      </s:c>
      <s:c r="B123" s="19" t="n">
        <s:v>16</s:v>
      </s:c>
      <s:c r="C123" s="4">
        <s:f>Projects!M7*(1+Inputs!B8)^(B123-1)</s:f>
        <s:v>354604.00630828843</s:v>
      </s:c>
      <s:c r="D123" s="4">
        <s:f>C123/(1+Inputs!B9)^B123</s:f>
        <s:v>139588.5492729188</s:v>
      </s:c>
    </s:row>
    <s:row r="124">
      <s:c r="A124" s="2" t="inlineStr">
        <s:is>
          <s:t>F</s:t>
        </s:is>
      </s:c>
      <s:c r="B124" s="18" t="n">
        <s:v>17</s:v>
      </s:c>
      <s:c r="C124" s="5">
        <s:f>Projects!M7*(1+Inputs!B8)^(B124-1)</s:f>
        <s:v>361696.0864344542</s:v>
      </s:c>
      <s:c r="D124" s="5">
        <s:f>C124/(1+Inputs!B9)^B124</s:f>
        <s:v>134321.05684752564</s:v>
      </s:c>
    </s:row>
    <s:row r="125">
      <s:c r="A125" s="3" t="inlineStr">
        <s:is>
          <s:t>F</s:t>
        </s:is>
      </s:c>
      <s:c r="B125" s="19" t="n">
        <s:v>18</s:v>
      </s:c>
      <s:c r="C125" s="4">
        <s:f>Projects!M7*(1+Inputs!B8)^(B125-1)</s:f>
        <s:v>368930.0081631433</s:v>
      </s:c>
      <s:c r="D125" s="4">
        <s:f>C125/(1+Inputs!B9)^B125</s:f>
        <s:v>129252.33772120392</s:v>
      </s:c>
    </s:row>
    <s:row r="126">
      <s:c r="A126" s="2" t="inlineStr">
        <s:is>
          <s:t>F</s:t>
        </s:is>
      </s:c>
      <s:c r="B126" s="18" t="n">
        <s:v>19</s:v>
      </s:c>
      <s:c r="C126" s="5">
        <s:f>Projects!M7*(1+Inputs!B8)^(B126-1)</s:f>
        <s:v>376308.6083264062</s:v>
      </s:c>
      <s:c r="D126" s="5">
        <s:f>C126/(1+Inputs!B9)^B126</s:f>
        <s:v>124374.89101474342</s:v>
      </s:c>
    </s:row>
    <s:row r="127">
      <s:c r="A127" s="3" t="inlineStr">
        <s:is>
          <s:t>F</s:t>
        </s:is>
      </s:c>
      <s:c r="B127" s="19" t="n">
        <s:v>20</s:v>
      </s:c>
      <s:c r="C127" s="4">
        <s:f>Projects!M7*(1+Inputs!B8)^(B127-1)+Projects!M7*(1+Inputs!B8)^20/Inputs!B10*(1-Inputs!B11)</s:f>
        <s:v>7359857.445597246</s:v>
      </s:c>
      <s:c r="D127" s="4">
        <s:f>C127/(1+Inputs!B9)^B127</s:f>
        <s:v>2294838.3407449634</s:v>
      </s:c>
    </s:row>
    <s:row r="128">
      <s:c r="A128" s="2" t="inlineStr">
        <s:is>
          <s:t>G</s:t>
        </s:is>
      </s:c>
      <s:c r="B128" s="18" t="n">
        <s:v>0</s:v>
      </s:c>
      <s:c r="C128" s="5">
        <s:f>-Projects!N8</s:f>
        <s:v>-4100000</s:v>
      </s:c>
      <s:c r="D128" s="5">
        <s:f>C128/(1+Inputs!B9)^B128</s:f>
        <s:v>-4100000.0</s:v>
      </s:c>
    </s:row>
    <s:row r="129">
      <s:c r="A129" s="3" t="inlineStr">
        <s:is>
          <s:t>G</s:t>
        </s:is>
      </s:c>
      <s:c r="B129" s="19" t="n">
        <s:v>1</s:v>
      </s:c>
      <s:c r="C129" s="4">
        <s:f>Projects!M8*(1+Inputs!B8)^(B129-1)</s:f>
        <s:v>329236.6</s:v>
      </s:c>
      <s:c r="D129" s="4">
        <s:f>C129/(1+Inputs!B9)^B129</s:f>
        <s:v>310600.5660377358</s:v>
      </s:c>
    </s:row>
    <s:row r="130">
      <s:c r="A130" s="2" t="inlineStr">
        <s:is>
          <s:t>G</s:t>
        </s:is>
      </s:c>
      <s:c r="B130" s="18" t="n">
        <s:v>2</s:v>
      </s:c>
      <s:c r="C130" s="5">
        <s:f>Projects!M8*(1+Inputs!B8)^(B130-1)</s:f>
        <s:v>335821.332</s:v>
      </s:c>
      <s:c r="D130" s="5">
        <s:f>C130/(1+Inputs!B9)^B130</s:f>
        <s:v>298879.78996084013</s:v>
      </s:c>
    </s:row>
    <s:row r="131">
      <s:c r="A131" s="3" t="inlineStr">
        <s:is>
          <s:t>G</s:t>
        </s:is>
      </s:c>
      <s:c r="B131" s="19" t="n">
        <s:v>3</s:v>
      </s:c>
      <s:c r="C131" s="4">
        <s:f>Projects!M8*(1+Inputs!B8)^(B131-1)</s:f>
        <s:v>342537.75863999996</s:v>
      </s:c>
      <s:c r="D131" s="4">
        <s:f>C131/(1+Inputs!B9)^B131</s:f>
        <s:v>287601.3073208084</s:v>
      </s:c>
    </s:row>
    <s:row r="132">
      <s:c r="A132" s="2" t="inlineStr">
        <s:is>
          <s:t>G</s:t>
        </s:is>
      </s:c>
      <s:c r="B132" s="18" t="n">
        <s:v>4</s:v>
      </s:c>
      <s:c r="C132" s="5">
        <s:f>Projects!M8*(1+Inputs!B8)^(B132-1)</s:f>
        <s:v>349388.5138128</s:v>
      </s:c>
      <s:c r="D132" s="5">
        <s:f>C132/(1+Inputs!B9)^B132</s:f>
        <s:v>276748.42779926845</s:v>
      </s:c>
    </s:row>
    <s:row r="133">
      <s:c r="A133" s="3" t="inlineStr">
        <s:is>
          <s:t>G</s:t>
        </s:is>
      </s:c>
      <s:c r="B133" s="19" t="n">
        <s:v>5</s:v>
      </s:c>
      <s:c r="C133" s="4">
        <s:f>Projects!M8*(1+Inputs!B8)^(B133-1)</s:f>
        <s:v>356376.28408905596</s:v>
      </s:c>
      <s:c r="D133" s="4">
        <s:f>C133/(1+Inputs!B9)^B133</s:f>
        <s:v>266305.09090118285</s:v>
      </s:c>
    </s:row>
    <s:row r="134">
      <s:c r="A134" s="2" t="inlineStr">
        <s:is>
          <s:t>G</s:t>
        </s:is>
      </s:c>
      <s:c r="B134" s="18" t="n">
        <s:v>6</s:v>
      </s:c>
      <s:c r="C134" s="5">
        <s:f>Projects!M8*(1+Inputs!B8)^(B134-1)</s:f>
        <s:v>363503.8097708371</s:v>
      </s:c>
      <s:c r="D134" s="5">
        <s:f>C134/(1+Inputs!B9)^B134</s:f>
        <s:v>256255.84218793063</s:v>
      </s:c>
    </s:row>
    <s:row r="135">
      <s:c r="A135" s="3" t="inlineStr">
        <s:is>
          <s:t>G</s:t>
        </s:is>
      </s:c>
      <s:c r="B135" s="19" t="n">
        <s:v>7</s:v>
      </s:c>
      <s:c r="C135" s="4">
        <s:f>Projects!M8*(1+Inputs!B8)^(B135-1)</s:f>
        <s:v>370773.8859662539</s:v>
      </s:c>
      <s:c r="D135" s="4">
        <s:f>C135/(1+Inputs!B9)^B135</s:f>
        <s:v>246585.810407254</s:v>
      </s:c>
    </s:row>
    <s:row r="136">
      <s:c r="A136" s="2" t="inlineStr">
        <s:is>
          <s:t>G</s:t>
        </s:is>
      </s:c>
      <s:c r="B136" s="18" t="n">
        <s:v>8</s:v>
      </s:c>
      <s:c r="C136" s="5">
        <s:f>Projects!M8*(1+Inputs!B8)^(B136-1)</s:f>
        <s:v>378189.3636855789</s:v>
      </s:c>
      <s:c r="D136" s="5">
        <s:f>C136/(1+Inputs!B9)^B136</s:f>
        <s:v>237280.68548622553</s:v>
      </s:c>
    </s:row>
    <s:row r="137">
      <s:c r="A137" s="3" t="inlineStr">
        <s:is>
          <s:t>G</s:t>
        </s:is>
      </s:c>
      <s:c r="B137" s="19" t="n">
        <s:v>9</s:v>
      </s:c>
      <s:c r="C137" s="4">
        <s:f>Projects!M8*(1+Inputs!B8)^(B137-1)</s:f>
        <s:v>385753.15095929056</s:v>
      </s:c>
      <s:c r="D137" s="4">
        <s:f>C137/(1+Inputs!B9)^B137</s:f>
        <s:v>228326.6973546699</s:v>
      </s:c>
    </s:row>
    <s:row r="138">
      <s:c r="A138" s="2" t="inlineStr">
        <s:is>
          <s:t>G</s:t>
        </s:is>
      </s:c>
      <s:c r="B138" s="18" t="n">
        <s:v>10</s:v>
      </s:c>
      <s:c r="C138" s="5">
        <s:f>Projects!M8*(1+Inputs!B8)^(B138-1)</s:f>
        <s:v>393468.21397847636</s:v>
      </s:c>
      <s:c r="D138" s="5">
        <s:f>C138/(1+Inputs!B9)^B138</s:f>
        <s:v>219710.59556770118</s:v>
      </s:c>
    </s:row>
    <s:row r="139">
      <s:c r="A139" s="3" t="inlineStr">
        <s:is>
          <s:t>G</s:t>
        </s:is>
      </s:c>
      <s:c r="B139" s="19" t="n">
        <s:v>11</s:v>
      </s:c>
      <s:c r="C139" s="4">
        <s:f>Projects!M8*(1+Inputs!B8)^(B139-1)</s:f>
        <s:v>401337.5782580459</s:v>
      </s:c>
      <s:c r="D139" s="4">
        <s:f>C139/(1+Inputs!B9)^B139</s:f>
        <s:v>211419.62969722188</s:v>
      </s:c>
    </s:row>
    <s:row r="140">
      <s:c r="A140" s="2" t="inlineStr">
        <s:is>
          <s:t>G</s:t>
        </s:is>
      </s:c>
      <s:c r="B140" s="18" t="n">
        <s:v>12</s:v>
      </s:c>
      <s:c r="C140" s="5">
        <s:f>Projects!M8*(1+Inputs!B8)^(B140-1)</s:f>
        <s:v>409364.3298232068</s:v>
      </s:c>
      <s:c r="D140" s="5">
        <s:f>C140/(1+Inputs!B9)^B140</s:f>
        <s:v>203441.53046336447</s:v>
      </s:c>
    </s:row>
    <s:row r="141">
      <s:c r="A141" s="3" t="inlineStr">
        <s:is>
          <s:t>G</s:t>
        </s:is>
      </s:c>
      <s:c r="B141" s="19" t="n">
        <s:v>13</s:v>
      </s:c>
      <s:c r="C141" s="4">
        <s:f>Projects!M8*(1+Inputs!B8)^(B141-1)</s:f>
        <s:v>417551.6164196709</s:v>
      </s:c>
      <s:c r="D141" s="4">
        <s:f>C141/(1+Inputs!B9)^B141</s:f>
        <s:v>195764.49157795444</s:v>
      </s:c>
    </s:row>
    <s:row r="142">
      <s:c r="A142" s="2" t="inlineStr">
        <s:is>
          <s:t>G</s:t>
        </s:is>
      </s:c>
      <s:c r="B142" s="18" t="n">
        <s:v>14</s:v>
      </s:c>
      <s:c r="C142" s="5">
        <s:f>Projects!M8*(1+Inputs!B8)^(B142-1)</s:f>
        <s:v>425902.6487480644</s:v>
      </s:c>
      <s:c r="D142" s="5">
        <s:f>C142/(1+Inputs!B9)^B142</s:f>
        <s:v>188377.15227312598</s:v>
      </s:c>
    </s:row>
    <s:row r="143">
      <s:c r="A143" s="3" t="inlineStr">
        <s:is>
          <s:t>G</s:t>
        </s:is>
      </s:c>
      <s:c r="B143" s="19" t="n">
        <s:v>15</s:v>
      </s:c>
      <s:c r="C143" s="4">
        <s:f>Projects!M8*(1+Inputs!B8)^(B143-1)</s:f>
        <s:v>434420.70172302565</s:v>
      </s:c>
      <s:c r="D143" s="4">
        <s:f>C143/(1+Inputs!B9)^B143</s:f>
        <s:v>181268.58048923442</s:v>
      </s:c>
    </s:row>
    <s:row r="144">
      <s:c r="A144" s="2" t="inlineStr">
        <s:is>
          <s:t>G</s:t>
        </s:is>
      </s:c>
      <s:c r="B144" s="18" t="n">
        <s:v>16</s:v>
      </s:c>
      <s:c r="C144" s="5">
        <s:f>Projects!M8*(1+Inputs!B8)^(B144-1)</s:f>
        <s:v>443109.1157574862</s:v>
      </s:c>
      <s:c r="D144" s="5">
        <s:f>C144/(1+Inputs!B9)^B144</s:f>
        <s:v>174428.25669718784</s:v>
      </s:c>
    </s:row>
    <s:row r="145">
      <s:c r="A145" s="3" t="inlineStr">
        <s:is>
          <s:t>G</s:t>
        </s:is>
      </s:c>
      <s:c r="B145" s="19" t="n">
        <s:v>17</s:v>
      </s:c>
      <s:c r="C145" s="4">
        <s:f>Projects!M8*(1+Inputs!B8)^(B145-1)</s:f>
        <s:v>451971.2980726359</s:v>
      </s:c>
      <s:c r="D145" s="4">
        <s:f>C145/(1+Inputs!B9)^B145</s:f>
        <s:v>167846.0583312562</s:v>
      </s:c>
    </s:row>
    <s:row r="146">
      <s:c r="A146" s="2" t="inlineStr">
        <s:is>
          <s:t>G</s:t>
        </s:is>
      </s:c>
      <s:c r="B146" s="18" t="n">
        <s:v>18</s:v>
      </s:c>
      <s:c r="C146" s="5">
        <s:f>Projects!M8*(1+Inputs!B8)^(B146-1)</s:f>
        <s:v>461010.72403408866</s:v>
      </s:c>
      <s:c r="D146" s="5">
        <s:f>C146/(1+Inputs!B9)^B146</s:f>
        <s:v>161512.244809322</s:v>
      </s:c>
    </s:row>
    <s:row r="147">
      <s:c r="A147" s="3" t="inlineStr">
        <s:is>
          <s:t>G</s:t>
        </s:is>
      </s:c>
      <s:c r="B147" s="19" t="n">
        <s:v>19</s:v>
      </s:c>
      <s:c r="C147" s="4">
        <s:f>Projects!M8*(1+Inputs!B8)^(B147-1)</s:f>
        <s:v>470230.9385147705</s:v>
      </s:c>
      <s:c r="D147" s="4">
        <s:f>C147/(1+Inputs!B9)^B147</s:f>
        <s:v>155417.44311840422</s:v>
      </s:c>
    </s:row>
    <s:row r="148">
      <s:c r="A148" s="2" t="inlineStr">
        <s:is>
          <s:t>G</s:t>
        </s:is>
      </s:c>
      <s:c r="B148" s="18" t="n">
        <s:v>20</s:v>
      </s:c>
      <s:c r="C148" s="5">
        <s:f>Projects!M8*(1+Inputs!B8)^(B148-1)+Projects!M8*(1+Inputs!B8)^20/Inputs!B10*(1-Inputs!B11)</s:f>
        <s:v>9196793.794778738</s:v>
      </s:c>
      <s:c r="D148" s="5">
        <s:f>C148/(1+Inputs!B9)^B148</s:f>
        <s:v>2867603.777408619</s:v>
      </s:c>
    </s:row>
    <s:row r="149">
      <s:c r="A149" s="3" t="inlineStr">
        <s:is>
          <s:t>H</s:t>
        </s:is>
      </s:c>
      <s:c r="B149" s="19" t="n">
        <s:v>0</s:v>
      </s:c>
      <s:c r="C149" s="4">
        <s:f>-Projects!N9</s:f>
        <s:v>-4500000</s:v>
      </s:c>
      <s:c r="D149" s="4">
        <s:f>C149/(1+Inputs!B9)^B149</s:f>
        <s:v>-4500000.0</s:v>
      </s:c>
    </s:row>
    <s:row r="150">
      <s:c r="A150" s="2" t="inlineStr">
        <s:is>
          <s:t>H</s:t>
        </s:is>
      </s:c>
      <s:c r="B150" s="18" t="n">
        <s:v>1</s:v>
      </s:c>
      <s:c r="C150" s="5">
        <s:f>Projects!M9*(1+Inputs!B8)^(B150-1)</s:f>
        <s:v>413271.9</s:v>
      </s:c>
      <s:c r="D150" s="5">
        <s:f>C150/(1+Inputs!B9)^B150</s:f>
        <s:v>389879.1509433962</s:v>
      </s:c>
    </s:row>
    <s:row r="151">
      <s:c r="A151" s="3" t="inlineStr">
        <s:is>
          <s:t>H</s:t>
        </s:is>
      </s:c>
      <s:c r="B151" s="19" t="n">
        <s:v>2</s:v>
      </s:c>
      <s:c r="C151" s="4">
        <s:f>Projects!M9*(1+Inputs!B8)^(B151-1)</s:f>
        <s:v>421537.33800000005</s:v>
      </s:c>
      <s:c r="D151" s="4">
        <s:f>C151/(1+Inputs!B9)^B151</s:f>
        <s:v>375166.7301530794</s:v>
      </s:c>
    </s:row>
    <s:row r="152">
      <s:c r="A152" s="2" t="inlineStr">
        <s:is>
          <s:t>H</s:t>
        </s:is>
      </s:c>
      <s:c r="B152" s="18" t="n">
        <s:v>3</s:v>
      </s:c>
      <s:c r="C152" s="5">
        <s:f>Projects!M9*(1+Inputs!B8)^(B152-1)</s:f>
        <s:v>429968.08476</s:v>
      </s:c>
      <s:c r="D152" s="5">
        <s:f>C152/(1+Inputs!B9)^B152</s:f>
        <s:v>361009.49505296315</s:v>
      </s:c>
    </s:row>
    <s:row r="153">
      <s:c r="A153" s="3" t="inlineStr">
        <s:is>
          <s:t>H</s:t>
        </s:is>
      </s:c>
      <s:c r="B153" s="19" t="n">
        <s:v>4</s:v>
      </s:c>
      <s:c r="C153" s="4">
        <s:f>Projects!M9*(1+Inputs!B8)^(B153-1)</s:f>
        <s:v>438567.4464552001</s:v>
      </s:c>
      <s:c r="D153" s="4">
        <s:f>C153/(1+Inputs!B9)^B153</s:f>
        <s:v>347386.4952396438</s:v>
      </s:c>
    </s:row>
    <s:row r="154">
      <s:c r="A154" s="2" t="inlineStr">
        <s:is>
          <s:t>H</s:t>
        </s:is>
      </s:c>
      <s:c r="B154" s="18" t="n">
        <s:v>5</s:v>
      </s:c>
      <s:c r="C154" s="5">
        <s:f>Projects!M9*(1+Inputs!B8)^(B154-1)</s:f>
        <s:v>447338.795384304</s:v>
      </s:c>
      <s:c r="D154" s="5">
        <s:f>C154/(1+Inputs!B9)^B154</s:f>
        <s:v>334277.570890978</s:v>
      </s:c>
    </s:row>
    <s:row r="155">
      <s:c r="A155" s="3" t="inlineStr">
        <s:is>
          <s:t>H</s:t>
        </s:is>
      </s:c>
      <s:c r="B155" s="19" t="n">
        <s:v>6</s:v>
      </s:c>
      <s:c r="C155" s="4">
        <s:f>Projects!M9*(1+Inputs!B8)^(B155-1)</s:f>
        <s:v>456285.5712919901</s:v>
      </s:c>
      <s:c r="D155" s="4">
        <s:f>C155/(1+Inputs!B9)^B155</s:f>
        <s:v>321663.32293282787</s:v>
      </s:c>
    </s:row>
    <s:row r="156">
      <s:c r="A156" s="2" t="inlineStr">
        <s:is>
          <s:t>H</s:t>
        </s:is>
      </s:c>
      <s:c r="B156" s="18" t="n">
        <s:v>7</s:v>
      </s:c>
      <s:c r="C156" s="5">
        <s:f>Projects!M9*(1+Inputs!B8)^(B156-1)</s:f>
        <s:v>465411.2827178299</s:v>
      </s:c>
      <s:c r="D156" s="5">
        <s:f>C156/(1+Inputs!B9)^B156</s:f>
        <s:v>309525.084331589</s:v>
      </s:c>
    </s:row>
    <s:row r="157">
      <s:c r="A157" s="3" t="inlineStr">
        <s:is>
          <s:t>H</s:t>
        </s:is>
      </s:c>
      <s:c r="B157" s="19" t="n">
        <s:v>8</s:v>
      </s:c>
      <s:c r="C157" s="4">
        <s:f>Projects!M9*(1+Inputs!B8)^(B157-1)</s:f>
        <s:v>474719.5083721865</s:v>
      </s:c>
      <s:c r="D157" s="4">
        <s:f>C157/(1+Inputs!B9)^B157</s:f>
        <s:v>297844.8924700196</s:v>
      </s:c>
    </s:row>
    <s:row r="158">
      <s:c r="A158" s="2" t="inlineStr">
        <s:is>
          <s:t>H</s:t>
        </s:is>
      </s:c>
      <s:c r="B158" s="18" t="n">
        <s:v>9</s:v>
      </s:c>
      <s:c r="C158" s="5">
        <s:f>Projects!M9*(1+Inputs!B8)^(B158-1)</s:f>
        <s:v>484213.8985396303</s:v>
      </s:c>
      <s:c r="D158" s="5">
        <s:f>C158/(1+Inputs!B9)^B158</s:f>
        <s:v>286605.46256549057</s:v>
      </s:c>
    </s:row>
    <s:row r="159">
      <s:c r="A159" s="3" t="inlineStr">
        <s:is>
          <s:t>H</s:t>
        </s:is>
      </s:c>
      <s:c r="B159" s="19" t="n">
        <s:v>10</s:v>
      </s:c>
      <s:c r="C159" s="4">
        <s:f>Projects!M9*(1+Inputs!B8)^(B159-1)</s:f>
        <s:v>493898.1765104229</s:v>
      </s:c>
      <s:c r="D159" s="4">
        <s:f>C159/(1+Inputs!B9)^B159</s:f>
        <s:v>275790.1620913211</s:v>
      </s:c>
    </s:row>
    <s:row r="160">
      <s:c r="A160" s="2" t="inlineStr">
        <s:is>
          <s:t>H</s:t>
        </s:is>
      </s:c>
      <s:c r="B160" s="18" t="n">
        <s:v>11</s:v>
      </s:c>
      <s:c r="C160" s="5">
        <s:f>Projects!M9*(1+Inputs!B8)^(B160-1)</s:f>
        <s:v>503776.1400406314</s:v>
      </s:c>
      <s:c r="D160" s="5">
        <s:f>C160/(1+Inputs!B9)^B160</s:f>
        <s:v>265382.98616334674</s:v>
      </s:c>
    </s:row>
    <s:row r="161">
      <s:c r="A161" s="3" t="inlineStr">
        <s:is>
          <s:t>H</s:t>
        </s:is>
      </s:c>
      <s:c r="B161" s="19" t="n">
        <s:v>12</s:v>
      </s:c>
      <s:c r="C161" s="4">
        <s:f>Projects!M9*(1+Inputs!B8)^(B161-1)</s:f>
        <s:v>513851.662841444</s:v>
      </s:c>
      <s:c r="D161" s="4">
        <s:f>C161/(1+Inputs!B9)^B161</s:f>
        <s:v>255368.53385529591</s:v>
      </s:c>
    </s:row>
    <s:row r="162">
      <s:c r="A162" s="2" t="inlineStr">
        <s:is>
          <s:t>H</s:t>
        </s:is>
      </s:c>
      <s:c r="B162" s="18" t="n">
        <s:v>13</s:v>
      </s:c>
      <s:c r="C162" s="5">
        <s:f>Projects!M9*(1+Inputs!B8)^(B162-1)</s:f>
        <s:v>524128.69609827286</s:v>
      </s:c>
      <s:c r="D162" s="5">
        <s:f>C162/(1+Inputs!B9)^B162</s:f>
        <s:v>245731.98540792623</s:v>
      </s:c>
    </s:row>
    <s:row r="163">
      <s:c r="A163" s="3" t="inlineStr">
        <s:is>
          <s:t>H</s:t>
        </s:is>
      </s:c>
      <s:c r="B163" s="19" t="n">
        <s:v>14</s:v>
      </s:c>
      <s:c r="C163" s="4">
        <s:f>Projects!M9*(1+Inputs!B8)^(B163-1)</s:f>
        <s:v>534611.2700202384</s:v>
      </s:c>
      <s:c r="D163" s="4">
        <s:f>C163/(1+Inputs!B9)^B163</s:f>
        <s:v>236459.08029819315</s:v>
      </s:c>
    </s:row>
    <s:row r="164">
      <s:c r="A164" s="2" t="inlineStr">
        <s:is>
          <s:t>H</s:t>
        </s:is>
      </s:c>
      <s:c r="B164" s="18" t="n">
        <s:v>15</s:v>
      </s:c>
      <s:c r="C164" s="5">
        <s:f>Projects!M9*(1+Inputs!B8)^(B164-1)</s:f>
        <s:v>545303.4954206431</s:v>
      </s:c>
      <s:c r="D164" s="5">
        <s:f>C164/(1+Inputs!B9)^B164</s:f>
        <s:v>227536.09613599718</s:v>
      </s:c>
    </s:row>
    <s:row r="165">
      <s:c r="A165" s="3" t="inlineStr">
        <s:is>
          <s:t>H</s:t>
        </s:is>
      </s:c>
      <s:c r="B165" s="19" t="n">
        <s:v>16</s:v>
      </s:c>
      <s:c r="C165" s="4">
        <s:f>Projects!M9*(1+Inputs!B8)^(B165-1)</s:f>
        <s:v>556209.565329056</s:v>
      </s:c>
      <s:c r="D165" s="4">
        <s:f>C165/(1+Inputs!B9)^B165</s:f>
        <s:v>218949.8283572803</s:v>
      </s:c>
    </s:row>
    <s:row r="166">
      <s:c r="A166" s="2" t="inlineStr">
        <s:is>
          <s:t>H</s:t>
        </s:is>
      </s:c>
      <s:c r="B166" s="18" t="n">
        <s:v>17</s:v>
      </s:c>
      <s:c r="C166" s="5">
        <s:f>Projects!M9*(1+Inputs!B8)^(B166-1)</s:f>
        <s:v>567333.7566356371</s:v>
      </s:c>
      <s:c r="D166" s="5">
        <s:f>C166/(1+Inputs!B9)^B166</s:f>
        <s:v>210687.57068342066</s:v>
      </s:c>
    </s:row>
    <s:row r="167">
      <s:c r="A167" s="3" t="inlineStr">
        <s:is>
          <s:t>H</s:t>
        </s:is>
      </s:c>
      <s:c r="B167" s="19" t="n">
        <s:v>18</s:v>
      </s:c>
      <s:c r="C167" s="4">
        <s:f>Projects!M9*(1+Inputs!B8)^(B167-1)</s:f>
        <s:v>578680.43176835</s:v>
      </s:c>
      <s:c r="D167" s="4">
        <s:f>C167/(1+Inputs!B9)^B167</s:f>
        <s:v>202737.09631800858</s:v>
      </s:c>
    </s:row>
    <s:row r="168">
      <s:c r="A168" s="2" t="inlineStr">
        <s:is>
          <s:t>H</s:t>
        </s:is>
      </s:c>
      <s:c r="B168" s="18" t="n">
        <s:v>19</s:v>
      </s:c>
      <s:c r="C168" s="5">
        <s:f>Projects!M9*(1+Inputs!B8)^(B168-1)</s:f>
        <s:v>590254.040403717</s:v>
      </s:c>
      <s:c r="D168" s="5">
        <s:f>C168/(1+Inputs!B9)^B168</s:f>
        <s:v>195086.63985317806</s:v>
      </s:c>
    </s:row>
    <s:row r="169">
      <s:c r="A169" s="3" t="inlineStr">
        <s:is>
          <s:t>H</s:t>
        </s:is>
      </s:c>
      <s:c r="B169" s="19" t="n">
        <s:v>20</s:v>
      </s:c>
      <s:c r="C169" s="4">
        <s:f>Projects!M9*(1+Inputs!B8)^(B169-1)+Projects!M9*(1+Inputs!B8)^20/Inputs!B10*(1-Inputs!B11)</s:f>
        <s:v>11544209.985999184</s:v>
      </s:c>
      <s:c r="D169" s="4">
        <s:f>C169/(1+Inputs!B9)^B169</s:f>
        <s:v>3599539.2418000824</s:v>
      </s:c>
    </s:row>
  </s:sheetData>
  <s:autoFilter ref="A1:D169"/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Q257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22" customWidth="1" min="3" max="3"/>
    <s:col width="22" customWidth="1" min="4" max="4"/>
    <s:col width="22" customWidth="1" min="5" max="5"/>
    <s:col width="22" customWidth="1" min="6" max="6"/>
    <s:col width="22" customWidth="1" min="7" max="7"/>
    <s:col width="22" customWidth="1" min="8" max="8"/>
    <s:col width="22" customWidth="1" min="9" max="9"/>
    <s:col width="22" customWidth="1" min="10" max="10"/>
    <s:col width="22" customWidth="1" min="11" max="11"/>
    <s:col width="22" customWidth="1" min="12" max="12"/>
    <s:col width="22" customWidth="1" min="13" max="13"/>
    <s:col width="22" customWidth="1" min="14" max="14"/>
    <s:col width="22" customWidth="1" min="15" max="15"/>
    <s:col width="22" customWidth="1" min="16" max="16"/>
    <s:col width="22" customWidth="1" min="17" max="17"/>
  </s:cols>
  <s:sheetData>
    <s:row r="1" ht="34" customHeight="1">
      <s:c r="A1" s="1" t="inlineStr">
        <s:is>
          <s:t>Combination</s:t>
        </s:is>
      </s:c>
      <s:c r="B1" s="1" t="inlineStr">
        <s:is>
          <s:t>A</s:t>
        </s:is>
      </s:c>
      <s:c r="C1" s="1" t="inlineStr">
        <s:is>
          <s:t>B</s:t>
        </s:is>
      </s:c>
      <s:c r="D1" s="1" t="inlineStr">
        <s:is>
          <s:t>C</s:t>
        </s:is>
      </s:c>
      <s:c r="E1" s="1" t="inlineStr">
        <s:is>
          <s:t>D</s:t>
        </s:is>
      </s:c>
      <s:c r="F1" s="1" t="inlineStr">
        <s:is>
          <s:t>E</s:t>
        </s:is>
      </s:c>
      <s:c r="G1" s="1" t="inlineStr">
        <s:is>
          <s:t>F</s:t>
        </s:is>
      </s:c>
      <s:c r="H1" s="1" t="inlineStr">
        <s:is>
          <s:t>G</s:t>
        </s:is>
      </s:c>
      <s:c r="I1" s="1" t="inlineStr">
        <s:is>
          <s:t>H</s:t>
        </s:is>
      </s:c>
      <s:c r="J1" s="1" t="inlineStr">
        <s:is>
          <s:t>Cost</s:t>
        </s:is>
      </s:c>
      <s:c r="K1" s="1" t="inlineStr">
        <s:is>
          <s:t>Beds</s:t>
        </s:is>
      </s:c>
      <s:c r="L1" s="1" t="inlineStr">
        <s:is>
          <s:t>Affordable beds</s:t>
        </s:is>
      </s:c>
      <s:c r="M1" s="1" t="inlineStr">
        <s:is>
          <s:t>NPV</s:t>
        </s:is>
      </s:c>
      <s:c r="N1" s="1" t="inlineStr">
        <s:is>
          <s:t>Selected planning failures</s:t>
        </s:is>
      </s:c>
      <s:c r="O1" s="1" t="inlineStr">
        <s:is>
          <s:t>Feasible</s:t>
        </s:is>
      </s:c>
      <s:c r="P1" s="1" t="inlineStr">
        <s:is>
          <s:t>Affordable objective</s:t>
        </s:is>
      </s:c>
      <s:c r="Q1" s="1" t="inlineStr">
        <s:is>
          <s:t>NPV tie break</s:t>
        </s:is>
      </s:c>
    </s:row>
    <s:row r="2">
      <s:c r="A2" s="18" t="n">
        <s:v>0</s:v>
      </s:c>
      <s:c r="B2" s="18" t="n">
        <s:v>0</s:v>
      </s:c>
      <s:c r="C2" s="18" t="n">
        <s:v>0</s:v>
      </s:c>
      <s:c r="D2" s="18" t="n">
        <s:v>0</s:v>
      </s:c>
      <s:c r="E2" s="18" t="n">
        <s:v>0</s:v>
      </s:c>
      <s:c r="F2" s="18" t="n">
        <s:v>0</s:v>
      </s:c>
      <s:c r="G2" s="18" t="n">
        <s:v>0</s:v>
      </s:c>
      <s:c r="H2" s="18" t="n">
        <s:v>0</s:v>
      </s:c>
      <s:c r="I2" s="18" t="n">
        <s:v>0</s:v>
      </s:c>
      <s:c r="J2" s="5">
        <s:f>B2*Projects!N2+C2*Projects!N3+D2*Projects!N4+E2*Projects!N5+F2*Projects!N6+G2*Projects!N7+H2*Projects!N8+I2*Projects!N9</s:f>
        <s:v>0</s:v>
      </s:c>
      <s:c r="K2" s="2">
        <s:f>B2*Projects!C2+C2*Projects!C3+D2*Projects!C4+E2*Projects!C5+F2*Projects!C6+G2*Projects!C7+H2*Projects!C8+I2*Projects!C9</s:f>
        <s:v>0</s:v>
      </s:c>
      <s:c r="L2" s="2">
        <s:f>B2*Projects!D2+C2*Projects!D3+D2*Projects!D4+E2*Projects!D5+F2*Projects!D6+G2*Projects!D7+H2*Projects!D8+I2*Projects!D9</s:f>
        <s:v>0</s:v>
      </s:c>
      <s:c r="M2" s="5">
        <s:f>B2*Projects!O2+C2*Projects!O3+D2*Projects!O4+E2*Projects!O5+F2*Projects!O6+G2*Projects!O7+H2*Projects!O8+I2*Projects!O9</s:f>
        <s:v>0.0</s:v>
      </s:c>
      <s:c r="N2" s="2">
        <s:f>B2*(1-Projects!Q2)+C2*(1-Projects!Q3)+D2*(1-Projects!Q4)+E2*(1-Projects!Q5)+F2*(1-Projects!Q6)+G2*(1-Projects!Q7)+H2*(1-Projects!Q8)+I2*(1-Projects!Q9)</s:f>
        <s:v>0</s:v>
      </s:c>
      <s:c r="O2" s="2">
        <s:f>IF(AND(J2&lt;=Inputs!B2,L2&gt;=Inputs!B3,M2&gt;=Inputs!B18,N2=0),1,0)</s:f>
        <s:v>0</s:v>
      </s:c>
      <s:c r="P2" s="2">
        <s:f>IF(O2=1,L2,-1)</s:f>
        <s:v>-1</s:v>
      </s:c>
      <s:c r="Q2" s="2">
        <s:f>IF(AND(O2=1,L2=MAX(P$2:P$257)),M2,-1E+99)</s:f>
        <s:v>-1e+99</s:v>
      </s:c>
    </s:row>
    <s:row r="3">
      <s:c r="A3" s="19" t="n">
        <s:v>1</s:v>
      </s:c>
      <s:c r="B3" s="19" t="n">
        <s:v>0</s:v>
      </s:c>
      <s:c r="C3" s="19" t="n">
        <s:v>0</s:v>
      </s:c>
      <s:c r="D3" s="19" t="n">
        <s:v>0</s:v>
      </s:c>
      <s:c r="E3" s="19" t="n">
        <s:v>0</s:v>
      </s:c>
      <s:c r="F3" s="19" t="n">
        <s:v>0</s:v>
      </s:c>
      <s:c r="G3" s="19" t="n">
        <s:v>0</s:v>
      </s:c>
      <s:c r="H3" s="19" t="n">
        <s:v>0</s:v>
      </s:c>
      <s:c r="I3" s="19" t="n">
        <s:v>1</s:v>
      </s:c>
      <s:c r="J3" s="4">
        <s:f>B3*Projects!N2+C3*Projects!N3+D3*Projects!N4+E3*Projects!N5+F3*Projects!N6+G3*Projects!N7+H3*Projects!N8+I3*Projects!N9</s:f>
        <s:v>4500000</s:v>
      </s:c>
      <s:c r="K3" s="3">
        <s:f>B3*Projects!C2+C3*Projects!C3+D3*Projects!C4+E3*Projects!C5+F3*Projects!C6+G3*Projects!C7+H3*Projects!C8+I3*Projects!C9</s:f>
        <s:v>90</s:v>
      </s:c>
      <s:c r="L3" s="3">
        <s:f>B3*Projects!D2+C3*Projects!D3+D3*Projects!D4+E3*Projects!D5+F3*Projects!D6+G3*Projects!D7+H3*Projects!D8+I3*Projects!D9</s:f>
        <s:v>27</s:v>
      </s:c>
      <s:c r="M3" s="4">
        <s:f>B3*Projects!O2+C3*Projects!O3+D3*Projects!O4+E3*Projects!O5+F3*Projects!O6+G3*Projects!O7+H3*Projects!O8+I3*Projects!O9</s:f>
        <s:v>4456627.425544036</s:v>
      </s:c>
      <s:c r="N3" s="3">
        <s:f>B3*(1-Projects!Q2)+C3*(1-Projects!Q3)+D3*(1-Projects!Q4)+E3*(1-Projects!Q5)+F3*(1-Projects!Q6)+G3*(1-Projects!Q7)+H3*(1-Projects!Q8)+I3*(1-Projects!Q9)</s:f>
        <s:v>0</s:v>
      </s:c>
      <s:c r="O3" s="3">
        <s:f>IF(AND(J3&lt;=Inputs!B2,L3&gt;=Inputs!B3,M3&gt;=Inputs!B18,N3=0),1,0)</s:f>
        <s:v>0</s:v>
      </s:c>
      <s:c r="P3" s="3">
        <s:f>IF(O3=1,L3,-1)</s:f>
        <s:v>-1</s:v>
      </s:c>
      <s:c r="Q3" s="3">
        <s:f>IF(AND(O3=1,L3=MAX(P$2:P$257)),M3,-1E+99)</s:f>
        <s:v>-1e+99</s:v>
      </s:c>
    </s:row>
    <s:row r="4">
      <s:c r="A4" s="18" t="n">
        <s:v>2</s:v>
      </s:c>
      <s:c r="B4" s="18" t="n">
        <s:v>0</s:v>
      </s:c>
      <s:c r="C4" s="18" t="n">
        <s:v>0</s:v>
      </s:c>
      <s:c r="D4" s="18" t="n">
        <s:v>0</s:v>
      </s:c>
      <s:c r="E4" s="18" t="n">
        <s:v>0</s:v>
      </s:c>
      <s:c r="F4" s="18" t="n">
        <s:v>0</s:v>
      </s:c>
      <s:c r="G4" s="18" t="n">
        <s:v>0</s:v>
      </s:c>
      <s:c r="H4" s="18" t="n">
        <s:v>1</s:v>
      </s:c>
      <s:c r="I4" s="18" t="n">
        <s:v>0</s:v>
      </s:c>
      <s:c r="J4" s="5">
        <s:f>B4*Projects!N2+C4*Projects!N3+D4*Projects!N4+E4*Projects!N5+F4*Projects!N6+G4*Projects!N7+H4*Projects!N8+I4*Projects!N9</s:f>
        <s:v>4100000</s:v>
      </s:c>
      <s:c r="K4" s="2">
        <s:f>B4*Projects!C2+C4*Projects!C3+D4*Projects!C4+E4*Projects!C5+F4*Projects!C6+G4*Projects!C7+H4*Projects!C8+I4*Projects!C9</s:f>
        <s:v>110</s:v>
      </s:c>
      <s:c r="L4" s="2">
        <s:f>B4*Projects!D2+C4*Projects!D3+D4*Projects!D4+E4*Projects!D5+F4*Projects!D6+G4*Projects!D7+H4*Projects!D8+I4*Projects!D9</s:f>
        <s:v>66</s:v>
      </s:c>
      <s:c r="M4" s="5">
        <s:f>B4*Projects!O2+C4*Projects!O3+D4*Projects!O4+E4*Projects!O5+F4*Projects!O6+G4*Projects!O7+H4*Projects!O8+I4*Projects!O9</s:f>
        <s:v>3035373.9778893073</s:v>
      </s:c>
      <s:c r="N4" s="2">
        <s:f>B4*(1-Projects!Q2)+C4*(1-Projects!Q3)+D4*(1-Projects!Q4)+E4*(1-Projects!Q5)+F4*(1-Projects!Q6)+G4*(1-Projects!Q7)+H4*(1-Projects!Q8)+I4*(1-Projects!Q9)</s:f>
        <s:v>0</s:v>
      </s:c>
      <s:c r="O4" s="2">
        <s:f>IF(AND(J4&lt;=Inputs!B2,L4&gt;=Inputs!B3,M4&gt;=Inputs!B18,N4=0),1,0)</s:f>
        <s:v>0</s:v>
      </s:c>
      <s:c r="P4" s="2">
        <s:f>IF(O4=1,L4,-1)</s:f>
        <s:v>-1</s:v>
      </s:c>
      <s:c r="Q4" s="2">
        <s:f>IF(AND(O4=1,L4=MAX(P$2:P$257)),M4,-1E+99)</s:f>
        <s:v>-1e+99</s:v>
      </s:c>
    </s:row>
    <s:row r="5">
      <s:c r="A5" s="19" t="n">
        <s:v>3</s:v>
      </s:c>
      <s:c r="B5" s="19" t="n">
        <s:v>0</s:v>
      </s:c>
      <s:c r="C5" s="19" t="n">
        <s:v>0</s:v>
      </s:c>
      <s:c r="D5" s="19" t="n">
        <s:v>0</s:v>
      </s:c>
      <s:c r="E5" s="19" t="n">
        <s:v>0</s:v>
      </s:c>
      <s:c r="F5" s="19" t="n">
        <s:v>0</s:v>
      </s:c>
      <s:c r="G5" s="19" t="n">
        <s:v>0</s:v>
      </s:c>
      <s:c r="H5" s="19" t="n">
        <s:v>1</s:v>
      </s:c>
      <s:c r="I5" s="19" t="n">
        <s:v>1</s:v>
      </s:c>
      <s:c r="J5" s="4">
        <s:f>B5*Projects!N2+C5*Projects!N3+D5*Projects!N4+E5*Projects!N5+F5*Projects!N6+G5*Projects!N7+H5*Projects!N8+I5*Projects!N9</s:f>
        <s:v>8600000</s:v>
      </s:c>
      <s:c r="K5" s="3">
        <s:f>B5*Projects!C2+C5*Projects!C3+D5*Projects!C4+E5*Projects!C5+F5*Projects!C6+G5*Projects!C7+H5*Projects!C8+I5*Projects!C9</s:f>
        <s:v>200</s:v>
      </s:c>
      <s:c r="L5" s="3">
        <s:f>B5*Projects!D2+C5*Projects!D3+D5*Projects!D4+E5*Projects!D5+F5*Projects!D6+G5*Projects!D7+H5*Projects!D8+I5*Projects!D9</s:f>
        <s:v>93</s:v>
      </s:c>
      <s:c r="M5" s="4">
        <s:f>B5*Projects!O2+C5*Projects!O3+D5*Projects!O4+E5*Projects!O5+F5*Projects!O6+G5*Projects!O7+H5*Projects!O8+I5*Projects!O9</s:f>
        <s:v>7492001.403433343</s:v>
      </s:c>
      <s:c r="N5" s="3">
        <s:f>B5*(1-Projects!Q2)+C5*(1-Projects!Q3)+D5*(1-Projects!Q4)+E5*(1-Projects!Q5)+F5*(1-Projects!Q6)+G5*(1-Projects!Q7)+H5*(1-Projects!Q8)+I5*(1-Projects!Q9)</s:f>
        <s:v>0</s:v>
      </s:c>
      <s:c r="O5" s="3">
        <s:f>IF(AND(J5&lt;=Inputs!B2,L5&gt;=Inputs!B3,M5&gt;=Inputs!B18,N5=0),1,0)</s:f>
        <s:v>1</s:v>
      </s:c>
      <s:c r="P5" s="3">
        <s:f>IF(O5=1,L5,-1)</s:f>
        <s:v>93</s:v>
      </s:c>
      <s:c r="Q5" s="3">
        <s:f>IF(AND(O5=1,L5=MAX(P$2:P$257)),M5,-1E+99)</s:f>
        <s:v>-1e+99</s:v>
      </s:c>
    </s:row>
    <s:row r="6">
      <s:c r="A6" s="18" t="n">
        <s:v>4</s:v>
      </s:c>
      <s:c r="B6" s="18" t="n">
        <s:v>0</s:v>
      </s:c>
      <s:c r="C6" s="18" t="n">
        <s:v>0</s:v>
      </s:c>
      <s:c r="D6" s="18" t="n">
        <s:v>0</s:v>
      </s:c>
      <s:c r="E6" s="18" t="n">
        <s:v>0</s:v>
      </s:c>
      <s:c r="F6" s="18" t="n">
        <s:v>0</s:v>
      </s:c>
      <s:c r="G6" s="18" t="n">
        <s:v>1</s:v>
      </s:c>
      <s:c r="H6" s="18" t="n">
        <s:v>0</s:v>
      </s:c>
      <s:c r="I6" s="18" t="n">
        <s:v>0</s:v>
      </s:c>
      <s:c r="J6" s="5">
        <s:f>B6*Projects!N2+C6*Projects!N3+D6*Projects!N4+E6*Projects!N5+F6*Projects!N6+G6*Projects!N7+H6*Projects!N8+I6*Projects!N9</s:f>
        <s:v>3200000</s:v>
      </s:c>
      <s:c r="K6" s="2">
        <s:f>B6*Projects!C2+C6*Projects!C3+D6*Projects!C4+E6*Projects!C5+F6*Projects!C6+G6*Projects!C7+H6*Projects!C8+I6*Projects!C9</s:f>
        <s:v>80</s:v>
      </s:c>
      <s:c r="L6" s="2">
        <s:f>B6*Projects!D2+C6*Projects!D3+D6*Projects!D4+E6*Projects!D5+F6*Projects!D6+G6*Projects!D7+H6*Projects!D8+I6*Projects!D9</s:f>
        <s:v>40</s:v>
      </s:c>
      <s:c r="M6" s="5">
        <s:f>B6*Projects!O2+C6*Projects!O3+D6*Projects!O4+E6*Projects!O5+F6*Projects!O6+G6*Projects!O7+H6*Projects!O8+I6*Projects!O9</s:f>
        <s:v>2510178.619869003</s:v>
      </s:c>
      <s:c r="N6" s="2">
        <s:f>B6*(1-Projects!Q2)+C6*(1-Projects!Q3)+D6*(1-Projects!Q4)+E6*(1-Projects!Q5)+F6*(1-Projects!Q6)+G6*(1-Projects!Q7)+H6*(1-Projects!Q8)+I6*(1-Projects!Q9)</s:f>
        <s:v>0</s:v>
      </s:c>
      <s:c r="O6" s="2">
        <s:f>IF(AND(J6&lt;=Inputs!B2,L6&gt;=Inputs!B3,M6&gt;=Inputs!B18,N6=0),1,0)</s:f>
        <s:v>0</s:v>
      </s:c>
      <s:c r="P6" s="2">
        <s:f>IF(O6=1,L6,-1)</s:f>
        <s:v>-1</s:v>
      </s:c>
      <s:c r="Q6" s="2">
        <s:f>IF(AND(O6=1,L6=MAX(P$2:P$257)),M6,-1E+99)</s:f>
        <s:v>-1e+99</s:v>
      </s:c>
    </s:row>
    <s:row r="7">
      <s:c r="A7" s="19" t="n">
        <s:v>5</s:v>
      </s:c>
      <s:c r="B7" s="19" t="n">
        <s:v>0</s:v>
      </s:c>
      <s:c r="C7" s="19" t="n">
        <s:v>0</s:v>
      </s:c>
      <s:c r="D7" s="19" t="n">
        <s:v>0</s:v>
      </s:c>
      <s:c r="E7" s="19" t="n">
        <s:v>0</s:v>
      </s:c>
      <s:c r="F7" s="19" t="n">
        <s:v>0</s:v>
      </s:c>
      <s:c r="G7" s="19" t="n">
        <s:v>1</s:v>
      </s:c>
      <s:c r="H7" s="19" t="n">
        <s:v>0</s:v>
      </s:c>
      <s:c r="I7" s="19" t="n">
        <s:v>1</s:v>
      </s:c>
      <s:c r="J7" s="4">
        <s:f>B7*Projects!N2+C7*Projects!N3+D7*Projects!N4+E7*Projects!N5+F7*Projects!N6+G7*Projects!N7+H7*Projects!N8+I7*Projects!N9</s:f>
        <s:v>7700000</s:v>
      </s:c>
      <s:c r="K7" s="3">
        <s:f>B7*Projects!C2+C7*Projects!C3+D7*Projects!C4+E7*Projects!C5+F7*Projects!C6+G7*Projects!C7+H7*Projects!C8+I7*Projects!C9</s:f>
        <s:v>170</s:v>
      </s:c>
      <s:c r="L7" s="3">
        <s:f>B7*Projects!D2+C7*Projects!D3+D7*Projects!D4+E7*Projects!D5+F7*Projects!D6+G7*Projects!D7+H7*Projects!D8+I7*Projects!D9</s:f>
        <s:v>67</s:v>
      </s:c>
      <s:c r="M7" s="4">
        <s:f>B7*Projects!O2+C7*Projects!O3+D7*Projects!O4+E7*Projects!O5+F7*Projects!O6+G7*Projects!O7+H7*Projects!O8+I7*Projects!O9</s:f>
        <s:v>6966806.045413039</s:v>
      </s:c>
      <s:c r="N7" s="3">
        <s:f>B7*(1-Projects!Q2)+C7*(1-Projects!Q3)+D7*(1-Projects!Q4)+E7*(1-Projects!Q5)+F7*(1-Projects!Q6)+G7*(1-Projects!Q7)+H7*(1-Projects!Q8)+I7*(1-Projects!Q9)</s:f>
        <s:v>0</s:v>
      </s:c>
      <s:c r="O7" s="3">
        <s:f>IF(AND(J7&lt;=Inputs!B2,L7&gt;=Inputs!B3,M7&gt;=Inputs!B18,N7=0),1,0)</s:f>
        <s:v>0</s:v>
      </s:c>
      <s:c r="P7" s="3">
        <s:f>IF(O7=1,L7,-1)</s:f>
        <s:v>-1</s:v>
      </s:c>
      <s:c r="Q7" s="3">
        <s:f>IF(AND(O7=1,L7=MAX(P$2:P$257)),M7,-1E+99)</s:f>
        <s:v>-1e+99</s:v>
      </s:c>
    </s:row>
    <s:row r="8">
      <s:c r="A8" s="18" t="n">
        <s:v>6</s:v>
      </s:c>
      <s:c r="B8" s="18" t="n">
        <s:v>0</s:v>
      </s:c>
      <s:c r="C8" s="18" t="n">
        <s:v>0</s:v>
      </s:c>
      <s:c r="D8" s="18" t="n">
        <s:v>0</s:v>
      </s:c>
      <s:c r="E8" s="18" t="n">
        <s:v>0</s:v>
      </s:c>
      <s:c r="F8" s="18" t="n">
        <s:v>0</s:v>
      </s:c>
      <s:c r="G8" s="18" t="n">
        <s:v>1</s:v>
      </s:c>
      <s:c r="H8" s="18" t="n">
        <s:v>1</s:v>
      </s:c>
      <s:c r="I8" s="18" t="n">
        <s:v>0</s:v>
      </s:c>
      <s:c r="J8" s="5">
        <s:f>B8*Projects!N2+C8*Projects!N3+D8*Projects!N4+E8*Projects!N5+F8*Projects!N6+G8*Projects!N7+H8*Projects!N8+I8*Projects!N9</s:f>
        <s:v>7300000</s:v>
      </s:c>
      <s:c r="K8" s="2">
        <s:f>B8*Projects!C2+C8*Projects!C3+D8*Projects!C4+E8*Projects!C5+F8*Projects!C6+G8*Projects!C7+H8*Projects!C8+I8*Projects!C9</s:f>
        <s:v>190</s:v>
      </s:c>
      <s:c r="L8" s="2">
        <s:f>B8*Projects!D2+C8*Projects!D3+D8*Projects!D4+E8*Projects!D5+F8*Projects!D6+G8*Projects!D7+H8*Projects!D8+I8*Projects!D9</s:f>
        <s:v>106</s:v>
      </s:c>
      <s:c r="M8" s="5">
        <s:f>B8*Projects!O2+C8*Projects!O3+D8*Projects!O4+E8*Projects!O5+F8*Projects!O6+G8*Projects!O7+H8*Projects!O8+I8*Projects!O9</s:f>
        <s:v>5545552.59775831</s:v>
      </s:c>
      <s:c r="N8" s="2">
        <s:f>B8*(1-Projects!Q2)+C8*(1-Projects!Q3)+D8*(1-Projects!Q4)+E8*(1-Projects!Q5)+F8*(1-Projects!Q6)+G8*(1-Projects!Q7)+H8*(1-Projects!Q8)+I8*(1-Projects!Q9)</s:f>
        <s:v>0</s:v>
      </s:c>
      <s:c r="O8" s="2">
        <s:f>IF(AND(J8&lt;=Inputs!B2,L8&gt;=Inputs!B3,M8&gt;=Inputs!B18,N8=0),1,0)</s:f>
        <s:v>1</s:v>
      </s:c>
      <s:c r="P8" s="2">
        <s:f>IF(O8=1,L8,-1)</s:f>
        <s:v>106</s:v>
      </s:c>
      <s:c r="Q8" s="2">
        <s:f>IF(AND(O8=1,L8=MAX(P$2:P$257)),M8,-1E+99)</s:f>
        <s:v>-1e+99</s:v>
      </s:c>
    </s:row>
    <s:row r="9">
      <s:c r="A9" s="19" t="n">
        <s:v>7</s:v>
      </s:c>
      <s:c r="B9" s="19" t="n">
        <s:v>0</s:v>
      </s:c>
      <s:c r="C9" s="19" t="n">
        <s:v>0</s:v>
      </s:c>
      <s:c r="D9" s="19" t="n">
        <s:v>0</s:v>
      </s:c>
      <s:c r="E9" s="19" t="n">
        <s:v>0</s:v>
      </s:c>
      <s:c r="F9" s="19" t="n">
        <s:v>0</s:v>
      </s:c>
      <s:c r="G9" s="19" t="n">
        <s:v>1</s:v>
      </s:c>
      <s:c r="H9" s="19" t="n">
        <s:v>1</s:v>
      </s:c>
      <s:c r="I9" s="19" t="n">
        <s:v>1</s:v>
      </s:c>
      <s:c r="J9" s="4">
        <s:f>B9*Projects!N2+C9*Projects!N3+D9*Projects!N4+E9*Projects!N5+F9*Projects!N6+G9*Projects!N7+H9*Projects!N8+I9*Projects!N9</s:f>
        <s:v>11800000</s:v>
      </s:c>
      <s:c r="K9" s="3">
        <s:f>B9*Projects!C2+C9*Projects!C3+D9*Projects!C4+E9*Projects!C5+F9*Projects!C6+G9*Projects!C7+H9*Projects!C8+I9*Projects!C9</s:f>
        <s:v>280</s:v>
      </s:c>
      <s:c r="L9" s="3">
        <s:f>B9*Projects!D2+C9*Projects!D3+D9*Projects!D4+E9*Projects!D5+F9*Projects!D6+G9*Projects!D7+H9*Projects!D8+I9*Projects!D9</s:f>
        <s:v>133</s:v>
      </s:c>
      <s:c r="M9" s="4">
        <s:f>B9*Projects!O2+C9*Projects!O3+D9*Projects!O4+E9*Projects!O5+F9*Projects!O6+G9*Projects!O7+H9*Projects!O8+I9*Projects!O9</s:f>
        <s:v>10002180.023302346</s:v>
      </s:c>
      <s:c r="N9" s="3">
        <s:f>B9*(1-Projects!Q2)+C9*(1-Projects!Q3)+D9*(1-Projects!Q4)+E9*(1-Projects!Q5)+F9*(1-Projects!Q6)+G9*(1-Projects!Q7)+H9*(1-Projects!Q8)+I9*(1-Projects!Q9)</s:f>
        <s:v>0</s:v>
      </s:c>
      <s:c r="O9" s="3">
        <s:f>IF(AND(J9&lt;=Inputs!B2,L9&gt;=Inputs!B3,M9&gt;=Inputs!B18,N9=0),1,0)</s:f>
        <s:v>1</s:v>
      </s:c>
      <s:c r="P9" s="3">
        <s:f>IF(O9=1,L9,-1)</s:f>
        <s:v>133</s:v>
      </s:c>
      <s:c r="Q9" s="3">
        <s:f>IF(AND(O9=1,L9=MAX(P$2:P$257)),M9,-1E+99)</s:f>
        <s:v>-1e+99</s:v>
      </s:c>
    </s:row>
    <s:row r="10">
      <s:c r="A10" s="18" t="n">
        <s:v>8</s:v>
      </s:c>
      <s:c r="B10" s="18" t="n">
        <s:v>0</s:v>
      </s:c>
      <s:c r="C10" s="18" t="n">
        <s:v>0</s:v>
      </s:c>
      <s:c r="D10" s="18" t="n">
        <s:v>0</s:v>
      </s:c>
      <s:c r="E10" s="18" t="n">
        <s:v>0</s:v>
      </s:c>
      <s:c r="F10" s="18" t="n">
        <s:v>1</s:v>
      </s:c>
      <s:c r="G10" s="18" t="n">
        <s:v>0</s:v>
      </s:c>
      <s:c r="H10" s="18" t="n">
        <s:v>0</s:v>
      </s:c>
      <s:c r="I10" s="18" t="n">
        <s:v>0</s:v>
      </s:c>
      <s:c r="J10" s="5">
        <s:f>B10*Projects!N2+C10*Projects!N3+D10*Projects!N4+E10*Projects!N5+F10*Projects!N6+G10*Projects!N7+H10*Projects!N8+I10*Projects!N9</s:f>
        <s:v>3800000</s:v>
      </s:c>
      <s:c r="K10" s="2">
        <s:f>B10*Projects!C2+C10*Projects!C3+D10*Projects!C4+E10*Projects!C5+F10*Projects!C6+G10*Projects!C7+H10*Projects!C8+I10*Projects!C9</s:f>
        <s:v>90</s:v>
      </s:c>
      <s:c r="L10" s="2">
        <s:f>B10*Projects!D2+C10*Projects!D3+D10*Projects!D4+E10*Projects!D5+F10*Projects!D6+G10*Projects!D7+H10*Projects!D8+I10*Projects!D9</s:f>
        <s:v>45</s:v>
      </s:c>
      <s:c r="M10" s="5">
        <s:f>B10*Projects!O2+C10*Projects!O3+D10*Projects!O4+E10*Projects!O5+F10*Projects!O6+G10*Projects!O7+H10*Projects!O8+I10*Projects!O9</s:f>
        <s:v>3001962.3620080627</s:v>
      </s:c>
      <s:c r="N10" s="2">
        <s:f>B10*(1-Projects!Q2)+C10*(1-Projects!Q3)+D10*(1-Projects!Q4)+E10*(1-Projects!Q5)+F10*(1-Projects!Q6)+G10*(1-Projects!Q7)+H10*(1-Projects!Q8)+I10*(1-Projects!Q9)</s:f>
        <s:v>0</s:v>
      </s:c>
      <s:c r="O10" s="2">
        <s:f>IF(AND(J10&lt;=Inputs!B2,L10&gt;=Inputs!B3,M10&gt;=Inputs!B18,N10=0),1,0)</s:f>
        <s:v>0</s:v>
      </s:c>
      <s:c r="P10" s="2">
        <s:f>IF(O10=1,L10,-1)</s:f>
        <s:v>-1</s:v>
      </s:c>
      <s:c r="Q10" s="2">
        <s:f>IF(AND(O10=1,L10=MAX(P$2:P$257)),M10,-1E+99)</s:f>
        <s:v>-1e+99</s:v>
      </s:c>
    </s:row>
    <s:row r="11">
      <s:c r="A11" s="19" t="n">
        <s:v>9</s:v>
      </s:c>
      <s:c r="B11" s="19" t="n">
        <s:v>0</s:v>
      </s:c>
      <s:c r="C11" s="19" t="n">
        <s:v>0</s:v>
      </s:c>
      <s:c r="D11" s="19" t="n">
        <s:v>0</s:v>
      </s:c>
      <s:c r="E11" s="19" t="n">
        <s:v>0</s:v>
      </s:c>
      <s:c r="F11" s="19" t="n">
        <s:v>1</s:v>
      </s:c>
      <s:c r="G11" s="19" t="n">
        <s:v>0</s:v>
      </s:c>
      <s:c r="H11" s="19" t="n">
        <s:v>0</s:v>
      </s:c>
      <s:c r="I11" s="19" t="n">
        <s:v>1</s:v>
      </s:c>
      <s:c r="J11" s="4">
        <s:f>B11*Projects!N2+C11*Projects!N3+D11*Projects!N4+E11*Projects!N5+F11*Projects!N6+G11*Projects!N7+H11*Projects!N8+I11*Projects!N9</s:f>
        <s:v>8300000</s:v>
      </s:c>
      <s:c r="K11" s="3">
        <s:f>B11*Projects!C2+C11*Projects!C3+D11*Projects!C4+E11*Projects!C5+F11*Projects!C6+G11*Projects!C7+H11*Projects!C8+I11*Projects!C9</s:f>
        <s:v>180</s:v>
      </s:c>
      <s:c r="L11" s="3">
        <s:f>B11*Projects!D2+C11*Projects!D3+D11*Projects!D4+E11*Projects!D5+F11*Projects!D6+G11*Projects!D7+H11*Projects!D8+I11*Projects!D9</s:f>
        <s:v>72</s:v>
      </s:c>
      <s:c r="M11" s="4">
        <s:f>B11*Projects!O2+C11*Projects!O3+D11*Projects!O4+E11*Projects!O5+F11*Projects!O6+G11*Projects!O7+H11*Projects!O8+I11*Projects!O9</s:f>
        <s:v>7458589.787552098</s:v>
      </s:c>
      <s:c r="N11" s="3">
        <s:f>B11*(1-Projects!Q2)+C11*(1-Projects!Q3)+D11*(1-Projects!Q4)+E11*(1-Projects!Q5)+F11*(1-Projects!Q6)+G11*(1-Projects!Q7)+H11*(1-Projects!Q8)+I11*(1-Projects!Q9)</s:f>
        <s:v>0</s:v>
      </s:c>
      <s:c r="O11" s="3">
        <s:f>IF(AND(J11&lt;=Inputs!B2,L11&gt;=Inputs!B3,M11&gt;=Inputs!B18,N11=0),1,0)</s:f>
        <s:v>0</s:v>
      </s:c>
      <s:c r="P11" s="3">
        <s:f>IF(O11=1,L11,-1)</s:f>
        <s:v>-1</s:v>
      </s:c>
      <s:c r="Q11" s="3">
        <s:f>IF(AND(O11=1,L11=MAX(P$2:P$257)),M11,-1E+99)</s:f>
        <s:v>-1e+99</s:v>
      </s:c>
    </s:row>
    <s:row r="12">
      <s:c r="A12" s="18" t="n">
        <s:v>10</s:v>
      </s:c>
      <s:c r="B12" s="18" t="n">
        <s:v>0</s:v>
      </s:c>
      <s:c r="C12" s="18" t="n">
        <s:v>0</s:v>
      </s:c>
      <s:c r="D12" s="18" t="n">
        <s:v>0</s:v>
      </s:c>
      <s:c r="E12" s="18" t="n">
        <s:v>0</s:v>
      </s:c>
      <s:c r="F12" s="18" t="n">
        <s:v>1</s:v>
      </s:c>
      <s:c r="G12" s="18" t="n">
        <s:v>0</s:v>
      </s:c>
      <s:c r="H12" s="18" t="n">
        <s:v>1</s:v>
      </s:c>
      <s:c r="I12" s="18" t="n">
        <s:v>0</s:v>
      </s:c>
      <s:c r="J12" s="5">
        <s:f>B12*Projects!N2+C12*Projects!N3+D12*Projects!N4+E12*Projects!N5+F12*Projects!N6+G12*Projects!N7+H12*Projects!N8+I12*Projects!N9</s:f>
        <s:v>7900000</s:v>
      </s:c>
      <s:c r="K12" s="2">
        <s:f>B12*Projects!C2+C12*Projects!C3+D12*Projects!C4+E12*Projects!C5+F12*Projects!C6+G12*Projects!C7+H12*Projects!C8+I12*Projects!C9</s:f>
        <s:v>200</s:v>
      </s:c>
      <s:c r="L12" s="2">
        <s:f>B12*Projects!D2+C12*Projects!D3+D12*Projects!D4+E12*Projects!D5+F12*Projects!D6+G12*Projects!D7+H12*Projects!D8+I12*Projects!D9</s:f>
        <s:v>111</s:v>
      </s:c>
      <s:c r="M12" s="5">
        <s:f>B12*Projects!O2+C12*Projects!O3+D12*Projects!O4+E12*Projects!O5+F12*Projects!O6+G12*Projects!O7+H12*Projects!O8+I12*Projects!O9</s:f>
        <s:v>6037336.33989737</s:v>
      </s:c>
      <s:c r="N12" s="2">
        <s:f>B12*(1-Projects!Q2)+C12*(1-Projects!Q3)+D12*(1-Projects!Q4)+E12*(1-Projects!Q5)+F12*(1-Projects!Q6)+G12*(1-Projects!Q7)+H12*(1-Projects!Q8)+I12*(1-Projects!Q9)</s:f>
        <s:v>0</s:v>
      </s:c>
      <s:c r="O12" s="2">
        <s:f>IF(AND(J12&lt;=Inputs!B2,L12&gt;=Inputs!B3,M12&gt;=Inputs!B18,N12=0),1,0)</s:f>
        <s:v>1</s:v>
      </s:c>
      <s:c r="P12" s="2">
        <s:f>IF(O12=1,L12,-1)</s:f>
        <s:v>111</s:v>
      </s:c>
      <s:c r="Q12" s="2">
        <s:f>IF(AND(O12=1,L12=MAX(P$2:P$257)),M12,-1E+99)</s:f>
        <s:v>-1e+99</s:v>
      </s:c>
    </s:row>
    <s:row r="13">
      <s:c r="A13" s="19" t="n">
        <s:v>11</s:v>
      </s:c>
      <s:c r="B13" s="19" t="n">
        <s:v>0</s:v>
      </s:c>
      <s:c r="C13" s="19" t="n">
        <s:v>0</s:v>
      </s:c>
      <s:c r="D13" s="19" t="n">
        <s:v>0</s:v>
      </s:c>
      <s:c r="E13" s="19" t="n">
        <s:v>0</s:v>
      </s:c>
      <s:c r="F13" s="19" t="n">
        <s:v>1</s:v>
      </s:c>
      <s:c r="G13" s="19" t="n">
        <s:v>0</s:v>
      </s:c>
      <s:c r="H13" s="19" t="n">
        <s:v>1</s:v>
      </s:c>
      <s:c r="I13" s="19" t="n">
        <s:v>1</s:v>
      </s:c>
      <s:c r="J13" s="4">
        <s:f>B13*Projects!N2+C13*Projects!N3+D13*Projects!N4+E13*Projects!N5+F13*Projects!N6+G13*Projects!N7+H13*Projects!N8+I13*Projects!N9</s:f>
        <s:v>12400000</s:v>
      </s:c>
      <s:c r="K13" s="3">
        <s:f>B13*Projects!C2+C13*Projects!C3+D13*Projects!C4+E13*Projects!C5+F13*Projects!C6+G13*Projects!C7+H13*Projects!C8+I13*Projects!C9</s:f>
        <s:v>290</s:v>
      </s:c>
      <s:c r="L13" s="3">
        <s:f>B13*Projects!D2+C13*Projects!D3+D13*Projects!D4+E13*Projects!D5+F13*Projects!D6+G13*Projects!D7+H13*Projects!D8+I13*Projects!D9</s:f>
        <s:v>138</s:v>
      </s:c>
      <s:c r="M13" s="4">
        <s:f>B13*Projects!O2+C13*Projects!O3+D13*Projects!O4+E13*Projects!O5+F13*Projects!O6+G13*Projects!O7+H13*Projects!O8+I13*Projects!O9</s:f>
        <s:v>10493963.765441407</s:v>
      </s:c>
      <s:c r="N13" s="3">
        <s:f>B13*(1-Projects!Q2)+C13*(1-Projects!Q3)+D13*(1-Projects!Q4)+E13*(1-Projects!Q5)+F13*(1-Projects!Q6)+G13*(1-Projects!Q7)+H13*(1-Projects!Q8)+I13*(1-Projects!Q9)</s:f>
        <s:v>0</s:v>
      </s:c>
      <s:c r="O13" s="3">
        <s:f>IF(AND(J13&lt;=Inputs!B2,L13&gt;=Inputs!B3,M13&gt;=Inputs!B18,N13=0),1,0)</s:f>
        <s:v>1</s:v>
      </s:c>
      <s:c r="P13" s="3">
        <s:f>IF(O13=1,L13,-1)</s:f>
        <s:v>138</s:v>
      </s:c>
      <s:c r="Q13" s="3">
        <s:f>IF(AND(O13=1,L13=MAX(P$2:P$257)),M13,-1E+99)</s:f>
        <s:v>-1e+99</s:v>
      </s:c>
    </s:row>
    <s:row r="14">
      <s:c r="A14" s="18" t="n">
        <s:v>12</s:v>
      </s:c>
      <s:c r="B14" s="18" t="n">
        <s:v>0</s:v>
      </s:c>
      <s:c r="C14" s="18" t="n">
        <s:v>0</s:v>
      </s:c>
      <s:c r="D14" s="18" t="n">
        <s:v>0</s:v>
      </s:c>
      <s:c r="E14" s="18" t="n">
        <s:v>0</s:v>
      </s:c>
      <s:c r="F14" s="18" t="n">
        <s:v>1</s:v>
      </s:c>
      <s:c r="G14" s="18" t="n">
        <s:v>1</s:v>
      </s:c>
      <s:c r="H14" s="18" t="n">
        <s:v>0</s:v>
      </s:c>
      <s:c r="I14" s="18" t="n">
        <s:v>0</s:v>
      </s:c>
      <s:c r="J14" s="5">
        <s:f>B14*Projects!N2+C14*Projects!N3+D14*Projects!N4+E14*Projects!N5+F14*Projects!N6+G14*Projects!N7+H14*Projects!N8+I14*Projects!N9</s:f>
        <s:v>7000000</s:v>
      </s:c>
      <s:c r="K14" s="2">
        <s:f>B14*Projects!C2+C14*Projects!C3+D14*Projects!C4+E14*Projects!C5+F14*Projects!C6+G14*Projects!C7+H14*Projects!C8+I14*Projects!C9</s:f>
        <s:v>170</s:v>
      </s:c>
      <s:c r="L14" s="2">
        <s:f>B14*Projects!D2+C14*Projects!D3+D14*Projects!D4+E14*Projects!D5+F14*Projects!D6+G14*Projects!D7+H14*Projects!D8+I14*Projects!D9</s:f>
        <s:v>85</s:v>
      </s:c>
      <s:c r="M14" s="5">
        <s:f>B14*Projects!O2+C14*Projects!O3+D14*Projects!O4+E14*Projects!O5+F14*Projects!O6+G14*Projects!O7+H14*Projects!O8+I14*Projects!O9</s:f>
        <s:v>5512140.981877066</s:v>
      </s:c>
      <s:c r="N14" s="2">
        <s:f>B14*(1-Projects!Q2)+C14*(1-Projects!Q3)+D14*(1-Projects!Q4)+E14*(1-Projects!Q5)+F14*(1-Projects!Q6)+G14*(1-Projects!Q7)+H14*(1-Projects!Q8)+I14*(1-Projects!Q9)</s:f>
        <s:v>0</s:v>
      </s:c>
      <s:c r="O14" s="2">
        <s:f>IF(AND(J14&lt;=Inputs!B2,L14&gt;=Inputs!B3,M14&gt;=Inputs!B18,N14=0),1,0)</s:f>
        <s:v>1</s:v>
      </s:c>
      <s:c r="P14" s="2">
        <s:f>IF(O14=1,L14,-1)</s:f>
        <s:v>85</s:v>
      </s:c>
      <s:c r="Q14" s="2">
        <s:f>IF(AND(O14=1,L14=MAX(P$2:P$257)),M14,-1E+99)</s:f>
        <s:v>-1e+99</s:v>
      </s:c>
    </s:row>
    <s:row r="15">
      <s:c r="A15" s="19" t="n">
        <s:v>13</s:v>
      </s:c>
      <s:c r="B15" s="19" t="n">
        <s:v>0</s:v>
      </s:c>
      <s:c r="C15" s="19" t="n">
        <s:v>0</s:v>
      </s:c>
      <s:c r="D15" s="19" t="n">
        <s:v>0</s:v>
      </s:c>
      <s:c r="E15" s="19" t="n">
        <s:v>0</s:v>
      </s:c>
      <s:c r="F15" s="19" t="n">
        <s:v>1</s:v>
      </s:c>
      <s:c r="G15" s="19" t="n">
        <s:v>1</s:v>
      </s:c>
      <s:c r="H15" s="19" t="n">
        <s:v>0</s:v>
      </s:c>
      <s:c r="I15" s="19" t="n">
        <s:v>1</s:v>
      </s:c>
      <s:c r="J15" s="4">
        <s:f>B15*Projects!N2+C15*Projects!N3+D15*Projects!N4+E15*Projects!N5+F15*Projects!N6+G15*Projects!N7+H15*Projects!N8+I15*Projects!N9</s:f>
        <s:v>11500000</s:v>
      </s:c>
      <s:c r="K15" s="3">
        <s:f>B15*Projects!C2+C15*Projects!C3+D15*Projects!C4+E15*Projects!C5+F15*Projects!C6+G15*Projects!C7+H15*Projects!C8+I15*Projects!C9</s:f>
        <s:v>260</s:v>
      </s:c>
      <s:c r="L15" s="3">
        <s:f>B15*Projects!D2+C15*Projects!D3+D15*Projects!D4+E15*Projects!D5+F15*Projects!D6+G15*Projects!D7+H15*Projects!D8+I15*Projects!D9</s:f>
        <s:v>112</s:v>
      </s:c>
      <s:c r="M15" s="4">
        <s:f>B15*Projects!O2+C15*Projects!O3+D15*Projects!O4+E15*Projects!O5+F15*Projects!O6+G15*Projects!O7+H15*Projects!O8+I15*Projects!O9</s:f>
        <s:v>9968768.4074211</s:v>
      </s:c>
      <s:c r="N15" s="3">
        <s:f>B15*(1-Projects!Q2)+C15*(1-Projects!Q3)+D15*(1-Projects!Q4)+E15*(1-Projects!Q5)+F15*(1-Projects!Q6)+G15*(1-Projects!Q7)+H15*(1-Projects!Q8)+I15*(1-Projects!Q9)</s:f>
        <s:v>0</s:v>
      </s:c>
      <s:c r="O15" s="3">
        <s:f>IF(AND(J15&lt;=Inputs!B2,L15&gt;=Inputs!B3,M15&gt;=Inputs!B18,N15=0),1,0)</s:f>
        <s:v>1</s:v>
      </s:c>
      <s:c r="P15" s="3">
        <s:f>IF(O15=1,L15,-1)</s:f>
        <s:v>112</s:v>
      </s:c>
      <s:c r="Q15" s="3">
        <s:f>IF(AND(O15=1,L15=MAX(P$2:P$257)),M15,-1E+99)</s:f>
        <s:v>-1e+99</s:v>
      </s:c>
    </s:row>
    <s:row r="16">
      <s:c r="A16" s="18" t="n">
        <s:v>14</s:v>
      </s:c>
      <s:c r="B16" s="18" t="n">
        <s:v>0</s:v>
      </s:c>
      <s:c r="C16" s="18" t="n">
        <s:v>0</s:v>
      </s:c>
      <s:c r="D16" s="18" t="n">
        <s:v>0</s:v>
      </s:c>
      <s:c r="E16" s="18" t="n">
        <s:v>0</s:v>
      </s:c>
      <s:c r="F16" s="18" t="n">
        <s:v>1</s:v>
      </s:c>
      <s:c r="G16" s="18" t="n">
        <s:v>1</s:v>
      </s:c>
      <s:c r="H16" s="18" t="n">
        <s:v>1</s:v>
      </s:c>
      <s:c r="I16" s="18" t="n">
        <s:v>0</s:v>
      </s:c>
      <s:c r="J16" s="5">
        <s:f>B16*Projects!N2+C16*Projects!N3+D16*Projects!N4+E16*Projects!N5+F16*Projects!N6+G16*Projects!N7+H16*Projects!N8+I16*Projects!N9</s:f>
        <s:v>11100000</s:v>
      </s:c>
      <s:c r="K16" s="2">
        <s:f>B16*Projects!C2+C16*Projects!C3+D16*Projects!C4+E16*Projects!C5+F16*Projects!C6+G16*Projects!C7+H16*Projects!C8+I16*Projects!C9</s:f>
        <s:v>280</s:v>
      </s:c>
      <s:c r="L16" s="2">
        <s:f>B16*Projects!D2+C16*Projects!D3+D16*Projects!D4+E16*Projects!D5+F16*Projects!D6+G16*Projects!D7+H16*Projects!D8+I16*Projects!D9</s:f>
        <s:v>151</s:v>
      </s:c>
      <s:c r="M16" s="5">
        <s:f>B16*Projects!O2+C16*Projects!O3+D16*Projects!O4+E16*Projects!O5+F16*Projects!O6+G16*Projects!O7+H16*Projects!O8+I16*Projects!O9</s:f>
        <s:v>8547514.959766373</s:v>
      </s:c>
      <s:c r="N16" s="2">
        <s:f>B16*(1-Projects!Q2)+C16*(1-Projects!Q3)+D16*(1-Projects!Q4)+E16*(1-Projects!Q5)+F16*(1-Projects!Q6)+G16*(1-Projects!Q7)+H16*(1-Projects!Q8)+I16*(1-Projects!Q9)</s:f>
        <s:v>0</s:v>
      </s:c>
      <s:c r="O16" s="2">
        <s:f>IF(AND(J16&lt;=Inputs!B2,L16&gt;=Inputs!B3,M16&gt;=Inputs!B18,N16=0),1,0)</s:f>
        <s:v>1</s:v>
      </s:c>
      <s:c r="P16" s="2">
        <s:f>IF(O16=1,L16,-1)</s:f>
        <s:v>151</s:v>
      </s:c>
      <s:c r="Q16" s="2">
        <s:f>IF(AND(O16=1,L16=MAX(P$2:P$257)),M16,-1E+99)</s:f>
        <s:v>-1e+99</s:v>
      </s:c>
    </s:row>
    <s:row r="17">
      <s:c r="A17" s="19" t="n">
        <s:v>15</s:v>
      </s:c>
      <s:c r="B17" s="19" t="n">
        <s:v>0</s:v>
      </s:c>
      <s:c r="C17" s="19" t="n">
        <s:v>0</s:v>
      </s:c>
      <s:c r="D17" s="19" t="n">
        <s:v>0</s:v>
      </s:c>
      <s:c r="E17" s="19" t="n">
        <s:v>0</s:v>
      </s:c>
      <s:c r="F17" s="19" t="n">
        <s:v>1</s:v>
      </s:c>
      <s:c r="G17" s="19" t="n">
        <s:v>1</s:v>
      </s:c>
      <s:c r="H17" s="19" t="n">
        <s:v>1</s:v>
      </s:c>
      <s:c r="I17" s="19" t="n">
        <s:v>1</s:v>
      </s:c>
      <s:c r="J17" s="4">
        <s:f>B17*Projects!N2+C17*Projects!N3+D17*Projects!N4+E17*Projects!N5+F17*Projects!N6+G17*Projects!N7+H17*Projects!N8+I17*Projects!N9</s:f>
        <s:v>15600000</s:v>
      </s:c>
      <s:c r="K17" s="3">
        <s:f>B17*Projects!C2+C17*Projects!C3+D17*Projects!C4+E17*Projects!C5+F17*Projects!C6+G17*Projects!C7+H17*Projects!C8+I17*Projects!C9</s:f>
        <s:v>370</s:v>
      </s:c>
      <s:c r="L17" s="3">
        <s:f>B17*Projects!D2+C17*Projects!D3+D17*Projects!D4+E17*Projects!D5+F17*Projects!D6+G17*Projects!D7+H17*Projects!D8+I17*Projects!D9</s:f>
        <s:v>178</s:v>
      </s:c>
      <s:c r="M17" s="4">
        <s:f>B17*Projects!O2+C17*Projects!O3+D17*Projects!O4+E17*Projects!O5+F17*Projects!O6+G17*Projects!O7+H17*Projects!O8+I17*Projects!O9</s:f>
        <s:v>13004142.385310408</s:v>
      </s:c>
      <s:c r="N17" s="3">
        <s:f>B17*(1-Projects!Q2)+C17*(1-Projects!Q3)+D17*(1-Projects!Q4)+E17*(1-Projects!Q5)+F17*(1-Projects!Q6)+G17*(1-Projects!Q7)+H17*(1-Projects!Q8)+I17*(1-Projects!Q9)</s:f>
        <s:v>0</s:v>
      </s:c>
      <s:c r="O17" s="3">
        <s:f>IF(AND(J17&lt;=Inputs!B2,L17&gt;=Inputs!B3,M17&gt;=Inputs!B18,N17=0),1,0)</s:f>
        <s:v>0</s:v>
      </s:c>
      <s:c r="P17" s="3">
        <s:f>IF(O17=1,L17,-1)</s:f>
        <s:v>-1</s:v>
      </s:c>
      <s:c r="Q17" s="3">
        <s:f>IF(AND(O17=1,L17=MAX(P$2:P$257)),M17,-1E+99)</s:f>
        <s:v>-1e+99</s:v>
      </s:c>
    </s:row>
    <s:row r="18">
      <s:c r="A18" s="18" t="n">
        <s:v>16</s:v>
      </s:c>
      <s:c r="B18" s="18" t="n">
        <s:v>0</s:v>
      </s:c>
      <s:c r="C18" s="18" t="n">
        <s:v>0</s:v>
      </s:c>
      <s:c r="D18" s="18" t="n">
        <s:v>0</s:v>
      </s:c>
      <s:c r="E18" s="18" t="n">
        <s:v>1</s:v>
      </s:c>
      <s:c r="F18" s="18" t="n">
        <s:v>0</s:v>
      </s:c>
      <s:c r="G18" s="18" t="n">
        <s:v>0</s:v>
      </s:c>
      <s:c r="H18" s="18" t="n">
        <s:v>0</s:v>
      </s:c>
      <s:c r="I18" s="18" t="n">
        <s:v>0</s:v>
      </s:c>
      <s:c r="J18" s="5">
        <s:f>B18*Projects!N2+C18*Projects!N3+D18*Projects!N4+E18*Projects!N5+F18*Projects!N6+G18*Projects!N7+H18*Projects!N8+I18*Projects!N9</s:f>
        <s:v>3400000</s:v>
      </s:c>
      <s:c r="K18" s="2">
        <s:f>B18*Projects!C2+C18*Projects!C3+D18*Projects!C4+E18*Projects!C5+F18*Projects!C6+G18*Projects!C7+H18*Projects!C8+I18*Projects!C9</s:f>
        <s:v>70</s:v>
      </s:c>
      <s:c r="L18" s="2">
        <s:f>B18*Projects!D2+C18*Projects!D3+D18*Projects!D4+E18*Projects!D5+F18*Projects!D6+G18*Projects!D7+H18*Projects!D8+I18*Projects!D9</s:f>
        <s:v>21</s:v>
      </s:c>
      <s:c r="M18" s="5">
        <s:f>B18*Projects!O2+C18*Projects!O3+D18*Projects!O4+E18*Projects!O5+F18*Projects!O6+G18*Projects!O7+H18*Projects!O8+I18*Projects!O9</s:f>
        <s:v>3316358.2290676017</s:v>
      </s:c>
      <s:c r="N18" s="2">
        <s:f>B18*(1-Projects!Q2)+C18*(1-Projects!Q3)+D18*(1-Projects!Q4)+E18*(1-Projects!Q5)+F18*(1-Projects!Q6)+G18*(1-Projects!Q7)+H18*(1-Projects!Q8)+I18*(1-Projects!Q9)</s:f>
        <s:v>0</s:v>
      </s:c>
      <s:c r="O18" s="2">
        <s:f>IF(AND(J18&lt;=Inputs!B2,L18&gt;=Inputs!B3,M18&gt;=Inputs!B18,N18=0),1,0)</s:f>
        <s:v>0</s:v>
      </s:c>
      <s:c r="P18" s="2">
        <s:f>IF(O18=1,L18,-1)</s:f>
        <s:v>-1</s:v>
      </s:c>
      <s:c r="Q18" s="2">
        <s:f>IF(AND(O18=1,L18=MAX(P$2:P$257)),M18,-1E+99)</s:f>
        <s:v>-1e+99</s:v>
      </s:c>
    </s:row>
    <s:row r="19">
      <s:c r="A19" s="19" t="n">
        <s:v>17</s:v>
      </s:c>
      <s:c r="B19" s="19" t="n">
        <s:v>0</s:v>
      </s:c>
      <s:c r="C19" s="19" t="n">
        <s:v>0</s:v>
      </s:c>
      <s:c r="D19" s="19" t="n">
        <s:v>0</s:v>
      </s:c>
      <s:c r="E19" s="19" t="n">
        <s:v>1</s:v>
      </s:c>
      <s:c r="F19" s="19" t="n">
        <s:v>0</s:v>
      </s:c>
      <s:c r="G19" s="19" t="n">
        <s:v>0</s:v>
      </s:c>
      <s:c r="H19" s="19" t="n">
        <s:v>0</s:v>
      </s:c>
      <s:c r="I19" s="19" t="n">
        <s:v>1</s:v>
      </s:c>
      <s:c r="J19" s="4">
        <s:f>B19*Projects!N2+C19*Projects!N3+D19*Projects!N4+E19*Projects!N5+F19*Projects!N6+G19*Projects!N7+H19*Projects!N8+I19*Projects!N9</s:f>
        <s:v>7900000</s:v>
      </s:c>
      <s:c r="K19" s="3">
        <s:f>B19*Projects!C2+C19*Projects!C3+D19*Projects!C4+E19*Projects!C5+F19*Projects!C6+G19*Projects!C7+H19*Projects!C8+I19*Projects!C9</s:f>
        <s:v>160</s:v>
      </s:c>
      <s:c r="L19" s="3">
        <s:f>B19*Projects!D2+C19*Projects!D3+D19*Projects!D4+E19*Projects!D5+F19*Projects!D6+G19*Projects!D7+H19*Projects!D8+I19*Projects!D9</s:f>
        <s:v>48</s:v>
      </s:c>
      <s:c r="M19" s="4">
        <s:f>B19*Projects!O2+C19*Projects!O3+D19*Projects!O4+E19*Projects!O5+F19*Projects!O6+G19*Projects!O7+H19*Projects!O8+I19*Projects!O9</s:f>
        <s:v>7772985.654611638</s:v>
      </s:c>
      <s:c r="N19" s="3">
        <s:f>B19*(1-Projects!Q2)+C19*(1-Projects!Q3)+D19*(1-Projects!Q4)+E19*(1-Projects!Q5)+F19*(1-Projects!Q6)+G19*(1-Projects!Q7)+H19*(1-Projects!Q8)+I19*(1-Projects!Q9)</s:f>
        <s:v>0</s:v>
      </s:c>
      <s:c r="O19" s="3">
        <s:f>IF(AND(J19&lt;=Inputs!B2,L19&gt;=Inputs!B3,M19&gt;=Inputs!B18,N19=0),1,0)</s:f>
        <s:v>0</s:v>
      </s:c>
      <s:c r="P19" s="3">
        <s:f>IF(O19=1,L19,-1)</s:f>
        <s:v>-1</s:v>
      </s:c>
      <s:c r="Q19" s="3">
        <s:f>IF(AND(O19=1,L19=MAX(P$2:P$257)),M19,-1E+99)</s:f>
        <s:v>-1e+99</s:v>
      </s:c>
    </s:row>
    <s:row r="20">
      <s:c r="A20" s="18" t="n">
        <s:v>18</s:v>
      </s:c>
      <s:c r="B20" s="18" t="n">
        <s:v>0</s:v>
      </s:c>
      <s:c r="C20" s="18" t="n">
        <s:v>0</s:v>
      </s:c>
      <s:c r="D20" s="18" t="n">
        <s:v>0</s:v>
      </s:c>
      <s:c r="E20" s="18" t="n">
        <s:v>1</s:v>
      </s:c>
      <s:c r="F20" s="18" t="n">
        <s:v>0</s:v>
      </s:c>
      <s:c r="G20" s="18" t="n">
        <s:v>0</s:v>
      </s:c>
      <s:c r="H20" s="18" t="n">
        <s:v>1</s:v>
      </s:c>
      <s:c r="I20" s="18" t="n">
        <s:v>0</s:v>
      </s:c>
      <s:c r="J20" s="5">
        <s:f>B20*Projects!N2+C20*Projects!N3+D20*Projects!N4+E20*Projects!N5+F20*Projects!N6+G20*Projects!N7+H20*Projects!N8+I20*Projects!N9</s:f>
        <s:v>7500000</s:v>
      </s:c>
      <s:c r="K20" s="2">
        <s:f>B20*Projects!C2+C20*Projects!C3+D20*Projects!C4+E20*Projects!C5+F20*Projects!C6+G20*Projects!C7+H20*Projects!C8+I20*Projects!C9</s:f>
        <s:v>180</s:v>
      </s:c>
      <s:c r="L20" s="2">
        <s:f>B20*Projects!D2+C20*Projects!D3+D20*Projects!D4+E20*Projects!D5+F20*Projects!D6+G20*Projects!D7+H20*Projects!D8+I20*Projects!D9</s:f>
        <s:v>87</s:v>
      </s:c>
      <s:c r="M20" s="5">
        <s:f>B20*Projects!O2+C20*Projects!O3+D20*Projects!O4+E20*Projects!O5+F20*Projects!O6+G20*Projects!O7+H20*Projects!O8+I20*Projects!O9</s:f>
        <s:v>6351732.206956909</s:v>
      </s:c>
      <s:c r="N20" s="2">
        <s:f>B20*(1-Projects!Q2)+C20*(1-Projects!Q3)+D20*(1-Projects!Q4)+E20*(1-Projects!Q5)+F20*(1-Projects!Q6)+G20*(1-Projects!Q7)+H20*(1-Projects!Q8)+I20*(1-Projects!Q9)</s:f>
        <s:v>0</s:v>
      </s:c>
      <s:c r="O20" s="2">
        <s:f>IF(AND(J20&lt;=Inputs!B2,L20&gt;=Inputs!B3,M20&gt;=Inputs!B18,N20=0),1,0)</s:f>
        <s:v>1</s:v>
      </s:c>
      <s:c r="P20" s="2">
        <s:f>IF(O20=1,L20,-1)</s:f>
        <s:v>87</s:v>
      </s:c>
      <s:c r="Q20" s="2">
        <s:f>IF(AND(O20=1,L20=MAX(P$2:P$257)),M20,-1E+99)</s:f>
        <s:v>-1e+99</s:v>
      </s:c>
    </s:row>
    <s:row r="21">
      <s:c r="A21" s="19" t="n">
        <s:v>19</s:v>
      </s:c>
      <s:c r="B21" s="19" t="n">
        <s:v>0</s:v>
      </s:c>
      <s:c r="C21" s="19" t="n">
        <s:v>0</s:v>
      </s:c>
      <s:c r="D21" s="19" t="n">
        <s:v>0</s:v>
      </s:c>
      <s:c r="E21" s="19" t="n">
        <s:v>1</s:v>
      </s:c>
      <s:c r="F21" s="19" t="n">
        <s:v>0</s:v>
      </s:c>
      <s:c r="G21" s="19" t="n">
        <s:v>0</s:v>
      </s:c>
      <s:c r="H21" s="19" t="n">
        <s:v>1</s:v>
      </s:c>
      <s:c r="I21" s="19" t="n">
        <s:v>1</s:v>
      </s:c>
      <s:c r="J21" s="4">
        <s:f>B21*Projects!N2+C21*Projects!N3+D21*Projects!N4+E21*Projects!N5+F21*Projects!N6+G21*Projects!N7+H21*Projects!N8+I21*Projects!N9</s:f>
        <s:v>12000000</s:v>
      </s:c>
      <s:c r="K21" s="3">
        <s:f>B21*Projects!C2+C21*Projects!C3+D21*Projects!C4+E21*Projects!C5+F21*Projects!C6+G21*Projects!C7+H21*Projects!C8+I21*Projects!C9</s:f>
        <s:v>270</s:v>
      </s:c>
      <s:c r="L21" s="3">
        <s:f>B21*Projects!D2+C21*Projects!D3+D21*Projects!D4+E21*Projects!D5+F21*Projects!D6+G21*Projects!D7+H21*Projects!D8+I21*Projects!D9</s:f>
        <s:v>114</s:v>
      </s:c>
      <s:c r="M21" s="4">
        <s:f>B21*Projects!O2+C21*Projects!O3+D21*Projects!O4+E21*Projects!O5+F21*Projects!O6+G21*Projects!O7+H21*Projects!O8+I21*Projects!O9</s:f>
        <s:v>10808359.632500945</s:v>
      </s:c>
      <s:c r="N21" s="3">
        <s:f>B21*(1-Projects!Q2)+C21*(1-Projects!Q3)+D21*(1-Projects!Q4)+E21*(1-Projects!Q5)+F21*(1-Projects!Q6)+G21*(1-Projects!Q7)+H21*(1-Projects!Q8)+I21*(1-Projects!Q9)</s:f>
        <s:v>0</s:v>
      </s:c>
      <s:c r="O21" s="3">
        <s:f>IF(AND(J21&lt;=Inputs!B2,L21&gt;=Inputs!B3,M21&gt;=Inputs!B18,N21=0),1,0)</s:f>
        <s:v>1</s:v>
      </s:c>
      <s:c r="P21" s="3">
        <s:f>IF(O21=1,L21,-1)</s:f>
        <s:v>114</s:v>
      </s:c>
      <s:c r="Q21" s="3">
        <s:f>IF(AND(O21=1,L21=MAX(P$2:P$257)),M21,-1E+99)</s:f>
        <s:v>-1e+99</s:v>
      </s:c>
    </s:row>
    <s:row r="22">
      <s:c r="A22" s="18" t="n">
        <s:v>20</s:v>
      </s:c>
      <s:c r="B22" s="18" t="n">
        <s:v>0</s:v>
      </s:c>
      <s:c r="C22" s="18" t="n">
        <s:v>0</s:v>
      </s:c>
      <s:c r="D22" s="18" t="n">
        <s:v>0</s:v>
      </s:c>
      <s:c r="E22" s="18" t="n">
        <s:v>1</s:v>
      </s:c>
      <s:c r="F22" s="18" t="n">
        <s:v>0</s:v>
      </s:c>
      <s:c r="G22" s="18" t="n">
        <s:v>1</s:v>
      </s:c>
      <s:c r="H22" s="18" t="n">
        <s:v>0</s:v>
      </s:c>
      <s:c r="I22" s="18" t="n">
        <s:v>0</s:v>
      </s:c>
      <s:c r="J22" s="5">
        <s:f>B22*Projects!N2+C22*Projects!N3+D22*Projects!N4+E22*Projects!N5+F22*Projects!N6+G22*Projects!N7+H22*Projects!N8+I22*Projects!N9</s:f>
        <s:v>6600000</s:v>
      </s:c>
      <s:c r="K22" s="2">
        <s:f>B22*Projects!C2+C22*Projects!C3+D22*Projects!C4+E22*Projects!C5+F22*Projects!C6+G22*Projects!C7+H22*Projects!C8+I22*Projects!C9</s:f>
        <s:v>150</s:v>
      </s:c>
      <s:c r="L22" s="2">
        <s:f>B22*Projects!D2+C22*Projects!D3+D22*Projects!D4+E22*Projects!D5+F22*Projects!D6+G22*Projects!D7+H22*Projects!D8+I22*Projects!D9</s:f>
        <s:v>61</s:v>
      </s:c>
      <s:c r="M22" s="5">
        <s:f>B22*Projects!O2+C22*Projects!O3+D22*Projects!O4+E22*Projects!O5+F22*Projects!O6+G22*Projects!O7+H22*Projects!O8+I22*Projects!O9</s:f>
        <s:v>5826536.848936604</s:v>
      </s:c>
      <s:c r="N22" s="2">
        <s:f>B22*(1-Projects!Q2)+C22*(1-Projects!Q3)+D22*(1-Projects!Q4)+E22*(1-Projects!Q5)+F22*(1-Projects!Q6)+G22*(1-Projects!Q7)+H22*(1-Projects!Q8)+I22*(1-Projects!Q9)</s:f>
        <s:v>0</s:v>
      </s:c>
      <s:c r="O22" s="2">
        <s:f>IF(AND(J22&lt;=Inputs!B2,L22&gt;=Inputs!B3,M22&gt;=Inputs!B18,N22=0),1,0)</s:f>
        <s:v>0</s:v>
      </s:c>
      <s:c r="P22" s="2">
        <s:f>IF(O22=1,L22,-1)</s:f>
        <s:v>-1</s:v>
      </s:c>
      <s:c r="Q22" s="2">
        <s:f>IF(AND(O22=1,L22=MAX(P$2:P$257)),M22,-1E+99)</s:f>
        <s:v>-1e+99</s:v>
      </s:c>
    </s:row>
    <s:row r="23">
      <s:c r="A23" s="19" t="n">
        <s:v>21</s:v>
      </s:c>
      <s:c r="B23" s="19" t="n">
        <s:v>0</s:v>
      </s:c>
      <s:c r="C23" s="19" t="n">
        <s:v>0</s:v>
      </s:c>
      <s:c r="D23" s="19" t="n">
        <s:v>0</s:v>
      </s:c>
      <s:c r="E23" s="19" t="n">
        <s:v>1</s:v>
      </s:c>
      <s:c r="F23" s="19" t="n">
        <s:v>0</s:v>
      </s:c>
      <s:c r="G23" s="19" t="n">
        <s:v>1</s:v>
      </s:c>
      <s:c r="H23" s="19" t="n">
        <s:v>0</s:v>
      </s:c>
      <s:c r="I23" s="19" t="n">
        <s:v>1</s:v>
      </s:c>
      <s:c r="J23" s="4">
        <s:f>B23*Projects!N2+C23*Projects!N3+D23*Projects!N4+E23*Projects!N5+F23*Projects!N6+G23*Projects!N7+H23*Projects!N8+I23*Projects!N9</s:f>
        <s:v>11100000</s:v>
      </s:c>
      <s:c r="K23" s="3">
        <s:f>B23*Projects!C2+C23*Projects!C3+D23*Projects!C4+E23*Projects!C5+F23*Projects!C6+G23*Projects!C7+H23*Projects!C8+I23*Projects!C9</s:f>
        <s:v>240</s:v>
      </s:c>
      <s:c r="L23" s="3">
        <s:f>B23*Projects!D2+C23*Projects!D3+D23*Projects!D4+E23*Projects!D5+F23*Projects!D6+G23*Projects!D7+H23*Projects!D8+I23*Projects!D9</s:f>
        <s:v>88</s:v>
      </s:c>
      <s:c r="M23" s="4">
        <s:f>B23*Projects!O2+C23*Projects!O3+D23*Projects!O4+E23*Projects!O5+F23*Projects!O6+G23*Projects!O7+H23*Projects!O8+I23*Projects!O9</s:f>
        <s:v>10283164.27448064</s:v>
      </s:c>
      <s:c r="N23" s="3">
        <s:f>B23*(1-Projects!Q2)+C23*(1-Projects!Q3)+D23*(1-Projects!Q4)+E23*(1-Projects!Q5)+F23*(1-Projects!Q6)+G23*(1-Projects!Q7)+H23*(1-Projects!Q8)+I23*(1-Projects!Q9)</s:f>
        <s:v>0</s:v>
      </s:c>
      <s:c r="O23" s="3">
        <s:f>IF(AND(J23&lt;=Inputs!B2,L23&gt;=Inputs!B3,M23&gt;=Inputs!B18,N23=0),1,0)</s:f>
        <s:v>1</s:v>
      </s:c>
      <s:c r="P23" s="3">
        <s:f>IF(O23=1,L23,-1)</s:f>
        <s:v>88</s:v>
      </s:c>
      <s:c r="Q23" s="3">
        <s:f>IF(AND(O23=1,L23=MAX(P$2:P$257)),M23,-1E+99)</s:f>
        <s:v>-1e+99</s:v>
      </s:c>
    </s:row>
    <s:row r="24">
      <s:c r="A24" s="18" t="n">
        <s:v>22</s:v>
      </s:c>
      <s:c r="B24" s="18" t="n">
        <s:v>0</s:v>
      </s:c>
      <s:c r="C24" s="18" t="n">
        <s:v>0</s:v>
      </s:c>
      <s:c r="D24" s="18" t="n">
        <s:v>0</s:v>
      </s:c>
      <s:c r="E24" s="18" t="n">
        <s:v>1</s:v>
      </s:c>
      <s:c r="F24" s="18" t="n">
        <s:v>0</s:v>
      </s:c>
      <s:c r="G24" s="18" t="n">
        <s:v>1</s:v>
      </s:c>
      <s:c r="H24" s="18" t="n">
        <s:v>1</s:v>
      </s:c>
      <s:c r="I24" s="18" t="n">
        <s:v>0</s:v>
      </s:c>
      <s:c r="J24" s="5">
        <s:f>B24*Projects!N2+C24*Projects!N3+D24*Projects!N4+E24*Projects!N5+F24*Projects!N6+G24*Projects!N7+H24*Projects!N8+I24*Projects!N9</s:f>
        <s:v>10700000</s:v>
      </s:c>
      <s:c r="K24" s="2">
        <s:f>B24*Projects!C2+C24*Projects!C3+D24*Projects!C4+E24*Projects!C5+F24*Projects!C6+G24*Projects!C7+H24*Projects!C8+I24*Projects!C9</s:f>
        <s:v>260</s:v>
      </s:c>
      <s:c r="L24" s="2">
        <s:f>B24*Projects!D2+C24*Projects!D3+D24*Projects!D4+E24*Projects!D5+F24*Projects!D6+G24*Projects!D7+H24*Projects!D8+I24*Projects!D9</s:f>
        <s:v>127</s:v>
      </s:c>
      <s:c r="M24" s="5">
        <s:f>B24*Projects!O2+C24*Projects!O3+D24*Projects!O4+E24*Projects!O5+F24*Projects!O6+G24*Projects!O7+H24*Projects!O8+I24*Projects!O9</s:f>
        <s:v>8861910.826825911</s:v>
      </s:c>
      <s:c r="N24" s="2">
        <s:f>B24*(1-Projects!Q2)+C24*(1-Projects!Q3)+D24*(1-Projects!Q4)+E24*(1-Projects!Q5)+F24*(1-Projects!Q6)+G24*(1-Projects!Q7)+H24*(1-Projects!Q8)+I24*(1-Projects!Q9)</s:f>
        <s:v>0</s:v>
      </s:c>
      <s:c r="O24" s="2">
        <s:f>IF(AND(J24&lt;=Inputs!B2,L24&gt;=Inputs!B3,M24&gt;=Inputs!B18,N24=0),1,0)</s:f>
        <s:v>1</s:v>
      </s:c>
      <s:c r="P24" s="2">
        <s:f>IF(O24=1,L24,-1)</s:f>
        <s:v>127</s:v>
      </s:c>
      <s:c r="Q24" s="2">
        <s:f>IF(AND(O24=1,L24=MAX(P$2:P$257)),M24,-1E+99)</s:f>
        <s:v>-1e+99</s:v>
      </s:c>
    </s:row>
    <s:row r="25">
      <s:c r="A25" s="19" t="n">
        <s:v>23</s:v>
      </s:c>
      <s:c r="B25" s="19" t="n">
        <s:v>0</s:v>
      </s:c>
      <s:c r="C25" s="19" t="n">
        <s:v>0</s:v>
      </s:c>
      <s:c r="D25" s="19" t="n">
        <s:v>0</s:v>
      </s:c>
      <s:c r="E25" s="19" t="n">
        <s:v>1</s:v>
      </s:c>
      <s:c r="F25" s="19" t="n">
        <s:v>0</s:v>
      </s:c>
      <s:c r="G25" s="19" t="n">
        <s:v>1</s:v>
      </s:c>
      <s:c r="H25" s="19" t="n">
        <s:v>1</s:v>
      </s:c>
      <s:c r="I25" s="19" t="n">
        <s:v>1</s:v>
      </s:c>
      <s:c r="J25" s="4">
        <s:f>B25*Projects!N2+C25*Projects!N3+D25*Projects!N4+E25*Projects!N5+F25*Projects!N6+G25*Projects!N7+H25*Projects!N8+I25*Projects!N9</s:f>
        <s:v>15200000</s:v>
      </s:c>
      <s:c r="K25" s="3">
        <s:f>B25*Projects!C2+C25*Projects!C3+D25*Projects!C4+E25*Projects!C5+F25*Projects!C6+G25*Projects!C7+H25*Projects!C8+I25*Projects!C9</s:f>
        <s:v>350</s:v>
      </s:c>
      <s:c r="L25" s="3">
        <s:f>B25*Projects!D2+C25*Projects!D3+D25*Projects!D4+E25*Projects!D5+F25*Projects!D6+G25*Projects!D7+H25*Projects!D8+I25*Projects!D9</s:f>
        <s:v>154</s:v>
      </s:c>
      <s:c r="M25" s="4">
        <s:f>B25*Projects!O2+C25*Projects!O3+D25*Projects!O4+E25*Projects!O5+F25*Projects!O6+G25*Projects!O7+H25*Projects!O8+I25*Projects!O9</s:f>
        <s:v>13318538.252369948</s:v>
      </s:c>
      <s:c r="N25" s="3">
        <s:f>B25*(1-Projects!Q2)+C25*(1-Projects!Q3)+D25*(1-Projects!Q4)+E25*(1-Projects!Q5)+F25*(1-Projects!Q6)+G25*(1-Projects!Q7)+H25*(1-Projects!Q8)+I25*(1-Projects!Q9)</s:f>
        <s:v>0</s:v>
      </s:c>
      <s:c r="O25" s="3">
        <s:f>IF(AND(J25&lt;=Inputs!B2,L25&gt;=Inputs!B3,M25&gt;=Inputs!B18,N25=0),1,0)</s:f>
        <s:v>0</s:v>
      </s:c>
      <s:c r="P25" s="3">
        <s:f>IF(O25=1,L25,-1)</s:f>
        <s:v>-1</s:v>
      </s:c>
      <s:c r="Q25" s="3">
        <s:f>IF(AND(O25=1,L25=MAX(P$2:P$257)),M25,-1E+99)</s:f>
        <s:v>-1e+99</s:v>
      </s:c>
    </s:row>
    <s:row r="26">
      <s:c r="A26" s="18" t="n">
        <s:v>24</s:v>
      </s:c>
      <s:c r="B26" s="18" t="n">
        <s:v>0</s:v>
      </s:c>
      <s:c r="C26" s="18" t="n">
        <s:v>0</s:v>
      </s:c>
      <s:c r="D26" s="18" t="n">
        <s:v>0</s:v>
      </s:c>
      <s:c r="E26" s="18" t="n">
        <s:v>1</s:v>
      </s:c>
      <s:c r="F26" s="18" t="n">
        <s:v>1</s:v>
      </s:c>
      <s:c r="G26" s="18" t="n">
        <s:v>0</s:v>
      </s:c>
      <s:c r="H26" s="18" t="n">
        <s:v>0</s:v>
      </s:c>
      <s:c r="I26" s="18" t="n">
        <s:v>0</s:v>
      </s:c>
      <s:c r="J26" s="5">
        <s:f>B26*Projects!N2+C26*Projects!N3+D26*Projects!N4+E26*Projects!N5+F26*Projects!N6+G26*Projects!N7+H26*Projects!N8+I26*Projects!N9</s:f>
        <s:v>7200000</s:v>
      </s:c>
      <s:c r="K26" s="2">
        <s:f>B26*Projects!C2+C26*Projects!C3+D26*Projects!C4+E26*Projects!C5+F26*Projects!C6+G26*Projects!C7+H26*Projects!C8+I26*Projects!C9</s:f>
        <s:v>160</s:v>
      </s:c>
      <s:c r="L26" s="2">
        <s:f>B26*Projects!D2+C26*Projects!D3+D26*Projects!D4+E26*Projects!D5+F26*Projects!D6+G26*Projects!D7+H26*Projects!D8+I26*Projects!D9</s:f>
        <s:v>66</s:v>
      </s:c>
      <s:c r="M26" s="5">
        <s:f>B26*Projects!O2+C26*Projects!O3+D26*Projects!O4+E26*Projects!O5+F26*Projects!O6+G26*Projects!O7+H26*Projects!O8+I26*Projects!O9</s:f>
        <s:v>6318320.591075664</s:v>
      </s:c>
      <s:c r="N26" s="2">
        <s:f>B26*(1-Projects!Q2)+C26*(1-Projects!Q3)+D26*(1-Projects!Q4)+E26*(1-Projects!Q5)+F26*(1-Projects!Q6)+G26*(1-Projects!Q7)+H26*(1-Projects!Q8)+I26*(1-Projects!Q9)</s:f>
        <s:v>0</s:v>
      </s:c>
      <s:c r="O26" s="2">
        <s:f>IF(AND(J26&lt;=Inputs!B2,L26&gt;=Inputs!B3,M26&gt;=Inputs!B18,N26=0),1,0)</s:f>
        <s:v>0</s:v>
      </s:c>
      <s:c r="P26" s="2">
        <s:f>IF(O26=1,L26,-1)</s:f>
        <s:v>-1</s:v>
      </s:c>
      <s:c r="Q26" s="2">
        <s:f>IF(AND(O26=1,L26=MAX(P$2:P$257)),M26,-1E+99)</s:f>
        <s:v>-1e+99</s:v>
      </s:c>
    </s:row>
    <s:row r="27">
      <s:c r="A27" s="19" t="n">
        <s:v>25</s:v>
      </s:c>
      <s:c r="B27" s="19" t="n">
        <s:v>0</s:v>
      </s:c>
      <s:c r="C27" s="19" t="n">
        <s:v>0</s:v>
      </s:c>
      <s:c r="D27" s="19" t="n">
        <s:v>0</s:v>
      </s:c>
      <s:c r="E27" s="19" t="n">
        <s:v>1</s:v>
      </s:c>
      <s:c r="F27" s="19" t="n">
        <s:v>1</s:v>
      </s:c>
      <s:c r="G27" s="19" t="n">
        <s:v>0</s:v>
      </s:c>
      <s:c r="H27" s="19" t="n">
        <s:v>0</s:v>
      </s:c>
      <s:c r="I27" s="19" t="n">
        <s:v>1</s:v>
      </s:c>
      <s:c r="J27" s="4">
        <s:f>B27*Projects!N2+C27*Projects!N3+D27*Projects!N4+E27*Projects!N5+F27*Projects!N6+G27*Projects!N7+H27*Projects!N8+I27*Projects!N9</s:f>
        <s:v>11700000</s:v>
      </s:c>
      <s:c r="K27" s="3">
        <s:f>B27*Projects!C2+C27*Projects!C3+D27*Projects!C4+E27*Projects!C5+F27*Projects!C6+G27*Projects!C7+H27*Projects!C8+I27*Projects!C9</s:f>
        <s:v>250</s:v>
      </s:c>
      <s:c r="L27" s="3">
        <s:f>B27*Projects!D2+C27*Projects!D3+D27*Projects!D4+E27*Projects!D5+F27*Projects!D6+G27*Projects!D7+H27*Projects!D8+I27*Projects!D9</s:f>
        <s:v>93</s:v>
      </s:c>
      <s:c r="M27" s="4">
        <s:f>B27*Projects!O2+C27*Projects!O3+D27*Projects!O4+E27*Projects!O5+F27*Projects!O6+G27*Projects!O7+H27*Projects!O8+I27*Projects!O9</s:f>
        <s:v>10774948.016619701</s:v>
      </s:c>
      <s:c r="N27" s="3">
        <s:f>B27*(1-Projects!Q2)+C27*(1-Projects!Q3)+D27*(1-Projects!Q4)+E27*(1-Projects!Q5)+F27*(1-Projects!Q6)+G27*(1-Projects!Q7)+H27*(1-Projects!Q8)+I27*(1-Projects!Q9)</s:f>
        <s:v>0</s:v>
      </s:c>
      <s:c r="O27" s="3">
        <s:f>IF(AND(J27&lt;=Inputs!B2,L27&gt;=Inputs!B3,M27&gt;=Inputs!B18,N27=0),1,0)</s:f>
        <s:v>1</s:v>
      </s:c>
      <s:c r="P27" s="3">
        <s:f>IF(O27=1,L27,-1)</s:f>
        <s:v>93</s:v>
      </s:c>
      <s:c r="Q27" s="3">
        <s:f>IF(AND(O27=1,L27=MAX(P$2:P$257)),M27,-1E+99)</s:f>
        <s:v>-1e+99</s:v>
      </s:c>
    </s:row>
    <s:row r="28">
      <s:c r="A28" s="18" t="n">
        <s:v>26</s:v>
      </s:c>
      <s:c r="B28" s="18" t="n">
        <s:v>0</s:v>
      </s:c>
      <s:c r="C28" s="18" t="n">
        <s:v>0</s:v>
      </s:c>
      <s:c r="D28" s="18" t="n">
        <s:v>0</s:v>
      </s:c>
      <s:c r="E28" s="18" t="n">
        <s:v>1</s:v>
      </s:c>
      <s:c r="F28" s="18" t="n">
        <s:v>1</s:v>
      </s:c>
      <s:c r="G28" s="18" t="n">
        <s:v>0</s:v>
      </s:c>
      <s:c r="H28" s="18" t="n">
        <s:v>1</s:v>
      </s:c>
      <s:c r="I28" s="18" t="n">
        <s:v>0</s:v>
      </s:c>
      <s:c r="J28" s="5">
        <s:f>B28*Projects!N2+C28*Projects!N3+D28*Projects!N4+E28*Projects!N5+F28*Projects!N6+G28*Projects!N7+H28*Projects!N8+I28*Projects!N9</s:f>
        <s:v>11300000</s:v>
      </s:c>
      <s:c r="K28" s="2">
        <s:f>B28*Projects!C2+C28*Projects!C3+D28*Projects!C4+E28*Projects!C5+F28*Projects!C6+G28*Projects!C7+H28*Projects!C8+I28*Projects!C9</s:f>
        <s:v>270</s:v>
      </s:c>
      <s:c r="L28" s="2">
        <s:f>B28*Projects!D2+C28*Projects!D3+D28*Projects!D4+E28*Projects!D5+F28*Projects!D6+G28*Projects!D7+H28*Projects!D8+I28*Projects!D9</s:f>
        <s:v>132</s:v>
      </s:c>
      <s:c r="M28" s="5">
        <s:f>B28*Projects!O2+C28*Projects!O3+D28*Projects!O4+E28*Projects!O5+F28*Projects!O6+G28*Projects!O7+H28*Projects!O8+I28*Projects!O9</s:f>
        <s:v>9353694.568964971</s:v>
      </s:c>
      <s:c r="N28" s="2">
        <s:f>B28*(1-Projects!Q2)+C28*(1-Projects!Q3)+D28*(1-Projects!Q4)+E28*(1-Projects!Q5)+F28*(1-Projects!Q6)+G28*(1-Projects!Q7)+H28*(1-Projects!Q8)+I28*(1-Projects!Q9)</s:f>
        <s:v>0</s:v>
      </s:c>
      <s:c r="O28" s="2">
        <s:f>IF(AND(J28&lt;=Inputs!B2,L28&gt;=Inputs!B3,M28&gt;=Inputs!B18,N28=0),1,0)</s:f>
        <s:v>1</s:v>
      </s:c>
      <s:c r="P28" s="2">
        <s:f>IF(O28=1,L28,-1)</s:f>
        <s:v>132</s:v>
      </s:c>
      <s:c r="Q28" s="2">
        <s:f>IF(AND(O28=1,L28=MAX(P$2:P$257)),M28,-1E+99)</s:f>
        <s:v>-1e+99</s:v>
      </s:c>
    </s:row>
    <s:row r="29">
      <s:c r="A29" s="19" t="n">
        <s:v>27</s:v>
      </s:c>
      <s:c r="B29" s="19" t="n">
        <s:v>0</s:v>
      </s:c>
      <s:c r="C29" s="19" t="n">
        <s:v>0</s:v>
      </s:c>
      <s:c r="D29" s="19" t="n">
        <s:v>0</s:v>
      </s:c>
      <s:c r="E29" s="19" t="n">
        <s:v>1</s:v>
      </s:c>
      <s:c r="F29" s="19" t="n">
        <s:v>1</s:v>
      </s:c>
      <s:c r="G29" s="19" t="n">
        <s:v>0</s:v>
      </s:c>
      <s:c r="H29" s="19" t="n">
        <s:v>1</s:v>
      </s:c>
      <s:c r="I29" s="19" t="n">
        <s:v>1</s:v>
      </s:c>
      <s:c r="J29" s="4">
        <s:f>B29*Projects!N2+C29*Projects!N3+D29*Projects!N4+E29*Projects!N5+F29*Projects!N6+G29*Projects!N7+H29*Projects!N8+I29*Projects!N9</s:f>
        <s:v>15800000</s:v>
      </s:c>
      <s:c r="K29" s="3">
        <s:f>B29*Projects!C2+C29*Projects!C3+D29*Projects!C4+E29*Projects!C5+F29*Projects!C6+G29*Projects!C7+H29*Projects!C8+I29*Projects!C9</s:f>
        <s:v>360</s:v>
      </s:c>
      <s:c r="L29" s="3">
        <s:f>B29*Projects!D2+C29*Projects!D3+D29*Projects!D4+E29*Projects!D5+F29*Projects!D6+G29*Projects!D7+H29*Projects!D8+I29*Projects!D9</s:f>
        <s:v>159</s:v>
      </s:c>
      <s:c r="M29" s="4">
        <s:f>B29*Projects!O2+C29*Projects!O3+D29*Projects!O4+E29*Projects!O5+F29*Projects!O6+G29*Projects!O7+H29*Projects!O8+I29*Projects!O9</s:f>
        <s:v>13810321.994509008</s:v>
      </s:c>
      <s:c r="N29" s="3">
        <s:f>B29*(1-Projects!Q2)+C29*(1-Projects!Q3)+D29*(1-Projects!Q4)+E29*(1-Projects!Q5)+F29*(1-Projects!Q6)+G29*(1-Projects!Q7)+H29*(1-Projects!Q8)+I29*(1-Projects!Q9)</s:f>
        <s:v>0</s:v>
      </s:c>
      <s:c r="O29" s="3">
        <s:f>IF(AND(J29&lt;=Inputs!B2,L29&gt;=Inputs!B3,M29&gt;=Inputs!B18,N29=0),1,0)</s:f>
        <s:v>0</s:v>
      </s:c>
      <s:c r="P29" s="3">
        <s:f>IF(O29=1,L29,-1)</s:f>
        <s:v>-1</s:v>
      </s:c>
      <s:c r="Q29" s="3">
        <s:f>IF(AND(O29=1,L29=MAX(P$2:P$257)),M29,-1E+99)</s:f>
        <s:v>-1e+99</s:v>
      </s:c>
    </s:row>
    <s:row r="30">
      <s:c r="A30" s="18" t="n">
        <s:v>28</s:v>
      </s:c>
      <s:c r="B30" s="18" t="n">
        <s:v>0</s:v>
      </s:c>
      <s:c r="C30" s="18" t="n">
        <s:v>0</s:v>
      </s:c>
      <s:c r="D30" s="18" t="n">
        <s:v>0</s:v>
      </s:c>
      <s:c r="E30" s="18" t="n">
        <s:v>1</s:v>
      </s:c>
      <s:c r="F30" s="18" t="n">
        <s:v>1</s:v>
      </s:c>
      <s:c r="G30" s="18" t="n">
        <s:v>1</s:v>
      </s:c>
      <s:c r="H30" s="18" t="n">
        <s:v>0</s:v>
      </s:c>
      <s:c r="I30" s="18" t="n">
        <s:v>0</s:v>
      </s:c>
      <s:c r="J30" s="5">
        <s:f>B30*Projects!N2+C30*Projects!N3+D30*Projects!N4+E30*Projects!N5+F30*Projects!N6+G30*Projects!N7+H30*Projects!N8+I30*Projects!N9</s:f>
        <s:v>10400000</s:v>
      </s:c>
      <s:c r="K30" s="2">
        <s:f>B30*Projects!C2+C30*Projects!C3+D30*Projects!C4+E30*Projects!C5+F30*Projects!C6+G30*Projects!C7+H30*Projects!C8+I30*Projects!C9</s:f>
        <s:v>240</s:v>
      </s:c>
      <s:c r="L30" s="2">
        <s:f>B30*Projects!D2+C30*Projects!D3+D30*Projects!D4+E30*Projects!D5+F30*Projects!D6+G30*Projects!D7+H30*Projects!D8+I30*Projects!D9</s:f>
        <s:v>106</s:v>
      </s:c>
      <s:c r="M30" s="5">
        <s:f>B30*Projects!O2+C30*Projects!O3+D30*Projects!O4+E30*Projects!O5+F30*Projects!O6+G30*Projects!O7+H30*Projects!O8+I30*Projects!O9</s:f>
        <s:v>8828499.210944667</s:v>
      </s:c>
      <s:c r="N30" s="2">
        <s:f>B30*(1-Projects!Q2)+C30*(1-Projects!Q3)+D30*(1-Projects!Q4)+E30*(1-Projects!Q5)+F30*(1-Projects!Q6)+G30*(1-Projects!Q7)+H30*(1-Projects!Q8)+I30*(1-Projects!Q9)</s:f>
        <s:v>0</s:v>
      </s:c>
      <s:c r="O30" s="2">
        <s:f>IF(AND(J30&lt;=Inputs!B2,L30&gt;=Inputs!B3,M30&gt;=Inputs!B18,N30=0),1,0)</s:f>
        <s:v>1</s:v>
      </s:c>
      <s:c r="P30" s="2">
        <s:f>IF(O30=1,L30,-1)</s:f>
        <s:v>106</s:v>
      </s:c>
      <s:c r="Q30" s="2">
        <s:f>IF(AND(O30=1,L30=MAX(P$2:P$257)),M30,-1E+99)</s:f>
        <s:v>-1e+99</s:v>
      </s:c>
    </s:row>
    <s:row r="31">
      <s:c r="A31" s="19" t="n">
        <s:v>29</s:v>
      </s:c>
      <s:c r="B31" s="19" t="n">
        <s:v>0</s:v>
      </s:c>
      <s:c r="C31" s="19" t="n">
        <s:v>0</s:v>
      </s:c>
      <s:c r="D31" s="19" t="n">
        <s:v>0</s:v>
      </s:c>
      <s:c r="E31" s="19" t="n">
        <s:v>1</s:v>
      </s:c>
      <s:c r="F31" s="19" t="n">
        <s:v>1</s:v>
      </s:c>
      <s:c r="G31" s="19" t="n">
        <s:v>1</s:v>
      </s:c>
      <s:c r="H31" s="19" t="n">
        <s:v>0</s:v>
      </s:c>
      <s:c r="I31" s="19" t="n">
        <s:v>1</s:v>
      </s:c>
      <s:c r="J31" s="4">
        <s:f>B31*Projects!N2+C31*Projects!N3+D31*Projects!N4+E31*Projects!N5+F31*Projects!N6+G31*Projects!N7+H31*Projects!N8+I31*Projects!N9</s:f>
        <s:v>14900000</s:v>
      </s:c>
      <s:c r="K31" s="3">
        <s:f>B31*Projects!C2+C31*Projects!C3+D31*Projects!C4+E31*Projects!C5+F31*Projects!C6+G31*Projects!C7+H31*Projects!C8+I31*Projects!C9</s:f>
        <s:v>330</s:v>
      </s:c>
      <s:c r="L31" s="3">
        <s:f>B31*Projects!D2+C31*Projects!D3+D31*Projects!D4+E31*Projects!D5+F31*Projects!D6+G31*Projects!D7+H31*Projects!D8+I31*Projects!D9</s:f>
        <s:v>133</s:v>
      </s:c>
      <s:c r="M31" s="4">
        <s:f>B31*Projects!O2+C31*Projects!O3+D31*Projects!O4+E31*Projects!O5+F31*Projects!O6+G31*Projects!O7+H31*Projects!O8+I31*Projects!O9</s:f>
        <s:v>13285126.636488702</s:v>
      </s:c>
      <s:c r="N31" s="3">
        <s:f>B31*(1-Projects!Q2)+C31*(1-Projects!Q3)+D31*(1-Projects!Q4)+E31*(1-Projects!Q5)+F31*(1-Projects!Q6)+G31*(1-Projects!Q7)+H31*(1-Projects!Q8)+I31*(1-Projects!Q9)</s:f>
        <s:v>0</s:v>
      </s:c>
      <s:c r="O31" s="3">
        <s:f>IF(AND(J31&lt;=Inputs!B2,L31&gt;=Inputs!B3,M31&gt;=Inputs!B18,N31=0),1,0)</s:f>
        <s:v>1</s:v>
      </s:c>
      <s:c r="P31" s="3">
        <s:f>IF(O31=1,L31,-1)</s:f>
        <s:v>133</s:v>
      </s:c>
      <s:c r="Q31" s="3">
        <s:f>IF(AND(O31=1,L31=MAX(P$2:P$257)),M31,-1E+99)</s:f>
        <s:v>-1e+99</s:v>
      </s:c>
    </s:row>
    <s:row r="32">
      <s:c r="A32" s="18" t="n">
        <s:v>30</s:v>
      </s:c>
      <s:c r="B32" s="18" t="n">
        <s:v>0</s:v>
      </s:c>
      <s:c r="C32" s="18" t="n">
        <s:v>0</s:v>
      </s:c>
      <s:c r="D32" s="18" t="n">
        <s:v>0</s:v>
      </s:c>
      <s:c r="E32" s="18" t="n">
        <s:v>1</s:v>
      </s:c>
      <s:c r="F32" s="18" t="n">
        <s:v>1</s:v>
      </s:c>
      <s:c r="G32" s="18" t="n">
        <s:v>1</s:v>
      </s:c>
      <s:c r="H32" s="18" t="n">
        <s:v>1</s:v>
      </s:c>
      <s:c r="I32" s="18" t="n">
        <s:v>0</s:v>
      </s:c>
      <s:c r="J32" s="5">
        <s:f>B32*Projects!N2+C32*Projects!N3+D32*Projects!N4+E32*Projects!N5+F32*Projects!N6+G32*Projects!N7+H32*Projects!N8+I32*Projects!N9</s:f>
        <s:v>14500000</s:v>
      </s:c>
      <s:c r="K32" s="2">
        <s:f>B32*Projects!C2+C32*Projects!C3+D32*Projects!C4+E32*Projects!C5+F32*Projects!C6+G32*Projects!C7+H32*Projects!C8+I32*Projects!C9</s:f>
        <s:v>350</s:v>
      </s:c>
      <s:c r="L32" s="2">
        <s:f>B32*Projects!D2+C32*Projects!D3+D32*Projects!D4+E32*Projects!D5+F32*Projects!D6+G32*Projects!D7+H32*Projects!D8+I32*Projects!D9</s:f>
        <s:v>172</s:v>
      </s:c>
      <s:c r="M32" s="5">
        <s:f>B32*Projects!O2+C32*Projects!O3+D32*Projects!O4+E32*Projects!O5+F32*Projects!O6+G32*Projects!O7+H32*Projects!O8+I32*Projects!O9</s:f>
        <s:v>11863873.188833974</s:v>
      </s:c>
      <s:c r="N32" s="2">
        <s:f>B32*(1-Projects!Q2)+C32*(1-Projects!Q3)+D32*(1-Projects!Q4)+E32*(1-Projects!Q5)+F32*(1-Projects!Q6)+G32*(1-Projects!Q7)+H32*(1-Projects!Q8)+I32*(1-Projects!Q9)</s:f>
        <s:v>0</s:v>
      </s:c>
      <s:c r="O32" s="2">
        <s:f>IF(AND(J32&lt;=Inputs!B2,L32&gt;=Inputs!B3,M32&gt;=Inputs!B18,N32=0),1,0)</s:f>
        <s:v>1</s:v>
      </s:c>
      <s:c r="P32" s="2">
        <s:f>IF(O32=1,L32,-1)</s:f>
        <s:v>172</s:v>
      </s:c>
      <s:c r="Q32" s="2">
        <s:f>IF(AND(O32=1,L32=MAX(P$2:P$257)),M32,-1E+99)</s:f>
        <s:v>11863873.188833974</s:v>
      </s:c>
    </s:row>
    <s:row r="33">
      <s:c r="A33" s="19" t="n">
        <s:v>31</s:v>
      </s:c>
      <s:c r="B33" s="19" t="n">
        <s:v>0</s:v>
      </s:c>
      <s:c r="C33" s="19" t="n">
        <s:v>0</s:v>
      </s:c>
      <s:c r="D33" s="19" t="n">
        <s:v>0</s:v>
      </s:c>
      <s:c r="E33" s="19" t="n">
        <s:v>1</s:v>
      </s:c>
      <s:c r="F33" s="19" t="n">
        <s:v>1</s:v>
      </s:c>
      <s:c r="G33" s="19" t="n">
        <s:v>1</s:v>
      </s:c>
      <s:c r="H33" s="19" t="n">
        <s:v>1</s:v>
      </s:c>
      <s:c r="I33" s="19" t="n">
        <s:v>1</s:v>
      </s:c>
      <s:c r="J33" s="4">
        <s:f>B33*Projects!N2+C33*Projects!N3+D33*Projects!N4+E33*Projects!N5+F33*Projects!N6+G33*Projects!N7+H33*Projects!N8+I33*Projects!N9</s:f>
        <s:v>19000000</s:v>
      </s:c>
      <s:c r="K33" s="3">
        <s:f>B33*Projects!C2+C33*Projects!C3+D33*Projects!C4+E33*Projects!C5+F33*Projects!C6+G33*Projects!C7+H33*Projects!C8+I33*Projects!C9</s:f>
        <s:v>440</s:v>
      </s:c>
      <s:c r="L33" s="3">
        <s:f>B33*Projects!D2+C33*Projects!D3+D33*Projects!D4+E33*Projects!D5+F33*Projects!D6+G33*Projects!D7+H33*Projects!D8+I33*Projects!D9</s:f>
        <s:v>199</s:v>
      </s:c>
      <s:c r="M33" s="4">
        <s:f>B33*Projects!O2+C33*Projects!O3+D33*Projects!O4+E33*Projects!O5+F33*Projects!O6+G33*Projects!O7+H33*Projects!O8+I33*Projects!O9</s:f>
        <s:v>16320500.614378009</s:v>
      </s:c>
      <s:c r="N33" s="3">
        <s:f>B33*(1-Projects!Q2)+C33*(1-Projects!Q3)+D33*(1-Projects!Q4)+E33*(1-Projects!Q5)+F33*(1-Projects!Q6)+G33*(1-Projects!Q7)+H33*(1-Projects!Q8)+I33*(1-Projects!Q9)</s:f>
        <s:v>0</s:v>
      </s:c>
      <s:c r="O33" s="3">
        <s:f>IF(AND(J33&lt;=Inputs!B2,L33&gt;=Inputs!B3,M33&gt;=Inputs!B18,N33=0),1,0)</s:f>
        <s:v>0</s:v>
      </s:c>
      <s:c r="P33" s="3">
        <s:f>IF(O33=1,L33,-1)</s:f>
        <s:v>-1</s:v>
      </s:c>
      <s:c r="Q33" s="3">
        <s:f>IF(AND(O33=1,L33=MAX(P$2:P$257)),M33,-1E+99)</s:f>
        <s:v>-1e+99</s:v>
      </s:c>
    </s:row>
    <s:row r="34">
      <s:c r="A34" s="18" t="n">
        <s:v>32</s:v>
      </s:c>
      <s:c r="B34" s="18" t="n">
        <s:v>0</s:v>
      </s:c>
      <s:c r="C34" s="18" t="n">
        <s:v>0</s:v>
      </s:c>
      <s:c r="D34" s="18" t="n">
        <s:v>1</s:v>
      </s:c>
      <s:c r="E34" s="18" t="n">
        <s:v>0</s:v>
      </s:c>
      <s:c r="F34" s="18" t="n">
        <s:v>0</s:v>
      </s:c>
      <s:c r="G34" s="18" t="n">
        <s:v>0</s:v>
      </s:c>
      <s:c r="H34" s="18" t="n">
        <s:v>0</s:v>
      </s:c>
      <s:c r="I34" s="18" t="n">
        <s:v>0</s:v>
      </s:c>
      <s:c r="J34" s="5">
        <s:f>B34*Projects!N2+C34*Projects!N3+D34*Projects!N4+E34*Projects!N5+F34*Projects!N6+G34*Projects!N7+H34*Projects!N8+I34*Projects!N9</s:f>
        <s:v>4900000</s:v>
      </s:c>
      <s:c r="K34" s="2">
        <s:f>B34*Projects!C2+C34*Projects!C3+D34*Projects!C4+E34*Projects!C5+F34*Projects!C6+G34*Projects!C7+H34*Projects!C8+I34*Projects!C9</s:f>
        <s:v>120</s:v>
      </s:c>
      <s:c r="L34" s="2">
        <s:f>B34*Projects!D2+C34*Projects!D3+D34*Projects!D4+E34*Projects!D5+F34*Projects!D6+G34*Projects!D7+H34*Projects!D8+I34*Projects!D9</s:f>
        <s:v>60</s:v>
      </s:c>
      <s:c r="M34" s="5">
        <s:f>B34*Projects!O2+C34*Projects!O3+D34*Projects!O4+E34*Projects!O5+F34*Projects!O6+G34*Projects!O7+H34*Projects!O8+I34*Projects!O9</s:f>
        <s:v>3791271.7346886494</s:v>
      </s:c>
      <s:c r="N34" s="2">
        <s:f>B34*(1-Projects!Q2)+C34*(1-Projects!Q3)+D34*(1-Projects!Q4)+E34*(1-Projects!Q5)+F34*(1-Projects!Q6)+G34*(1-Projects!Q7)+H34*(1-Projects!Q8)+I34*(1-Projects!Q9)</s:f>
        <s:v>0</s:v>
      </s:c>
      <s:c r="O34" s="2">
        <s:f>IF(AND(J34&lt;=Inputs!B2,L34&gt;=Inputs!B3,M34&gt;=Inputs!B18,N34=0),1,0)</s:f>
        <s:v>0</s:v>
      </s:c>
      <s:c r="P34" s="2">
        <s:f>IF(O34=1,L34,-1)</s:f>
        <s:v>-1</s:v>
      </s:c>
      <s:c r="Q34" s="2">
        <s:f>IF(AND(O34=1,L34=MAX(P$2:P$257)),M34,-1E+99)</s:f>
        <s:v>-1e+99</s:v>
      </s:c>
    </s:row>
    <s:row r="35">
      <s:c r="A35" s="19" t="n">
        <s:v>33</s:v>
      </s:c>
      <s:c r="B35" s="19" t="n">
        <s:v>0</s:v>
      </s:c>
      <s:c r="C35" s="19" t="n">
        <s:v>0</s:v>
      </s:c>
      <s:c r="D35" s="19" t="n">
        <s:v>1</s:v>
      </s:c>
      <s:c r="E35" s="19" t="n">
        <s:v>0</s:v>
      </s:c>
      <s:c r="F35" s="19" t="n">
        <s:v>0</s:v>
      </s:c>
      <s:c r="G35" s="19" t="n">
        <s:v>0</s:v>
      </s:c>
      <s:c r="H35" s="19" t="n">
        <s:v>0</s:v>
      </s:c>
      <s:c r="I35" s="19" t="n">
        <s:v>1</s:v>
      </s:c>
      <s:c r="J35" s="4">
        <s:f>B35*Projects!N2+C35*Projects!N3+D35*Projects!N4+E35*Projects!N5+F35*Projects!N6+G35*Projects!N7+H35*Projects!N8+I35*Projects!N9</s:f>
        <s:v>9400000</s:v>
      </s:c>
      <s:c r="K35" s="3">
        <s:f>B35*Projects!C2+C35*Projects!C3+D35*Projects!C4+E35*Projects!C5+F35*Projects!C6+G35*Projects!C7+H35*Projects!C8+I35*Projects!C9</s:f>
        <s:v>210</s:v>
      </s:c>
      <s:c r="L35" s="3">
        <s:f>B35*Projects!D2+C35*Projects!D3+D35*Projects!D4+E35*Projects!D5+F35*Projects!D6+G35*Projects!D7+H35*Projects!D8+I35*Projects!D9</s:f>
        <s:v>87</s:v>
      </s:c>
      <s:c r="M35" s="4">
        <s:f>B35*Projects!O2+C35*Projects!O3+D35*Projects!O4+E35*Projects!O5+F35*Projects!O6+G35*Projects!O7+H35*Projects!O8+I35*Projects!O9</s:f>
        <s:v>8247899.1602326855</s:v>
      </s:c>
      <s:c r="N35" s="3">
        <s:f>B35*(1-Projects!Q2)+C35*(1-Projects!Q3)+D35*(1-Projects!Q4)+E35*(1-Projects!Q5)+F35*(1-Projects!Q6)+G35*(1-Projects!Q7)+H35*(1-Projects!Q8)+I35*(1-Projects!Q9)</s:f>
        <s:v>0</s:v>
      </s:c>
      <s:c r="O35" s="3">
        <s:f>IF(AND(J35&lt;=Inputs!B2,L35&gt;=Inputs!B3,M35&gt;=Inputs!B18,N35=0),1,0)</s:f>
        <s:v>1</s:v>
      </s:c>
      <s:c r="P35" s="3">
        <s:f>IF(O35=1,L35,-1)</s:f>
        <s:v>87</s:v>
      </s:c>
      <s:c r="Q35" s="3">
        <s:f>IF(AND(O35=1,L35=MAX(P$2:P$257)),M35,-1E+99)</s:f>
        <s:v>-1e+99</s:v>
      </s:c>
    </s:row>
    <s:row r="36">
      <s:c r="A36" s="18" t="n">
        <s:v>34</s:v>
      </s:c>
      <s:c r="B36" s="18" t="n">
        <s:v>0</s:v>
      </s:c>
      <s:c r="C36" s="18" t="n">
        <s:v>0</s:v>
      </s:c>
      <s:c r="D36" s="18" t="n">
        <s:v>1</s:v>
      </s:c>
      <s:c r="E36" s="18" t="n">
        <s:v>0</s:v>
      </s:c>
      <s:c r="F36" s="18" t="n">
        <s:v>0</s:v>
      </s:c>
      <s:c r="G36" s="18" t="n">
        <s:v>0</s:v>
      </s:c>
      <s:c r="H36" s="18" t="n">
        <s:v>1</s:v>
      </s:c>
      <s:c r="I36" s="18" t="n">
        <s:v>0</s:v>
      </s:c>
      <s:c r="J36" s="5">
        <s:f>B36*Projects!N2+C36*Projects!N3+D36*Projects!N4+E36*Projects!N5+F36*Projects!N6+G36*Projects!N7+H36*Projects!N8+I36*Projects!N9</s:f>
        <s:v>9000000</s:v>
      </s:c>
      <s:c r="K36" s="2">
        <s:f>B36*Projects!C2+C36*Projects!C3+D36*Projects!C4+E36*Projects!C5+F36*Projects!C6+G36*Projects!C7+H36*Projects!C8+I36*Projects!C9</s:f>
        <s:v>230</s:v>
      </s:c>
      <s:c r="L36" s="2">
        <s:f>B36*Projects!D2+C36*Projects!D3+D36*Projects!D4+E36*Projects!D5+F36*Projects!D6+G36*Projects!D7+H36*Projects!D8+I36*Projects!D9</s:f>
        <s:v>126</s:v>
      </s:c>
      <s:c r="M36" s="5">
        <s:f>B36*Projects!O2+C36*Projects!O3+D36*Projects!O4+E36*Projects!O5+F36*Projects!O6+G36*Projects!O7+H36*Projects!O8+I36*Projects!O9</s:f>
        <s:v>6826645.712577957</s:v>
      </s:c>
      <s:c r="N36" s="2">
        <s:f>B36*(1-Projects!Q2)+C36*(1-Projects!Q3)+D36*(1-Projects!Q4)+E36*(1-Projects!Q5)+F36*(1-Projects!Q6)+G36*(1-Projects!Q7)+H36*(1-Projects!Q8)+I36*(1-Projects!Q9)</s:f>
        <s:v>0</s:v>
      </s:c>
      <s:c r="O36" s="2">
        <s:f>IF(AND(J36&lt;=Inputs!B2,L36&gt;=Inputs!B3,M36&gt;=Inputs!B18,N36=0),1,0)</s:f>
        <s:v>1</s:v>
      </s:c>
      <s:c r="P36" s="2">
        <s:f>IF(O36=1,L36,-1)</s:f>
        <s:v>126</s:v>
      </s:c>
      <s:c r="Q36" s="2">
        <s:f>IF(AND(O36=1,L36=MAX(P$2:P$257)),M36,-1E+99)</s:f>
        <s:v>-1e+99</s:v>
      </s:c>
    </s:row>
    <s:row r="37">
      <s:c r="A37" s="19" t="n">
        <s:v>35</s:v>
      </s:c>
      <s:c r="B37" s="19" t="n">
        <s:v>0</s:v>
      </s:c>
      <s:c r="C37" s="19" t="n">
        <s:v>0</s:v>
      </s:c>
      <s:c r="D37" s="19" t="n">
        <s:v>1</s:v>
      </s:c>
      <s:c r="E37" s="19" t="n">
        <s:v>0</s:v>
      </s:c>
      <s:c r="F37" s="19" t="n">
        <s:v>0</s:v>
      </s:c>
      <s:c r="G37" s="19" t="n">
        <s:v>0</s:v>
      </s:c>
      <s:c r="H37" s="19" t="n">
        <s:v>1</s:v>
      </s:c>
      <s:c r="I37" s="19" t="n">
        <s:v>1</s:v>
      </s:c>
      <s:c r="J37" s="4">
        <s:f>B37*Projects!N2+C37*Projects!N3+D37*Projects!N4+E37*Projects!N5+F37*Projects!N6+G37*Projects!N7+H37*Projects!N8+I37*Projects!N9</s:f>
        <s:v>13500000</s:v>
      </s:c>
      <s:c r="K37" s="3">
        <s:f>B37*Projects!C2+C37*Projects!C3+D37*Projects!C4+E37*Projects!C5+F37*Projects!C6+G37*Projects!C7+H37*Projects!C8+I37*Projects!C9</s:f>
        <s:v>320</s:v>
      </s:c>
      <s:c r="L37" s="3">
        <s:f>B37*Projects!D2+C37*Projects!D3+D37*Projects!D4+E37*Projects!D5+F37*Projects!D6+G37*Projects!D7+H37*Projects!D8+I37*Projects!D9</s:f>
        <s:v>153</s:v>
      </s:c>
      <s:c r="M37" s="4">
        <s:f>B37*Projects!O2+C37*Projects!O3+D37*Projects!O4+E37*Projects!O5+F37*Projects!O6+G37*Projects!O7+H37*Projects!O8+I37*Projects!O9</s:f>
        <s:v>11283273.138121992</s:v>
      </s:c>
      <s:c r="N37" s="3">
        <s:f>B37*(1-Projects!Q2)+C37*(1-Projects!Q3)+D37*(1-Projects!Q4)+E37*(1-Projects!Q5)+F37*(1-Projects!Q6)+G37*(1-Projects!Q7)+H37*(1-Projects!Q8)+I37*(1-Projects!Q9)</s:f>
        <s:v>0</s:v>
      </s:c>
      <s:c r="O37" s="3">
        <s:f>IF(AND(J37&lt;=Inputs!B2,L37&gt;=Inputs!B3,M37&gt;=Inputs!B18,N37=0),1,0)</s:f>
        <s:v>1</s:v>
      </s:c>
      <s:c r="P37" s="3">
        <s:f>IF(O37=1,L37,-1)</s:f>
        <s:v>153</s:v>
      </s:c>
      <s:c r="Q37" s="3">
        <s:f>IF(AND(O37=1,L37=MAX(P$2:P$257)),M37,-1E+99)</s:f>
        <s:v>-1e+99</s:v>
      </s:c>
    </s:row>
    <s:row r="38">
      <s:c r="A38" s="18" t="n">
        <s:v>36</s:v>
      </s:c>
      <s:c r="B38" s="18" t="n">
        <s:v>0</s:v>
      </s:c>
      <s:c r="C38" s="18" t="n">
        <s:v>0</s:v>
      </s:c>
      <s:c r="D38" s="18" t="n">
        <s:v>1</s:v>
      </s:c>
      <s:c r="E38" s="18" t="n">
        <s:v>0</s:v>
      </s:c>
      <s:c r="F38" s="18" t="n">
        <s:v>0</s:v>
      </s:c>
      <s:c r="G38" s="18" t="n">
        <s:v>1</s:v>
      </s:c>
      <s:c r="H38" s="18" t="n">
        <s:v>0</s:v>
      </s:c>
      <s:c r="I38" s="18" t="n">
        <s:v>0</s:v>
      </s:c>
      <s:c r="J38" s="5">
        <s:f>B38*Projects!N2+C38*Projects!N3+D38*Projects!N4+E38*Projects!N5+F38*Projects!N6+G38*Projects!N7+H38*Projects!N8+I38*Projects!N9</s:f>
        <s:v>8100000</s:v>
      </s:c>
      <s:c r="K38" s="2">
        <s:f>B38*Projects!C2+C38*Projects!C3+D38*Projects!C4+E38*Projects!C5+F38*Projects!C6+G38*Projects!C7+H38*Projects!C8+I38*Projects!C9</s:f>
        <s:v>200</s:v>
      </s:c>
      <s:c r="L38" s="2">
        <s:f>B38*Projects!D2+C38*Projects!D3+D38*Projects!D4+E38*Projects!D5+F38*Projects!D6+G38*Projects!D7+H38*Projects!D8+I38*Projects!D9</s:f>
        <s:v>100</s:v>
      </s:c>
      <s:c r="M38" s="5">
        <s:f>B38*Projects!O2+C38*Projects!O3+D38*Projects!O4+E38*Projects!O5+F38*Projects!O6+G38*Projects!O7+H38*Projects!O8+I38*Projects!O9</s:f>
        <s:v>6301450.354557652</s:v>
      </s:c>
      <s:c r="N38" s="2">
        <s:f>B38*(1-Projects!Q2)+C38*(1-Projects!Q3)+D38*(1-Projects!Q4)+E38*(1-Projects!Q5)+F38*(1-Projects!Q6)+G38*(1-Projects!Q7)+H38*(1-Projects!Q8)+I38*(1-Projects!Q9)</s:f>
        <s:v>0</s:v>
      </s:c>
      <s:c r="O38" s="2">
        <s:f>IF(AND(J38&lt;=Inputs!B2,L38&gt;=Inputs!B3,M38&gt;=Inputs!B18,N38=0),1,0)</s:f>
        <s:v>1</s:v>
      </s:c>
      <s:c r="P38" s="2">
        <s:f>IF(O38=1,L38,-1)</s:f>
        <s:v>100</s:v>
      </s:c>
      <s:c r="Q38" s="2">
        <s:f>IF(AND(O38=1,L38=MAX(P$2:P$257)),M38,-1E+99)</s:f>
        <s:v>-1e+99</s:v>
      </s:c>
    </s:row>
    <s:row r="39">
      <s:c r="A39" s="19" t="n">
        <s:v>37</s:v>
      </s:c>
      <s:c r="B39" s="19" t="n">
        <s:v>0</s:v>
      </s:c>
      <s:c r="C39" s="19" t="n">
        <s:v>0</s:v>
      </s:c>
      <s:c r="D39" s="19" t="n">
        <s:v>1</s:v>
      </s:c>
      <s:c r="E39" s="19" t="n">
        <s:v>0</s:v>
      </s:c>
      <s:c r="F39" s="19" t="n">
        <s:v>0</s:v>
      </s:c>
      <s:c r="G39" s="19" t="n">
        <s:v>1</s:v>
      </s:c>
      <s:c r="H39" s="19" t="n">
        <s:v>0</s:v>
      </s:c>
      <s:c r="I39" s="19" t="n">
        <s:v>1</s:v>
      </s:c>
      <s:c r="J39" s="4">
        <s:f>B39*Projects!N2+C39*Projects!N3+D39*Projects!N4+E39*Projects!N5+F39*Projects!N6+G39*Projects!N7+H39*Projects!N8+I39*Projects!N9</s:f>
        <s:v>12600000</s:v>
      </s:c>
      <s:c r="K39" s="3">
        <s:f>B39*Projects!C2+C39*Projects!C3+D39*Projects!C4+E39*Projects!C5+F39*Projects!C6+G39*Projects!C7+H39*Projects!C8+I39*Projects!C9</s:f>
        <s:v>290</s:v>
      </s:c>
      <s:c r="L39" s="3">
        <s:f>B39*Projects!D2+C39*Projects!D3+D39*Projects!D4+E39*Projects!D5+F39*Projects!D6+G39*Projects!D7+H39*Projects!D8+I39*Projects!D9</s:f>
        <s:v>127</s:v>
      </s:c>
      <s:c r="M39" s="4">
        <s:f>B39*Projects!O2+C39*Projects!O3+D39*Projects!O4+E39*Projects!O5+F39*Projects!O6+G39*Projects!O7+H39*Projects!O8+I39*Projects!O9</s:f>
        <s:v>10758077.780101687</s:v>
      </s:c>
      <s:c r="N39" s="3">
        <s:f>B39*(1-Projects!Q2)+C39*(1-Projects!Q3)+D39*(1-Projects!Q4)+E39*(1-Projects!Q5)+F39*(1-Projects!Q6)+G39*(1-Projects!Q7)+H39*(1-Projects!Q8)+I39*(1-Projects!Q9)</s:f>
        <s:v>0</s:v>
      </s:c>
      <s:c r="O39" s="3">
        <s:f>IF(AND(J39&lt;=Inputs!B2,L39&gt;=Inputs!B3,M39&gt;=Inputs!B18,N39=0),1,0)</s:f>
        <s:v>1</s:v>
      </s:c>
      <s:c r="P39" s="3">
        <s:f>IF(O39=1,L39,-1)</s:f>
        <s:v>127</s:v>
      </s:c>
      <s:c r="Q39" s="3">
        <s:f>IF(AND(O39=1,L39=MAX(P$2:P$257)),M39,-1E+99)</s:f>
        <s:v>-1e+99</s:v>
      </s:c>
    </s:row>
    <s:row r="40">
      <s:c r="A40" s="18" t="n">
        <s:v>38</s:v>
      </s:c>
      <s:c r="B40" s="18" t="n">
        <s:v>0</s:v>
      </s:c>
      <s:c r="C40" s="18" t="n">
        <s:v>0</s:v>
      </s:c>
      <s:c r="D40" s="18" t="n">
        <s:v>1</s:v>
      </s:c>
      <s:c r="E40" s="18" t="n">
        <s:v>0</s:v>
      </s:c>
      <s:c r="F40" s="18" t="n">
        <s:v>0</s:v>
      </s:c>
      <s:c r="G40" s="18" t="n">
        <s:v>1</s:v>
      </s:c>
      <s:c r="H40" s="18" t="n">
        <s:v>1</s:v>
      </s:c>
      <s:c r="I40" s="18" t="n">
        <s:v>0</s:v>
      </s:c>
      <s:c r="J40" s="5">
        <s:f>B40*Projects!N2+C40*Projects!N3+D40*Projects!N4+E40*Projects!N5+F40*Projects!N6+G40*Projects!N7+H40*Projects!N8+I40*Projects!N9</s:f>
        <s:v>12200000</s:v>
      </s:c>
      <s:c r="K40" s="2">
        <s:f>B40*Projects!C2+C40*Projects!C3+D40*Projects!C4+E40*Projects!C5+F40*Projects!C6+G40*Projects!C7+H40*Projects!C8+I40*Projects!C9</s:f>
        <s:v>310</s:v>
      </s:c>
      <s:c r="L40" s="2">
        <s:f>B40*Projects!D2+C40*Projects!D3+D40*Projects!D4+E40*Projects!D5+F40*Projects!D6+G40*Projects!D7+H40*Projects!D8+I40*Projects!D9</s:f>
        <s:v>166</s:v>
      </s:c>
      <s:c r="M40" s="5">
        <s:f>B40*Projects!O2+C40*Projects!O3+D40*Projects!O4+E40*Projects!O5+F40*Projects!O6+G40*Projects!O7+H40*Projects!O8+I40*Projects!O9</s:f>
        <s:v>9336824.332446959</s:v>
      </s:c>
      <s:c r="N40" s="2">
        <s:f>B40*(1-Projects!Q2)+C40*(1-Projects!Q3)+D40*(1-Projects!Q4)+E40*(1-Projects!Q5)+F40*(1-Projects!Q6)+G40*(1-Projects!Q7)+H40*(1-Projects!Q8)+I40*(1-Projects!Q9)</s:f>
        <s:v>0</s:v>
      </s:c>
      <s:c r="O40" s="2">
        <s:f>IF(AND(J40&lt;=Inputs!B2,L40&gt;=Inputs!B3,M40&gt;=Inputs!B18,N40=0),1,0)</s:f>
        <s:v>1</s:v>
      </s:c>
      <s:c r="P40" s="2">
        <s:f>IF(O40=1,L40,-1)</s:f>
        <s:v>166</s:v>
      </s:c>
      <s:c r="Q40" s="2">
        <s:f>IF(AND(O40=1,L40=MAX(P$2:P$257)),M40,-1E+99)</s:f>
        <s:v>-1e+99</s:v>
      </s:c>
    </s:row>
    <s:row r="41">
      <s:c r="A41" s="19" t="n">
        <s:v>39</s:v>
      </s:c>
      <s:c r="B41" s="19" t="n">
        <s:v>0</s:v>
      </s:c>
      <s:c r="C41" s="19" t="n">
        <s:v>0</s:v>
      </s:c>
      <s:c r="D41" s="19" t="n">
        <s:v>1</s:v>
      </s:c>
      <s:c r="E41" s="19" t="n">
        <s:v>0</s:v>
      </s:c>
      <s:c r="F41" s="19" t="n">
        <s:v>0</s:v>
      </s:c>
      <s:c r="G41" s="19" t="n">
        <s:v>1</s:v>
      </s:c>
      <s:c r="H41" s="19" t="n">
        <s:v>1</s:v>
      </s:c>
      <s:c r="I41" s="19" t="n">
        <s:v>1</s:v>
      </s:c>
      <s:c r="J41" s="4">
        <s:f>B41*Projects!N2+C41*Projects!N3+D41*Projects!N4+E41*Projects!N5+F41*Projects!N6+G41*Projects!N7+H41*Projects!N8+I41*Projects!N9</s:f>
        <s:v>16700000</s:v>
      </s:c>
      <s:c r="K41" s="3">
        <s:f>B41*Projects!C2+C41*Projects!C3+D41*Projects!C4+E41*Projects!C5+F41*Projects!C6+G41*Projects!C7+H41*Projects!C8+I41*Projects!C9</s:f>
        <s:v>400</s:v>
      </s:c>
      <s:c r="L41" s="3">
        <s:f>B41*Projects!D2+C41*Projects!D3+D41*Projects!D4+E41*Projects!D5+F41*Projects!D6+G41*Projects!D7+H41*Projects!D8+I41*Projects!D9</s:f>
        <s:v>193</s:v>
      </s:c>
      <s:c r="M41" s="4">
        <s:f>B41*Projects!O2+C41*Projects!O3+D41*Projects!O4+E41*Projects!O5+F41*Projects!O6+G41*Projects!O7+H41*Projects!O8+I41*Projects!O9</s:f>
        <s:v>13793451.757990994</s:v>
      </s:c>
      <s:c r="N41" s="3">
        <s:f>B41*(1-Projects!Q2)+C41*(1-Projects!Q3)+D41*(1-Projects!Q4)+E41*(1-Projects!Q5)+F41*(1-Projects!Q6)+G41*(1-Projects!Q7)+H41*(1-Projects!Q8)+I41*(1-Projects!Q9)</s:f>
        <s:v>0</s:v>
      </s:c>
      <s:c r="O41" s="3">
        <s:f>IF(AND(J41&lt;=Inputs!B2,L41&gt;=Inputs!B3,M41&gt;=Inputs!B18,N41=0),1,0)</s:f>
        <s:v>0</s:v>
      </s:c>
      <s:c r="P41" s="3">
        <s:f>IF(O41=1,L41,-1)</s:f>
        <s:v>-1</s:v>
      </s:c>
      <s:c r="Q41" s="3">
        <s:f>IF(AND(O41=1,L41=MAX(P$2:P$257)),M41,-1E+99)</s:f>
        <s:v>-1e+99</s:v>
      </s:c>
    </s:row>
    <s:row r="42">
      <s:c r="A42" s="18" t="n">
        <s:v>40</s:v>
      </s:c>
      <s:c r="B42" s="18" t="n">
        <s:v>0</s:v>
      </s:c>
      <s:c r="C42" s="18" t="n">
        <s:v>0</s:v>
      </s:c>
      <s:c r="D42" s="18" t="n">
        <s:v>1</s:v>
      </s:c>
      <s:c r="E42" s="18" t="n">
        <s:v>0</s:v>
      </s:c>
      <s:c r="F42" s="18" t="n">
        <s:v>1</s:v>
      </s:c>
      <s:c r="G42" s="18" t="n">
        <s:v>0</s:v>
      </s:c>
      <s:c r="H42" s="18" t="n">
        <s:v>0</s:v>
      </s:c>
      <s:c r="I42" s="18" t="n">
        <s:v>0</s:v>
      </s:c>
      <s:c r="J42" s="5">
        <s:f>B42*Projects!N2+C42*Projects!N3+D42*Projects!N4+E42*Projects!N5+F42*Projects!N6+G42*Projects!N7+H42*Projects!N8+I42*Projects!N9</s:f>
        <s:v>8700000</s:v>
      </s:c>
      <s:c r="K42" s="2">
        <s:f>B42*Projects!C2+C42*Projects!C3+D42*Projects!C4+E42*Projects!C5+F42*Projects!C6+G42*Projects!C7+H42*Projects!C8+I42*Projects!C9</s:f>
        <s:v>210</s:v>
      </s:c>
      <s:c r="L42" s="2">
        <s:f>B42*Projects!D2+C42*Projects!D3+D42*Projects!D4+E42*Projects!D5+F42*Projects!D6+G42*Projects!D7+H42*Projects!D8+I42*Projects!D9</s:f>
        <s:v>105</s:v>
      </s:c>
      <s:c r="M42" s="5">
        <s:f>B42*Projects!O2+C42*Projects!O3+D42*Projects!O4+E42*Projects!O5+F42*Projects!O6+G42*Projects!O7+H42*Projects!O8+I42*Projects!O9</s:f>
        <s:v>6793234.096696712</s:v>
      </s:c>
      <s:c r="N42" s="2">
        <s:f>B42*(1-Projects!Q2)+C42*(1-Projects!Q3)+D42*(1-Projects!Q4)+E42*(1-Projects!Q5)+F42*(1-Projects!Q6)+G42*(1-Projects!Q7)+H42*(1-Projects!Q8)+I42*(1-Projects!Q9)</s:f>
        <s:v>0</s:v>
      </s:c>
      <s:c r="O42" s="2">
        <s:f>IF(AND(J42&lt;=Inputs!B2,L42&gt;=Inputs!B3,M42&gt;=Inputs!B18,N42=0),1,0)</s:f>
        <s:v>1</s:v>
      </s:c>
      <s:c r="P42" s="2">
        <s:f>IF(O42=1,L42,-1)</s:f>
        <s:v>105</s:v>
      </s:c>
      <s:c r="Q42" s="2">
        <s:f>IF(AND(O42=1,L42=MAX(P$2:P$257)),M42,-1E+99)</s:f>
        <s:v>-1e+99</s:v>
      </s:c>
    </s:row>
    <s:row r="43">
      <s:c r="A43" s="19" t="n">
        <s:v>41</s:v>
      </s:c>
      <s:c r="B43" s="19" t="n">
        <s:v>0</s:v>
      </s:c>
      <s:c r="C43" s="19" t="n">
        <s:v>0</s:v>
      </s:c>
      <s:c r="D43" s="19" t="n">
        <s:v>1</s:v>
      </s:c>
      <s:c r="E43" s="19" t="n">
        <s:v>0</s:v>
      </s:c>
      <s:c r="F43" s="19" t="n">
        <s:v>1</s:v>
      </s:c>
      <s:c r="G43" s="19" t="n">
        <s:v>0</s:v>
      </s:c>
      <s:c r="H43" s="19" t="n">
        <s:v>0</s:v>
      </s:c>
      <s:c r="I43" s="19" t="n">
        <s:v>1</s:v>
      </s:c>
      <s:c r="J43" s="4">
        <s:f>B43*Projects!N2+C43*Projects!N3+D43*Projects!N4+E43*Projects!N5+F43*Projects!N6+G43*Projects!N7+H43*Projects!N8+I43*Projects!N9</s:f>
        <s:v>13200000</s:v>
      </s:c>
      <s:c r="K43" s="3">
        <s:f>B43*Projects!C2+C43*Projects!C3+D43*Projects!C4+E43*Projects!C5+F43*Projects!C6+G43*Projects!C7+H43*Projects!C8+I43*Projects!C9</s:f>
        <s:v>300</s:v>
      </s:c>
      <s:c r="L43" s="3">
        <s:f>B43*Projects!D2+C43*Projects!D3+D43*Projects!D4+E43*Projects!D5+F43*Projects!D6+G43*Projects!D7+H43*Projects!D8+I43*Projects!D9</s:f>
        <s:v>132</s:v>
      </s:c>
      <s:c r="M43" s="4">
        <s:f>B43*Projects!O2+C43*Projects!O3+D43*Projects!O4+E43*Projects!O5+F43*Projects!O6+G43*Projects!O7+H43*Projects!O8+I43*Projects!O9</s:f>
        <s:v>11249861.522240747</s:v>
      </s:c>
      <s:c r="N43" s="3">
        <s:f>B43*(1-Projects!Q2)+C43*(1-Projects!Q3)+D43*(1-Projects!Q4)+E43*(1-Projects!Q5)+F43*(1-Projects!Q6)+G43*(1-Projects!Q7)+H43*(1-Projects!Q8)+I43*(1-Projects!Q9)</s:f>
        <s:v>0</s:v>
      </s:c>
      <s:c r="O43" s="3">
        <s:f>IF(AND(J43&lt;=Inputs!B2,L43&gt;=Inputs!B3,M43&gt;=Inputs!B18,N43=0),1,0)</s:f>
        <s:v>1</s:v>
      </s:c>
      <s:c r="P43" s="3">
        <s:f>IF(O43=1,L43,-1)</s:f>
        <s:v>132</s:v>
      </s:c>
      <s:c r="Q43" s="3">
        <s:f>IF(AND(O43=1,L43=MAX(P$2:P$257)),M43,-1E+99)</s:f>
        <s:v>-1e+99</s:v>
      </s:c>
    </s:row>
    <s:row r="44">
      <s:c r="A44" s="18" t="n">
        <s:v>42</s:v>
      </s:c>
      <s:c r="B44" s="18" t="n">
        <s:v>0</s:v>
      </s:c>
      <s:c r="C44" s="18" t="n">
        <s:v>0</s:v>
      </s:c>
      <s:c r="D44" s="18" t="n">
        <s:v>1</s:v>
      </s:c>
      <s:c r="E44" s="18" t="n">
        <s:v>0</s:v>
      </s:c>
      <s:c r="F44" s="18" t="n">
        <s:v>1</s:v>
      </s:c>
      <s:c r="G44" s="18" t="n">
        <s:v>0</s:v>
      </s:c>
      <s:c r="H44" s="18" t="n">
        <s:v>1</s:v>
      </s:c>
      <s:c r="I44" s="18" t="n">
        <s:v>0</s:v>
      </s:c>
      <s:c r="J44" s="5">
        <s:f>B44*Projects!N2+C44*Projects!N3+D44*Projects!N4+E44*Projects!N5+F44*Projects!N6+G44*Projects!N7+H44*Projects!N8+I44*Projects!N9</s:f>
        <s:v>12800000</s:v>
      </s:c>
      <s:c r="K44" s="2">
        <s:f>B44*Projects!C2+C44*Projects!C3+D44*Projects!C4+E44*Projects!C5+F44*Projects!C6+G44*Projects!C7+H44*Projects!C8+I44*Projects!C9</s:f>
        <s:v>320</s:v>
      </s:c>
      <s:c r="L44" s="2">
        <s:f>B44*Projects!D2+C44*Projects!D3+D44*Projects!D4+E44*Projects!D5+F44*Projects!D6+G44*Projects!D7+H44*Projects!D8+I44*Projects!D9</s:f>
        <s:v>171</s:v>
      </s:c>
      <s:c r="M44" s="5">
        <s:f>B44*Projects!O2+C44*Projects!O3+D44*Projects!O4+E44*Projects!O5+F44*Projects!O6+G44*Projects!O7+H44*Projects!O8+I44*Projects!O9</s:f>
        <s:v>9828608.074586019</s:v>
      </s:c>
      <s:c r="N44" s="2">
        <s:f>B44*(1-Projects!Q2)+C44*(1-Projects!Q3)+D44*(1-Projects!Q4)+E44*(1-Projects!Q5)+F44*(1-Projects!Q6)+G44*(1-Projects!Q7)+H44*(1-Projects!Q8)+I44*(1-Projects!Q9)</s:f>
        <s:v>0</s:v>
      </s:c>
      <s:c r="O44" s="2">
        <s:f>IF(AND(J44&lt;=Inputs!B2,L44&gt;=Inputs!B3,M44&gt;=Inputs!B18,N44=0),1,0)</s:f>
        <s:v>1</s:v>
      </s:c>
      <s:c r="P44" s="2">
        <s:f>IF(O44=1,L44,-1)</s:f>
        <s:v>171</s:v>
      </s:c>
      <s:c r="Q44" s="2">
        <s:f>IF(AND(O44=1,L44=MAX(P$2:P$257)),M44,-1E+99)</s:f>
        <s:v>-1e+99</s:v>
      </s:c>
    </s:row>
    <s:row r="45">
      <s:c r="A45" s="19" t="n">
        <s:v>43</s:v>
      </s:c>
      <s:c r="B45" s="19" t="n">
        <s:v>0</s:v>
      </s:c>
      <s:c r="C45" s="19" t="n">
        <s:v>0</s:v>
      </s:c>
      <s:c r="D45" s="19" t="n">
        <s:v>1</s:v>
      </s:c>
      <s:c r="E45" s="19" t="n">
        <s:v>0</s:v>
      </s:c>
      <s:c r="F45" s="19" t="n">
        <s:v>1</s:v>
      </s:c>
      <s:c r="G45" s="19" t="n">
        <s:v>0</s:v>
      </s:c>
      <s:c r="H45" s="19" t="n">
        <s:v>1</s:v>
      </s:c>
      <s:c r="I45" s="19" t="n">
        <s:v>1</s:v>
      </s:c>
      <s:c r="J45" s="4">
        <s:f>B45*Projects!N2+C45*Projects!N3+D45*Projects!N4+E45*Projects!N5+F45*Projects!N6+G45*Projects!N7+H45*Projects!N8+I45*Projects!N9</s:f>
        <s:v>17300000</s:v>
      </s:c>
      <s:c r="K45" s="3">
        <s:f>B45*Projects!C2+C45*Projects!C3+D45*Projects!C4+E45*Projects!C5+F45*Projects!C6+G45*Projects!C7+H45*Projects!C8+I45*Projects!C9</s:f>
        <s:v>410</s:v>
      </s:c>
      <s:c r="L45" s="3">
        <s:f>B45*Projects!D2+C45*Projects!D3+D45*Projects!D4+E45*Projects!D5+F45*Projects!D6+G45*Projects!D7+H45*Projects!D8+I45*Projects!D9</s:f>
        <s:v>198</s:v>
      </s:c>
      <s:c r="M45" s="4">
        <s:f>B45*Projects!O2+C45*Projects!O3+D45*Projects!O4+E45*Projects!O5+F45*Projects!O6+G45*Projects!O7+H45*Projects!O8+I45*Projects!O9</s:f>
        <s:v>14285235.500130054</s:v>
      </s:c>
      <s:c r="N45" s="3">
        <s:f>B45*(1-Projects!Q2)+C45*(1-Projects!Q3)+D45*(1-Projects!Q4)+E45*(1-Projects!Q5)+F45*(1-Projects!Q6)+G45*(1-Projects!Q7)+H45*(1-Projects!Q8)+I45*(1-Projects!Q9)</s:f>
        <s:v>0</s:v>
      </s:c>
      <s:c r="O45" s="3">
        <s:f>IF(AND(J45&lt;=Inputs!B2,L45&gt;=Inputs!B3,M45&gt;=Inputs!B18,N45=0),1,0)</s:f>
        <s:v>0</s:v>
      </s:c>
      <s:c r="P45" s="3">
        <s:f>IF(O45=1,L45,-1)</s:f>
        <s:v>-1</s:v>
      </s:c>
      <s:c r="Q45" s="3">
        <s:f>IF(AND(O45=1,L45=MAX(P$2:P$257)),M45,-1E+99)</s:f>
        <s:v>-1e+99</s:v>
      </s:c>
    </s:row>
    <s:row r="46">
      <s:c r="A46" s="18" t="n">
        <s:v>44</s:v>
      </s:c>
      <s:c r="B46" s="18" t="n">
        <s:v>0</s:v>
      </s:c>
      <s:c r="C46" s="18" t="n">
        <s:v>0</s:v>
      </s:c>
      <s:c r="D46" s="18" t="n">
        <s:v>1</s:v>
      </s:c>
      <s:c r="E46" s="18" t="n">
        <s:v>0</s:v>
      </s:c>
      <s:c r="F46" s="18" t="n">
        <s:v>1</s:v>
      </s:c>
      <s:c r="G46" s="18" t="n">
        <s:v>1</s:v>
      </s:c>
      <s:c r="H46" s="18" t="n">
        <s:v>0</s:v>
      </s:c>
      <s:c r="I46" s="18" t="n">
        <s:v>0</s:v>
      </s:c>
      <s:c r="J46" s="5">
        <s:f>B46*Projects!N2+C46*Projects!N3+D46*Projects!N4+E46*Projects!N5+F46*Projects!N6+G46*Projects!N7+H46*Projects!N8+I46*Projects!N9</s:f>
        <s:v>11900000</s:v>
      </s:c>
      <s:c r="K46" s="2">
        <s:f>B46*Projects!C2+C46*Projects!C3+D46*Projects!C4+E46*Projects!C5+F46*Projects!C6+G46*Projects!C7+H46*Projects!C8+I46*Projects!C9</s:f>
        <s:v>290</s:v>
      </s:c>
      <s:c r="L46" s="2">
        <s:f>B46*Projects!D2+C46*Projects!D3+D46*Projects!D4+E46*Projects!D5+F46*Projects!D6+G46*Projects!D7+H46*Projects!D8+I46*Projects!D9</s:f>
        <s:v>145</s:v>
      </s:c>
      <s:c r="M46" s="5">
        <s:f>B46*Projects!O2+C46*Projects!O3+D46*Projects!O4+E46*Projects!O5+F46*Projects!O6+G46*Projects!O7+H46*Projects!O8+I46*Projects!O9</s:f>
        <s:v>9303412.716565715</s:v>
      </s:c>
      <s:c r="N46" s="2">
        <s:f>B46*(1-Projects!Q2)+C46*(1-Projects!Q3)+D46*(1-Projects!Q4)+E46*(1-Projects!Q5)+F46*(1-Projects!Q6)+G46*(1-Projects!Q7)+H46*(1-Projects!Q8)+I46*(1-Projects!Q9)</s:f>
        <s:v>0</s:v>
      </s:c>
      <s:c r="O46" s="2">
        <s:f>IF(AND(J46&lt;=Inputs!B2,L46&gt;=Inputs!B3,M46&gt;=Inputs!B18,N46=0),1,0)</s:f>
        <s:v>1</s:v>
      </s:c>
      <s:c r="P46" s="2">
        <s:f>IF(O46=1,L46,-1)</s:f>
        <s:v>145</s:v>
      </s:c>
      <s:c r="Q46" s="2">
        <s:f>IF(AND(O46=1,L46=MAX(P$2:P$257)),M46,-1E+99)</s:f>
        <s:v>-1e+99</s:v>
      </s:c>
    </s:row>
    <s:row r="47">
      <s:c r="A47" s="19" t="n">
        <s:v>45</s:v>
      </s:c>
      <s:c r="B47" s="19" t="n">
        <s:v>0</s:v>
      </s:c>
      <s:c r="C47" s="19" t="n">
        <s:v>0</s:v>
      </s:c>
      <s:c r="D47" s="19" t="n">
        <s:v>1</s:v>
      </s:c>
      <s:c r="E47" s="19" t="n">
        <s:v>0</s:v>
      </s:c>
      <s:c r="F47" s="19" t="n">
        <s:v>1</s:v>
      </s:c>
      <s:c r="G47" s="19" t="n">
        <s:v>1</s:v>
      </s:c>
      <s:c r="H47" s="19" t="n">
        <s:v>0</s:v>
      </s:c>
      <s:c r="I47" s="19" t="n">
        <s:v>1</s:v>
      </s:c>
      <s:c r="J47" s="4">
        <s:f>B47*Projects!N2+C47*Projects!N3+D47*Projects!N4+E47*Projects!N5+F47*Projects!N6+G47*Projects!N7+H47*Projects!N8+I47*Projects!N9</s:f>
        <s:v>16400000</s:v>
      </s:c>
      <s:c r="K47" s="3">
        <s:f>B47*Projects!C2+C47*Projects!C3+D47*Projects!C4+E47*Projects!C5+F47*Projects!C6+G47*Projects!C7+H47*Projects!C8+I47*Projects!C9</s:f>
        <s:v>380</s:v>
      </s:c>
      <s:c r="L47" s="3">
        <s:f>B47*Projects!D2+C47*Projects!D3+D47*Projects!D4+E47*Projects!D5+F47*Projects!D6+G47*Projects!D7+H47*Projects!D8+I47*Projects!D9</s:f>
        <s:v>172</s:v>
      </s:c>
      <s:c r="M47" s="4">
        <s:f>B47*Projects!O2+C47*Projects!O3+D47*Projects!O4+E47*Projects!O5+F47*Projects!O6+G47*Projects!O7+H47*Projects!O8+I47*Projects!O9</s:f>
        <s:v>13760040.142109752</s:v>
      </s:c>
      <s:c r="N47" s="3">
        <s:f>B47*(1-Projects!Q2)+C47*(1-Projects!Q3)+D47*(1-Projects!Q4)+E47*(1-Projects!Q5)+F47*(1-Projects!Q6)+G47*(1-Projects!Q7)+H47*(1-Projects!Q8)+I47*(1-Projects!Q9)</s:f>
        <s:v>0</s:v>
      </s:c>
      <s:c r="O47" s="3">
        <s:f>IF(AND(J47&lt;=Inputs!B2,L47&gt;=Inputs!B3,M47&gt;=Inputs!B18,N47=0),1,0)</s:f>
        <s:v>0</s:v>
      </s:c>
      <s:c r="P47" s="3">
        <s:f>IF(O47=1,L47,-1)</s:f>
        <s:v>-1</s:v>
      </s:c>
      <s:c r="Q47" s="3">
        <s:f>IF(AND(O47=1,L47=MAX(P$2:P$257)),M47,-1E+99)</s:f>
        <s:v>-1e+99</s:v>
      </s:c>
    </s:row>
    <s:row r="48">
      <s:c r="A48" s="18" t="n">
        <s:v>46</s:v>
      </s:c>
      <s:c r="B48" s="18" t="n">
        <s:v>0</s:v>
      </s:c>
      <s:c r="C48" s="18" t="n">
        <s:v>0</s:v>
      </s:c>
      <s:c r="D48" s="18" t="n">
        <s:v>1</s:v>
      </s:c>
      <s:c r="E48" s="18" t="n">
        <s:v>0</s:v>
      </s:c>
      <s:c r="F48" s="18" t="n">
        <s:v>1</s:v>
      </s:c>
      <s:c r="G48" s="18" t="n">
        <s:v>1</s:v>
      </s:c>
      <s:c r="H48" s="18" t="n">
        <s:v>1</s:v>
      </s:c>
      <s:c r="I48" s="18" t="n">
        <s:v>0</s:v>
      </s:c>
      <s:c r="J48" s="5">
        <s:f>B48*Projects!N2+C48*Projects!N3+D48*Projects!N4+E48*Projects!N5+F48*Projects!N6+G48*Projects!N7+H48*Projects!N8+I48*Projects!N9</s:f>
        <s:v>16000000</s:v>
      </s:c>
      <s:c r="K48" s="2">
        <s:f>B48*Projects!C2+C48*Projects!C3+D48*Projects!C4+E48*Projects!C5+F48*Projects!C6+G48*Projects!C7+H48*Projects!C8+I48*Projects!C9</s:f>
        <s:v>400</s:v>
      </s:c>
      <s:c r="L48" s="2">
        <s:f>B48*Projects!D2+C48*Projects!D3+D48*Projects!D4+E48*Projects!D5+F48*Projects!D6+G48*Projects!D7+H48*Projects!D8+I48*Projects!D9</s:f>
        <s:v>211</s:v>
      </s:c>
      <s:c r="M48" s="5">
        <s:f>B48*Projects!O2+C48*Projects!O3+D48*Projects!O4+E48*Projects!O5+F48*Projects!O6+G48*Projects!O7+H48*Projects!O8+I48*Projects!O9</s:f>
        <s:v>12338786.694455022</s:v>
      </s:c>
      <s:c r="N48" s="2">
        <s:f>B48*(1-Projects!Q2)+C48*(1-Projects!Q3)+D48*(1-Projects!Q4)+E48*(1-Projects!Q5)+F48*(1-Projects!Q6)+G48*(1-Projects!Q7)+H48*(1-Projects!Q8)+I48*(1-Projects!Q9)</s:f>
        <s:v>0</s:v>
      </s:c>
      <s:c r="O48" s="2">
        <s:f>IF(AND(J48&lt;=Inputs!B2,L48&gt;=Inputs!B3,M48&gt;=Inputs!B18,N48=0),1,0)</s:f>
        <s:v>0</s:v>
      </s:c>
      <s:c r="P48" s="2">
        <s:f>IF(O48=1,L48,-1)</s:f>
        <s:v>-1</s:v>
      </s:c>
      <s:c r="Q48" s="2">
        <s:f>IF(AND(O48=1,L48=MAX(P$2:P$257)),M48,-1E+99)</s:f>
        <s:v>-1e+99</s:v>
      </s:c>
    </s:row>
    <s:row r="49">
      <s:c r="A49" s="19" t="n">
        <s:v>47</s:v>
      </s:c>
      <s:c r="B49" s="19" t="n">
        <s:v>0</s:v>
      </s:c>
      <s:c r="C49" s="19" t="n">
        <s:v>0</s:v>
      </s:c>
      <s:c r="D49" s="19" t="n">
        <s:v>1</s:v>
      </s:c>
      <s:c r="E49" s="19" t="n">
        <s:v>0</s:v>
      </s:c>
      <s:c r="F49" s="19" t="n">
        <s:v>1</s:v>
      </s:c>
      <s:c r="G49" s="19" t="n">
        <s:v>1</s:v>
      </s:c>
      <s:c r="H49" s="19" t="n">
        <s:v>1</s:v>
      </s:c>
      <s:c r="I49" s="19" t="n">
        <s:v>1</s:v>
      </s:c>
      <s:c r="J49" s="4">
        <s:f>B49*Projects!N2+C49*Projects!N3+D49*Projects!N4+E49*Projects!N5+F49*Projects!N6+G49*Projects!N7+H49*Projects!N8+I49*Projects!N9</s:f>
        <s:v>20500000</s:v>
      </s:c>
      <s:c r="K49" s="3">
        <s:f>B49*Projects!C2+C49*Projects!C3+D49*Projects!C4+E49*Projects!C5+F49*Projects!C6+G49*Projects!C7+H49*Projects!C8+I49*Projects!C9</s:f>
        <s:v>490</s:v>
      </s:c>
      <s:c r="L49" s="3">
        <s:f>B49*Projects!D2+C49*Projects!D3+D49*Projects!D4+E49*Projects!D5+F49*Projects!D6+G49*Projects!D7+H49*Projects!D8+I49*Projects!D9</s:f>
        <s:v>238</s:v>
      </s:c>
      <s:c r="M49" s="4">
        <s:f>B49*Projects!O2+C49*Projects!O3+D49*Projects!O4+E49*Projects!O5+F49*Projects!O6+G49*Projects!O7+H49*Projects!O8+I49*Projects!O9</s:f>
        <s:v>16795414.11999906</s:v>
      </s:c>
      <s:c r="N49" s="3">
        <s:f>B49*(1-Projects!Q2)+C49*(1-Projects!Q3)+D49*(1-Projects!Q4)+E49*(1-Projects!Q5)+F49*(1-Projects!Q6)+G49*(1-Projects!Q7)+H49*(1-Projects!Q8)+I49*(1-Projects!Q9)</s:f>
        <s:v>0</s:v>
      </s:c>
      <s:c r="O49" s="3">
        <s:f>IF(AND(J49&lt;=Inputs!B2,L49&gt;=Inputs!B3,M49&gt;=Inputs!B18,N49=0),1,0)</s:f>
        <s:v>0</s:v>
      </s:c>
      <s:c r="P49" s="3">
        <s:f>IF(O49=1,L49,-1)</s:f>
        <s:v>-1</s:v>
      </s:c>
      <s:c r="Q49" s="3">
        <s:f>IF(AND(O49=1,L49=MAX(P$2:P$257)),M49,-1E+99)</s:f>
        <s:v>-1e+99</s:v>
      </s:c>
    </s:row>
    <s:row r="50">
      <s:c r="A50" s="18" t="n">
        <s:v>48</s:v>
      </s:c>
      <s:c r="B50" s="18" t="n">
        <s:v>0</s:v>
      </s:c>
      <s:c r="C50" s="18" t="n">
        <s:v>0</s:v>
      </s:c>
      <s:c r="D50" s="18" t="n">
        <s:v>1</s:v>
      </s:c>
      <s:c r="E50" s="18" t="n">
        <s:v>1</s:v>
      </s:c>
      <s:c r="F50" s="18" t="n">
        <s:v>0</s:v>
      </s:c>
      <s:c r="G50" s="18" t="n">
        <s:v>0</s:v>
      </s:c>
      <s:c r="H50" s="18" t="n">
        <s:v>0</s:v>
      </s:c>
      <s:c r="I50" s="18" t="n">
        <s:v>0</s:v>
      </s:c>
      <s:c r="J50" s="5">
        <s:f>B50*Projects!N2+C50*Projects!N3+D50*Projects!N4+E50*Projects!N5+F50*Projects!N6+G50*Projects!N7+H50*Projects!N8+I50*Projects!N9</s:f>
        <s:v>8300000</s:v>
      </s:c>
      <s:c r="K50" s="2">
        <s:f>B50*Projects!C2+C50*Projects!C3+D50*Projects!C4+E50*Projects!C5+F50*Projects!C6+G50*Projects!C7+H50*Projects!C8+I50*Projects!C9</s:f>
        <s:v>190</s:v>
      </s:c>
      <s:c r="L50" s="2">
        <s:f>B50*Projects!D2+C50*Projects!D3+D50*Projects!D4+E50*Projects!D5+F50*Projects!D6+G50*Projects!D7+H50*Projects!D8+I50*Projects!D9</s:f>
        <s:v>81</s:v>
      </s:c>
      <s:c r="M50" s="5">
        <s:f>B50*Projects!O2+C50*Projects!O3+D50*Projects!O4+E50*Projects!O5+F50*Projects!O6+G50*Projects!O7+H50*Projects!O8+I50*Projects!O9</s:f>
        <s:v>7107629.963756251</s:v>
      </s:c>
      <s:c r="N50" s="2">
        <s:f>B50*(1-Projects!Q2)+C50*(1-Projects!Q3)+D50*(1-Projects!Q4)+E50*(1-Projects!Q5)+F50*(1-Projects!Q6)+G50*(1-Projects!Q7)+H50*(1-Projects!Q8)+I50*(1-Projects!Q9)</s:f>
        <s:v>0</s:v>
      </s:c>
      <s:c r="O50" s="2">
        <s:f>IF(AND(J50&lt;=Inputs!B2,L50&gt;=Inputs!B3,M50&gt;=Inputs!B18,N50=0),1,0)</s:f>
        <s:v>1</s:v>
      </s:c>
      <s:c r="P50" s="2">
        <s:f>IF(O50=1,L50,-1)</s:f>
        <s:v>81</s:v>
      </s:c>
      <s:c r="Q50" s="2">
        <s:f>IF(AND(O50=1,L50=MAX(P$2:P$257)),M50,-1E+99)</s:f>
        <s:v>-1e+99</s:v>
      </s:c>
    </s:row>
    <s:row r="51">
      <s:c r="A51" s="19" t="n">
        <s:v>49</s:v>
      </s:c>
      <s:c r="B51" s="19" t="n">
        <s:v>0</s:v>
      </s:c>
      <s:c r="C51" s="19" t="n">
        <s:v>0</s:v>
      </s:c>
      <s:c r="D51" s="19" t="n">
        <s:v>1</s:v>
      </s:c>
      <s:c r="E51" s="19" t="n">
        <s:v>1</s:v>
      </s:c>
      <s:c r="F51" s="19" t="n">
        <s:v>0</s:v>
      </s:c>
      <s:c r="G51" s="19" t="n">
        <s:v>0</s:v>
      </s:c>
      <s:c r="H51" s="19" t="n">
        <s:v>0</s:v>
      </s:c>
      <s:c r="I51" s="19" t="n">
        <s:v>1</s:v>
      </s:c>
      <s:c r="J51" s="4">
        <s:f>B51*Projects!N2+C51*Projects!N3+D51*Projects!N4+E51*Projects!N5+F51*Projects!N6+G51*Projects!N7+H51*Projects!N8+I51*Projects!N9</s:f>
        <s:v>12800000</s:v>
      </s:c>
      <s:c r="K51" s="3">
        <s:f>B51*Projects!C2+C51*Projects!C3+D51*Projects!C4+E51*Projects!C5+F51*Projects!C6+G51*Projects!C7+H51*Projects!C8+I51*Projects!C9</s:f>
        <s:v>280</s:v>
      </s:c>
      <s:c r="L51" s="3">
        <s:f>B51*Projects!D2+C51*Projects!D3+D51*Projects!D4+E51*Projects!D5+F51*Projects!D6+G51*Projects!D7+H51*Projects!D8+I51*Projects!D9</s:f>
        <s:v>108</s:v>
      </s:c>
      <s:c r="M51" s="4">
        <s:f>B51*Projects!O2+C51*Projects!O3+D51*Projects!O4+E51*Projects!O5+F51*Projects!O6+G51*Projects!O7+H51*Projects!O8+I51*Projects!O9</s:f>
        <s:v>11564257.389300287</s:v>
      </s:c>
      <s:c r="N51" s="3">
        <s:f>B51*(1-Projects!Q2)+C51*(1-Projects!Q3)+D51*(1-Projects!Q4)+E51*(1-Projects!Q5)+F51*(1-Projects!Q6)+G51*(1-Projects!Q7)+H51*(1-Projects!Q8)+I51*(1-Projects!Q9)</s:f>
        <s:v>0</s:v>
      </s:c>
      <s:c r="O51" s="3">
        <s:f>IF(AND(J51&lt;=Inputs!B2,L51&gt;=Inputs!B3,M51&gt;=Inputs!B18,N51=0),1,0)</s:f>
        <s:v>1</s:v>
      </s:c>
      <s:c r="P51" s="3">
        <s:f>IF(O51=1,L51,-1)</s:f>
        <s:v>108</s:v>
      </s:c>
      <s:c r="Q51" s="3">
        <s:f>IF(AND(O51=1,L51=MAX(P$2:P$257)),M51,-1E+99)</s:f>
        <s:v>-1e+99</s:v>
      </s:c>
    </s:row>
    <s:row r="52">
      <s:c r="A52" s="18" t="n">
        <s:v>50</s:v>
      </s:c>
      <s:c r="B52" s="18" t="n">
        <s:v>0</s:v>
      </s:c>
      <s:c r="C52" s="18" t="n">
        <s:v>0</s:v>
      </s:c>
      <s:c r="D52" s="18" t="n">
        <s:v>1</s:v>
      </s:c>
      <s:c r="E52" s="18" t="n">
        <s:v>1</s:v>
      </s:c>
      <s:c r="F52" s="18" t="n">
        <s:v>0</s:v>
      </s:c>
      <s:c r="G52" s="18" t="n">
        <s:v>0</s:v>
      </s:c>
      <s:c r="H52" s="18" t="n">
        <s:v>1</s:v>
      </s:c>
      <s:c r="I52" s="18" t="n">
        <s:v>0</s:v>
      </s:c>
      <s:c r="J52" s="5">
        <s:f>B52*Projects!N2+C52*Projects!N3+D52*Projects!N4+E52*Projects!N5+F52*Projects!N6+G52*Projects!N7+H52*Projects!N8+I52*Projects!N9</s:f>
        <s:v>12400000</s:v>
      </s:c>
      <s:c r="K52" s="2">
        <s:f>B52*Projects!C2+C52*Projects!C3+D52*Projects!C4+E52*Projects!C5+F52*Projects!C6+G52*Projects!C7+H52*Projects!C8+I52*Projects!C9</s:f>
        <s:v>300</s:v>
      </s:c>
      <s:c r="L52" s="2">
        <s:f>B52*Projects!D2+C52*Projects!D3+D52*Projects!D4+E52*Projects!D5+F52*Projects!D6+G52*Projects!D7+H52*Projects!D8+I52*Projects!D9</s:f>
        <s:v>147</s:v>
      </s:c>
      <s:c r="M52" s="5">
        <s:f>B52*Projects!O2+C52*Projects!O3+D52*Projects!O4+E52*Projects!O5+F52*Projects!O6+G52*Projects!O7+H52*Projects!O8+I52*Projects!O9</s:f>
        <s:v>10143003.941645559</s:v>
      </s:c>
      <s:c r="N52" s="2">
        <s:f>B52*(1-Projects!Q2)+C52*(1-Projects!Q3)+D52*(1-Projects!Q4)+E52*(1-Projects!Q5)+F52*(1-Projects!Q6)+G52*(1-Projects!Q7)+H52*(1-Projects!Q8)+I52*(1-Projects!Q9)</s:f>
        <s:v>0</s:v>
      </s:c>
      <s:c r="O52" s="2">
        <s:f>IF(AND(J52&lt;=Inputs!B2,L52&gt;=Inputs!B3,M52&gt;=Inputs!B18,N52=0),1,0)</s:f>
        <s:v>1</s:v>
      </s:c>
      <s:c r="P52" s="2">
        <s:f>IF(O52=1,L52,-1)</s:f>
        <s:v>147</s:v>
      </s:c>
      <s:c r="Q52" s="2">
        <s:f>IF(AND(O52=1,L52=MAX(P$2:P$257)),M52,-1E+99)</s:f>
        <s:v>-1e+99</s:v>
      </s:c>
    </s:row>
    <s:row r="53">
      <s:c r="A53" s="19" t="n">
        <s:v>51</s:v>
      </s:c>
      <s:c r="B53" s="19" t="n">
        <s:v>0</s:v>
      </s:c>
      <s:c r="C53" s="19" t="n">
        <s:v>0</s:v>
      </s:c>
      <s:c r="D53" s="19" t="n">
        <s:v>1</s:v>
      </s:c>
      <s:c r="E53" s="19" t="n">
        <s:v>1</s:v>
      </s:c>
      <s:c r="F53" s="19" t="n">
        <s:v>0</s:v>
      </s:c>
      <s:c r="G53" s="19" t="n">
        <s:v>0</s:v>
      </s:c>
      <s:c r="H53" s="19" t="n">
        <s:v>1</s:v>
      </s:c>
      <s:c r="I53" s="19" t="n">
        <s:v>1</s:v>
      </s:c>
      <s:c r="J53" s="4">
        <s:f>B53*Projects!N2+C53*Projects!N3+D53*Projects!N4+E53*Projects!N5+F53*Projects!N6+G53*Projects!N7+H53*Projects!N8+I53*Projects!N9</s:f>
        <s:v>16900000</s:v>
      </s:c>
      <s:c r="K53" s="3">
        <s:f>B53*Projects!C2+C53*Projects!C3+D53*Projects!C4+E53*Projects!C5+F53*Projects!C6+G53*Projects!C7+H53*Projects!C8+I53*Projects!C9</s:f>
        <s:v>390</s:v>
      </s:c>
      <s:c r="L53" s="3">
        <s:f>B53*Projects!D2+C53*Projects!D3+D53*Projects!D4+E53*Projects!D5+F53*Projects!D6+G53*Projects!D7+H53*Projects!D8+I53*Projects!D9</s:f>
        <s:v>174</s:v>
      </s:c>
      <s:c r="M53" s="4">
        <s:f>B53*Projects!O2+C53*Projects!O3+D53*Projects!O4+E53*Projects!O5+F53*Projects!O6+G53*Projects!O7+H53*Projects!O8+I53*Projects!O9</s:f>
        <s:v>14599631.367189594</s:v>
      </s:c>
      <s:c r="N53" s="3">
        <s:f>B53*(1-Projects!Q2)+C53*(1-Projects!Q3)+D53*(1-Projects!Q4)+E53*(1-Projects!Q5)+F53*(1-Projects!Q6)+G53*(1-Projects!Q7)+H53*(1-Projects!Q8)+I53*(1-Projects!Q9)</s:f>
        <s:v>0</s:v>
      </s:c>
      <s:c r="O53" s="3">
        <s:f>IF(AND(J53&lt;=Inputs!B2,L53&gt;=Inputs!B3,M53&gt;=Inputs!B18,N53=0),1,0)</s:f>
        <s:v>0</s:v>
      </s:c>
      <s:c r="P53" s="3">
        <s:f>IF(O53=1,L53,-1)</s:f>
        <s:v>-1</s:v>
      </s:c>
      <s:c r="Q53" s="3">
        <s:f>IF(AND(O53=1,L53=MAX(P$2:P$257)),M53,-1E+99)</s:f>
        <s:v>-1e+99</s:v>
      </s:c>
    </s:row>
    <s:row r="54">
      <s:c r="A54" s="18" t="n">
        <s:v>52</s:v>
      </s:c>
      <s:c r="B54" s="18" t="n">
        <s:v>0</s:v>
      </s:c>
      <s:c r="C54" s="18" t="n">
        <s:v>0</s:v>
      </s:c>
      <s:c r="D54" s="18" t="n">
        <s:v>1</s:v>
      </s:c>
      <s:c r="E54" s="18" t="n">
        <s:v>1</s:v>
      </s:c>
      <s:c r="F54" s="18" t="n">
        <s:v>0</s:v>
      </s:c>
      <s:c r="G54" s="18" t="n">
        <s:v>1</s:v>
      </s:c>
      <s:c r="H54" s="18" t="n">
        <s:v>0</s:v>
      </s:c>
      <s:c r="I54" s="18" t="n">
        <s:v>0</s:v>
      </s:c>
      <s:c r="J54" s="5">
        <s:f>B54*Projects!N2+C54*Projects!N3+D54*Projects!N4+E54*Projects!N5+F54*Projects!N6+G54*Projects!N7+H54*Projects!N8+I54*Projects!N9</s:f>
        <s:v>11500000</s:v>
      </s:c>
      <s:c r="K54" s="2">
        <s:f>B54*Projects!C2+C54*Projects!C3+D54*Projects!C4+E54*Projects!C5+F54*Projects!C6+G54*Projects!C7+H54*Projects!C8+I54*Projects!C9</s:f>
        <s:v>270</s:v>
      </s:c>
      <s:c r="L54" s="2">
        <s:f>B54*Projects!D2+C54*Projects!D3+D54*Projects!D4+E54*Projects!D5+F54*Projects!D6+G54*Projects!D7+H54*Projects!D8+I54*Projects!D9</s:f>
        <s:v>121</s:v>
      </s:c>
      <s:c r="M54" s="5">
        <s:f>B54*Projects!O2+C54*Projects!O3+D54*Projects!O4+E54*Projects!O5+F54*Projects!O6+G54*Projects!O7+H54*Projects!O8+I54*Projects!O9</s:f>
        <s:v>9617808.583625253</s:v>
      </s:c>
      <s:c r="N54" s="2">
        <s:f>B54*(1-Projects!Q2)+C54*(1-Projects!Q3)+D54*(1-Projects!Q4)+E54*(1-Projects!Q5)+F54*(1-Projects!Q6)+G54*(1-Projects!Q7)+H54*(1-Projects!Q8)+I54*(1-Projects!Q9)</s:f>
        <s:v>0</s:v>
      </s:c>
      <s:c r="O54" s="2">
        <s:f>IF(AND(J54&lt;=Inputs!B2,L54&gt;=Inputs!B3,M54&gt;=Inputs!B18,N54=0),1,0)</s:f>
        <s:v>1</s:v>
      </s:c>
      <s:c r="P54" s="2">
        <s:f>IF(O54=1,L54,-1)</s:f>
        <s:v>121</s:v>
      </s:c>
      <s:c r="Q54" s="2">
        <s:f>IF(AND(O54=1,L54=MAX(P$2:P$257)),M54,-1E+99)</s:f>
        <s:v>-1e+99</s:v>
      </s:c>
    </s:row>
    <s:row r="55">
      <s:c r="A55" s="19" t="n">
        <s:v>53</s:v>
      </s:c>
      <s:c r="B55" s="19" t="n">
        <s:v>0</s:v>
      </s:c>
      <s:c r="C55" s="19" t="n">
        <s:v>0</s:v>
      </s:c>
      <s:c r="D55" s="19" t="n">
        <s:v>1</s:v>
      </s:c>
      <s:c r="E55" s="19" t="n">
        <s:v>1</s:v>
      </s:c>
      <s:c r="F55" s="19" t="n">
        <s:v>0</s:v>
      </s:c>
      <s:c r="G55" s="19" t="n">
        <s:v>1</s:v>
      </s:c>
      <s:c r="H55" s="19" t="n">
        <s:v>0</s:v>
      </s:c>
      <s:c r="I55" s="19" t="n">
        <s:v>1</s:v>
      </s:c>
      <s:c r="J55" s="4">
        <s:f>B55*Projects!N2+C55*Projects!N3+D55*Projects!N4+E55*Projects!N5+F55*Projects!N6+G55*Projects!N7+H55*Projects!N8+I55*Projects!N9</s:f>
        <s:v>16000000</s:v>
      </s:c>
      <s:c r="K55" s="3">
        <s:f>B55*Projects!C2+C55*Projects!C3+D55*Projects!C4+E55*Projects!C5+F55*Projects!C6+G55*Projects!C7+H55*Projects!C8+I55*Projects!C9</s:f>
        <s:v>360</s:v>
      </s:c>
      <s:c r="L55" s="3">
        <s:f>B55*Projects!D2+C55*Projects!D3+D55*Projects!D4+E55*Projects!D5+F55*Projects!D6+G55*Projects!D7+H55*Projects!D8+I55*Projects!D9</s:f>
        <s:v>148</s:v>
      </s:c>
      <s:c r="M55" s="4">
        <s:f>B55*Projects!O2+C55*Projects!O3+D55*Projects!O4+E55*Projects!O5+F55*Projects!O6+G55*Projects!O7+H55*Projects!O8+I55*Projects!O9</s:f>
        <s:v>14074436.009169288</s:v>
      </s:c>
      <s:c r="N55" s="3">
        <s:f>B55*(1-Projects!Q2)+C55*(1-Projects!Q3)+D55*(1-Projects!Q4)+E55*(1-Projects!Q5)+F55*(1-Projects!Q6)+G55*(1-Projects!Q7)+H55*(1-Projects!Q8)+I55*(1-Projects!Q9)</s:f>
        <s:v>0</s:v>
      </s:c>
      <s:c r="O55" s="3">
        <s:f>IF(AND(J55&lt;=Inputs!B2,L55&gt;=Inputs!B3,M55&gt;=Inputs!B18,N55=0),1,0)</s:f>
        <s:v>0</s:v>
      </s:c>
      <s:c r="P55" s="3">
        <s:f>IF(O55=1,L55,-1)</s:f>
        <s:v>-1</s:v>
      </s:c>
      <s:c r="Q55" s="3">
        <s:f>IF(AND(O55=1,L55=MAX(P$2:P$257)),M55,-1E+99)</s:f>
        <s:v>-1e+99</s:v>
      </s:c>
    </s:row>
    <s:row r="56">
      <s:c r="A56" s="18" t="n">
        <s:v>54</s:v>
      </s:c>
      <s:c r="B56" s="18" t="n">
        <s:v>0</s:v>
      </s:c>
      <s:c r="C56" s="18" t="n">
        <s:v>0</s:v>
      </s:c>
      <s:c r="D56" s="18" t="n">
        <s:v>1</s:v>
      </s:c>
      <s:c r="E56" s="18" t="n">
        <s:v>1</s:v>
      </s:c>
      <s:c r="F56" s="18" t="n">
        <s:v>0</s:v>
      </s:c>
      <s:c r="G56" s="18" t="n">
        <s:v>1</s:v>
      </s:c>
      <s:c r="H56" s="18" t="n">
        <s:v>1</s:v>
      </s:c>
      <s:c r="I56" s="18" t="n">
        <s:v>0</s:v>
      </s:c>
      <s:c r="J56" s="5">
        <s:f>B56*Projects!N2+C56*Projects!N3+D56*Projects!N4+E56*Projects!N5+F56*Projects!N6+G56*Projects!N7+H56*Projects!N8+I56*Projects!N9</s:f>
        <s:v>15600000</s:v>
      </s:c>
      <s:c r="K56" s="2">
        <s:f>B56*Projects!C2+C56*Projects!C3+D56*Projects!C4+E56*Projects!C5+F56*Projects!C6+G56*Projects!C7+H56*Projects!C8+I56*Projects!C9</s:f>
        <s:v>380</s:v>
      </s:c>
      <s:c r="L56" s="2">
        <s:f>B56*Projects!D2+C56*Projects!D3+D56*Projects!D4+E56*Projects!D5+F56*Projects!D6+G56*Projects!D7+H56*Projects!D8+I56*Projects!D9</s:f>
        <s:v>187</s:v>
      </s:c>
      <s:c r="M56" s="5">
        <s:f>B56*Projects!O2+C56*Projects!O3+D56*Projects!O4+E56*Projects!O5+F56*Projects!O6+G56*Projects!O7+H56*Projects!O8+I56*Projects!O9</s:f>
        <s:v>12653182.56151456</s:v>
      </s:c>
      <s:c r="N56" s="2">
        <s:f>B56*(1-Projects!Q2)+C56*(1-Projects!Q3)+D56*(1-Projects!Q4)+E56*(1-Projects!Q5)+F56*(1-Projects!Q6)+G56*(1-Projects!Q7)+H56*(1-Projects!Q8)+I56*(1-Projects!Q9)</s:f>
        <s:v>0</s:v>
      </s:c>
      <s:c r="O56" s="2">
        <s:f>IF(AND(J56&lt;=Inputs!B2,L56&gt;=Inputs!B3,M56&gt;=Inputs!B18,N56=0),1,0)</s:f>
        <s:v>0</s:v>
      </s:c>
      <s:c r="P56" s="2">
        <s:f>IF(O56=1,L56,-1)</s:f>
        <s:v>-1</s:v>
      </s:c>
      <s:c r="Q56" s="2">
        <s:f>IF(AND(O56=1,L56=MAX(P$2:P$257)),M56,-1E+99)</s:f>
        <s:v>-1e+99</s:v>
      </s:c>
    </s:row>
    <s:row r="57">
      <s:c r="A57" s="19" t="n">
        <s:v>55</s:v>
      </s:c>
      <s:c r="B57" s="19" t="n">
        <s:v>0</s:v>
      </s:c>
      <s:c r="C57" s="19" t="n">
        <s:v>0</s:v>
      </s:c>
      <s:c r="D57" s="19" t="n">
        <s:v>1</s:v>
      </s:c>
      <s:c r="E57" s="19" t="n">
        <s:v>1</s:v>
      </s:c>
      <s:c r="F57" s="19" t="n">
        <s:v>0</s:v>
      </s:c>
      <s:c r="G57" s="19" t="n">
        <s:v>1</s:v>
      </s:c>
      <s:c r="H57" s="19" t="n">
        <s:v>1</s:v>
      </s:c>
      <s:c r="I57" s="19" t="n">
        <s:v>1</s:v>
      </s:c>
      <s:c r="J57" s="4">
        <s:f>B57*Projects!N2+C57*Projects!N3+D57*Projects!N4+E57*Projects!N5+F57*Projects!N6+G57*Projects!N7+H57*Projects!N8+I57*Projects!N9</s:f>
        <s:v>20100000</s:v>
      </s:c>
      <s:c r="K57" s="3">
        <s:f>B57*Projects!C2+C57*Projects!C3+D57*Projects!C4+E57*Projects!C5+F57*Projects!C6+G57*Projects!C7+H57*Projects!C8+I57*Projects!C9</s:f>
        <s:v>470</s:v>
      </s:c>
      <s:c r="L57" s="3">
        <s:f>B57*Projects!D2+C57*Projects!D3+D57*Projects!D4+E57*Projects!D5+F57*Projects!D6+G57*Projects!D7+H57*Projects!D8+I57*Projects!D9</s:f>
        <s:v>214</s:v>
      </s:c>
      <s:c r="M57" s="4">
        <s:f>B57*Projects!O2+C57*Projects!O3+D57*Projects!O4+E57*Projects!O5+F57*Projects!O6+G57*Projects!O7+H57*Projects!O8+I57*Projects!O9</s:f>
        <s:v>17109809.987058595</s:v>
      </s:c>
      <s:c r="N57" s="3">
        <s:f>B57*(1-Projects!Q2)+C57*(1-Projects!Q3)+D57*(1-Projects!Q4)+E57*(1-Projects!Q5)+F57*(1-Projects!Q6)+G57*(1-Projects!Q7)+H57*(1-Projects!Q8)+I57*(1-Projects!Q9)</s:f>
        <s:v>0</s:v>
      </s:c>
      <s:c r="O57" s="3">
        <s:f>IF(AND(J57&lt;=Inputs!B2,L57&gt;=Inputs!B3,M57&gt;=Inputs!B18,N57=0),1,0)</s:f>
        <s:v>0</s:v>
      </s:c>
      <s:c r="P57" s="3">
        <s:f>IF(O57=1,L57,-1)</s:f>
        <s:v>-1</s:v>
      </s:c>
      <s:c r="Q57" s="3">
        <s:f>IF(AND(O57=1,L57=MAX(P$2:P$257)),M57,-1E+99)</s:f>
        <s:v>-1e+99</s:v>
      </s:c>
    </s:row>
    <s:row r="58">
      <s:c r="A58" s="18" t="n">
        <s:v>56</s:v>
      </s:c>
      <s:c r="B58" s="18" t="n">
        <s:v>0</s:v>
      </s:c>
      <s:c r="C58" s="18" t="n">
        <s:v>0</s:v>
      </s:c>
      <s:c r="D58" s="18" t="n">
        <s:v>1</s:v>
      </s:c>
      <s:c r="E58" s="18" t="n">
        <s:v>1</s:v>
      </s:c>
      <s:c r="F58" s="18" t="n">
        <s:v>1</s:v>
      </s:c>
      <s:c r="G58" s="18" t="n">
        <s:v>0</s:v>
      </s:c>
      <s:c r="H58" s="18" t="n">
        <s:v>0</s:v>
      </s:c>
      <s:c r="I58" s="18" t="n">
        <s:v>0</s:v>
      </s:c>
      <s:c r="J58" s="5">
        <s:f>B58*Projects!N2+C58*Projects!N3+D58*Projects!N4+E58*Projects!N5+F58*Projects!N6+G58*Projects!N7+H58*Projects!N8+I58*Projects!N9</s:f>
        <s:v>12100000</s:v>
      </s:c>
      <s:c r="K58" s="2">
        <s:f>B58*Projects!C2+C58*Projects!C3+D58*Projects!C4+E58*Projects!C5+F58*Projects!C6+G58*Projects!C7+H58*Projects!C8+I58*Projects!C9</s:f>
        <s:v>280</s:v>
      </s:c>
      <s:c r="L58" s="2">
        <s:f>B58*Projects!D2+C58*Projects!D3+D58*Projects!D4+E58*Projects!D5+F58*Projects!D6+G58*Projects!D7+H58*Projects!D8+I58*Projects!D9</s:f>
        <s:v>126</s:v>
      </s:c>
      <s:c r="M58" s="5">
        <s:f>B58*Projects!O2+C58*Projects!O3+D58*Projects!O4+E58*Projects!O5+F58*Projects!O6+G58*Projects!O7+H58*Projects!O8+I58*Projects!O9</s:f>
        <s:v>10109592.325764313</s:v>
      </s:c>
      <s:c r="N58" s="2">
        <s:f>B58*(1-Projects!Q2)+C58*(1-Projects!Q3)+D58*(1-Projects!Q4)+E58*(1-Projects!Q5)+F58*(1-Projects!Q6)+G58*(1-Projects!Q7)+H58*(1-Projects!Q8)+I58*(1-Projects!Q9)</s:f>
        <s:v>0</s:v>
      </s:c>
      <s:c r="O58" s="2">
        <s:f>IF(AND(J58&lt;=Inputs!B2,L58&gt;=Inputs!B3,M58&gt;=Inputs!B18,N58=0),1,0)</s:f>
        <s:v>1</s:v>
      </s:c>
      <s:c r="P58" s="2">
        <s:f>IF(O58=1,L58,-1)</s:f>
        <s:v>126</s:v>
      </s:c>
      <s:c r="Q58" s="2">
        <s:f>IF(AND(O58=1,L58=MAX(P$2:P$257)),M58,-1E+99)</s:f>
        <s:v>-1e+99</s:v>
      </s:c>
    </s:row>
    <s:row r="59">
      <s:c r="A59" s="19" t="n">
        <s:v>57</s:v>
      </s:c>
      <s:c r="B59" s="19" t="n">
        <s:v>0</s:v>
      </s:c>
      <s:c r="C59" s="19" t="n">
        <s:v>0</s:v>
      </s:c>
      <s:c r="D59" s="19" t="n">
        <s:v>1</s:v>
      </s:c>
      <s:c r="E59" s="19" t="n">
        <s:v>1</s:v>
      </s:c>
      <s:c r="F59" s="19" t="n">
        <s:v>1</s:v>
      </s:c>
      <s:c r="G59" s="19" t="n">
        <s:v>0</s:v>
      </s:c>
      <s:c r="H59" s="19" t="n">
        <s:v>0</s:v>
      </s:c>
      <s:c r="I59" s="19" t="n">
        <s:v>1</s:v>
      </s:c>
      <s:c r="J59" s="4">
        <s:f>B59*Projects!N2+C59*Projects!N3+D59*Projects!N4+E59*Projects!N5+F59*Projects!N6+G59*Projects!N7+H59*Projects!N8+I59*Projects!N9</s:f>
        <s:v>16600000</s:v>
      </s:c>
      <s:c r="K59" s="3">
        <s:f>B59*Projects!C2+C59*Projects!C3+D59*Projects!C4+E59*Projects!C5+F59*Projects!C6+G59*Projects!C7+H59*Projects!C8+I59*Projects!C9</s:f>
        <s:v>370</s:v>
      </s:c>
      <s:c r="L59" s="3">
        <s:f>B59*Projects!D2+C59*Projects!D3+D59*Projects!D4+E59*Projects!D5+F59*Projects!D6+G59*Projects!D7+H59*Projects!D8+I59*Projects!D9</s:f>
        <s:v>153</s:v>
      </s:c>
      <s:c r="M59" s="4">
        <s:f>B59*Projects!O2+C59*Projects!O3+D59*Projects!O4+E59*Projects!O5+F59*Projects!O6+G59*Projects!O7+H59*Projects!O8+I59*Projects!O9</s:f>
        <s:v>14566219.751308348</s:v>
      </s:c>
      <s:c r="N59" s="3">
        <s:f>B59*(1-Projects!Q2)+C59*(1-Projects!Q3)+D59*(1-Projects!Q4)+E59*(1-Projects!Q5)+F59*(1-Projects!Q6)+G59*(1-Projects!Q7)+H59*(1-Projects!Q8)+I59*(1-Projects!Q9)</s:f>
        <s:v>0</s:v>
      </s:c>
      <s:c r="O59" s="3">
        <s:f>IF(AND(J59&lt;=Inputs!B2,L59&gt;=Inputs!B3,M59&gt;=Inputs!B18,N59=0),1,0)</s:f>
        <s:v>0</s:v>
      </s:c>
      <s:c r="P59" s="3">
        <s:f>IF(O59=1,L59,-1)</s:f>
        <s:v>-1</s:v>
      </s:c>
      <s:c r="Q59" s="3">
        <s:f>IF(AND(O59=1,L59=MAX(P$2:P$257)),M59,-1E+99)</s:f>
        <s:v>-1e+99</s:v>
      </s:c>
    </s:row>
    <s:row r="60">
      <s:c r="A60" s="18" t="n">
        <s:v>58</s:v>
      </s:c>
      <s:c r="B60" s="18" t="n">
        <s:v>0</s:v>
      </s:c>
      <s:c r="C60" s="18" t="n">
        <s:v>0</s:v>
      </s:c>
      <s:c r="D60" s="18" t="n">
        <s:v>1</s:v>
      </s:c>
      <s:c r="E60" s="18" t="n">
        <s:v>1</s:v>
      </s:c>
      <s:c r="F60" s="18" t="n">
        <s:v>1</s:v>
      </s:c>
      <s:c r="G60" s="18" t="n">
        <s:v>0</s:v>
      </s:c>
      <s:c r="H60" s="18" t="n">
        <s:v>1</s:v>
      </s:c>
      <s:c r="I60" s="18" t="n">
        <s:v>0</s:v>
      </s:c>
      <s:c r="J60" s="5">
        <s:f>B60*Projects!N2+C60*Projects!N3+D60*Projects!N4+E60*Projects!N5+F60*Projects!N6+G60*Projects!N7+H60*Projects!N8+I60*Projects!N9</s:f>
        <s:v>16200000</s:v>
      </s:c>
      <s:c r="K60" s="2">
        <s:f>B60*Projects!C2+C60*Projects!C3+D60*Projects!C4+E60*Projects!C5+F60*Projects!C6+G60*Projects!C7+H60*Projects!C8+I60*Projects!C9</s:f>
        <s:v>390</s:v>
      </s:c>
      <s:c r="L60" s="2">
        <s:f>B60*Projects!D2+C60*Projects!D3+D60*Projects!D4+E60*Projects!D5+F60*Projects!D6+G60*Projects!D7+H60*Projects!D8+I60*Projects!D9</s:f>
        <s:v>192</s:v>
      </s:c>
      <s:c r="M60" s="5">
        <s:f>B60*Projects!O2+C60*Projects!O3+D60*Projects!O4+E60*Projects!O5+F60*Projects!O6+G60*Projects!O7+H60*Projects!O8+I60*Projects!O9</s:f>
        <s:v>13144966.30365362</s:v>
      </s:c>
      <s:c r="N60" s="2">
        <s:f>B60*(1-Projects!Q2)+C60*(1-Projects!Q3)+D60*(1-Projects!Q4)+E60*(1-Projects!Q5)+F60*(1-Projects!Q6)+G60*(1-Projects!Q7)+H60*(1-Projects!Q8)+I60*(1-Projects!Q9)</s:f>
        <s:v>0</s:v>
      </s:c>
      <s:c r="O60" s="2">
        <s:f>IF(AND(J60&lt;=Inputs!B2,L60&gt;=Inputs!B3,M60&gt;=Inputs!B18,N60=0),1,0)</s:f>
        <s:v>0</s:v>
      </s:c>
      <s:c r="P60" s="2">
        <s:f>IF(O60=1,L60,-1)</s:f>
        <s:v>-1</s:v>
      </s:c>
      <s:c r="Q60" s="2">
        <s:f>IF(AND(O60=1,L60=MAX(P$2:P$257)),M60,-1E+99)</s:f>
        <s:v>-1e+99</s:v>
      </s:c>
    </s:row>
    <s:row r="61">
      <s:c r="A61" s="19" t="n">
        <s:v>59</s:v>
      </s:c>
      <s:c r="B61" s="19" t="n">
        <s:v>0</s:v>
      </s:c>
      <s:c r="C61" s="19" t="n">
        <s:v>0</s:v>
      </s:c>
      <s:c r="D61" s="19" t="n">
        <s:v>1</s:v>
      </s:c>
      <s:c r="E61" s="19" t="n">
        <s:v>1</s:v>
      </s:c>
      <s:c r="F61" s="19" t="n">
        <s:v>1</s:v>
      </s:c>
      <s:c r="G61" s="19" t="n">
        <s:v>0</s:v>
      </s:c>
      <s:c r="H61" s="19" t="n">
        <s:v>1</s:v>
      </s:c>
      <s:c r="I61" s="19" t="n">
        <s:v>1</s:v>
      </s:c>
      <s:c r="J61" s="4">
        <s:f>B61*Projects!N2+C61*Projects!N3+D61*Projects!N4+E61*Projects!N5+F61*Projects!N6+G61*Projects!N7+H61*Projects!N8+I61*Projects!N9</s:f>
        <s:v>20700000</s:v>
      </s:c>
      <s:c r="K61" s="3">
        <s:f>B61*Projects!C2+C61*Projects!C3+D61*Projects!C4+E61*Projects!C5+F61*Projects!C6+G61*Projects!C7+H61*Projects!C8+I61*Projects!C9</s:f>
        <s:v>480</s:v>
      </s:c>
      <s:c r="L61" s="3">
        <s:f>B61*Projects!D2+C61*Projects!D3+D61*Projects!D4+E61*Projects!D5+F61*Projects!D6+G61*Projects!D7+H61*Projects!D8+I61*Projects!D9</s:f>
        <s:v>219</s:v>
      </s:c>
      <s:c r="M61" s="4">
        <s:f>B61*Projects!O2+C61*Projects!O3+D61*Projects!O4+E61*Projects!O5+F61*Projects!O6+G61*Projects!O7+H61*Projects!O8+I61*Projects!O9</s:f>
        <s:v>17601593.729197655</s:v>
      </s:c>
      <s:c r="N61" s="3">
        <s:f>B61*(1-Projects!Q2)+C61*(1-Projects!Q3)+D61*(1-Projects!Q4)+E61*(1-Projects!Q5)+F61*(1-Projects!Q6)+G61*(1-Projects!Q7)+H61*(1-Projects!Q8)+I61*(1-Projects!Q9)</s:f>
        <s:v>0</s:v>
      </s:c>
      <s:c r="O61" s="3">
        <s:f>IF(AND(J61&lt;=Inputs!B2,L61&gt;=Inputs!B3,M61&gt;=Inputs!B18,N61=0),1,0)</s:f>
        <s:v>0</s:v>
      </s:c>
      <s:c r="P61" s="3">
        <s:f>IF(O61=1,L61,-1)</s:f>
        <s:v>-1</s:v>
      </s:c>
      <s:c r="Q61" s="3">
        <s:f>IF(AND(O61=1,L61=MAX(P$2:P$257)),M61,-1E+99)</s:f>
        <s:v>-1e+99</s:v>
      </s:c>
    </s:row>
    <s:row r="62">
      <s:c r="A62" s="18" t="n">
        <s:v>60</s:v>
      </s:c>
      <s:c r="B62" s="18" t="n">
        <s:v>0</s:v>
      </s:c>
      <s:c r="C62" s="18" t="n">
        <s:v>0</s:v>
      </s:c>
      <s:c r="D62" s="18" t="n">
        <s:v>1</s:v>
      </s:c>
      <s:c r="E62" s="18" t="n">
        <s:v>1</s:v>
      </s:c>
      <s:c r="F62" s="18" t="n">
        <s:v>1</s:v>
      </s:c>
      <s:c r="G62" s="18" t="n">
        <s:v>1</s:v>
      </s:c>
      <s:c r="H62" s="18" t="n">
        <s:v>0</s:v>
      </s:c>
      <s:c r="I62" s="18" t="n">
        <s:v>0</s:v>
      </s:c>
      <s:c r="J62" s="5">
        <s:f>B62*Projects!N2+C62*Projects!N3+D62*Projects!N4+E62*Projects!N5+F62*Projects!N6+G62*Projects!N7+H62*Projects!N8+I62*Projects!N9</s:f>
        <s:v>15300000</s:v>
      </s:c>
      <s:c r="K62" s="2">
        <s:f>B62*Projects!C2+C62*Projects!C3+D62*Projects!C4+E62*Projects!C5+F62*Projects!C6+G62*Projects!C7+H62*Projects!C8+I62*Projects!C9</s:f>
        <s:v>360</s:v>
      </s:c>
      <s:c r="L62" s="2">
        <s:f>B62*Projects!D2+C62*Projects!D3+D62*Projects!D4+E62*Projects!D5+F62*Projects!D6+G62*Projects!D7+H62*Projects!D8+I62*Projects!D9</s:f>
        <s:v>166</s:v>
      </s:c>
      <s:c r="M62" s="5">
        <s:f>B62*Projects!O2+C62*Projects!O3+D62*Projects!O4+E62*Projects!O5+F62*Projects!O6+G62*Projects!O7+H62*Projects!O8+I62*Projects!O9</s:f>
        <s:v>12619770.945633316</s:v>
      </s:c>
      <s:c r="N62" s="2">
        <s:f>B62*(1-Projects!Q2)+C62*(1-Projects!Q3)+D62*(1-Projects!Q4)+E62*(1-Projects!Q5)+F62*(1-Projects!Q6)+G62*(1-Projects!Q7)+H62*(1-Projects!Q8)+I62*(1-Projects!Q9)</s:f>
        <s:v>0</s:v>
      </s:c>
      <s:c r="O62" s="2">
        <s:f>IF(AND(J62&lt;=Inputs!B2,L62&gt;=Inputs!B3,M62&gt;=Inputs!B18,N62=0),1,0)</s:f>
        <s:v>0</s:v>
      </s:c>
      <s:c r="P62" s="2">
        <s:f>IF(O62=1,L62,-1)</s:f>
        <s:v>-1</s:v>
      </s:c>
      <s:c r="Q62" s="2">
        <s:f>IF(AND(O62=1,L62=MAX(P$2:P$257)),M62,-1E+99)</s:f>
        <s:v>-1e+99</s:v>
      </s:c>
    </s:row>
    <s:row r="63">
      <s:c r="A63" s="19" t="n">
        <s:v>61</s:v>
      </s:c>
      <s:c r="B63" s="19" t="n">
        <s:v>0</s:v>
      </s:c>
      <s:c r="C63" s="19" t="n">
        <s:v>0</s:v>
      </s:c>
      <s:c r="D63" s="19" t="n">
        <s:v>1</s:v>
      </s:c>
      <s:c r="E63" s="19" t="n">
        <s:v>1</s:v>
      </s:c>
      <s:c r="F63" s="19" t="n">
        <s:v>1</s:v>
      </s:c>
      <s:c r="G63" s="19" t="n">
        <s:v>1</s:v>
      </s:c>
      <s:c r="H63" s="19" t="n">
        <s:v>0</s:v>
      </s:c>
      <s:c r="I63" s="19" t="n">
        <s:v>1</s:v>
      </s:c>
      <s:c r="J63" s="4">
        <s:f>B63*Projects!N2+C63*Projects!N3+D63*Projects!N4+E63*Projects!N5+F63*Projects!N6+G63*Projects!N7+H63*Projects!N8+I63*Projects!N9</s:f>
        <s:v>19800000</s:v>
      </s:c>
      <s:c r="K63" s="3">
        <s:f>B63*Projects!C2+C63*Projects!C3+D63*Projects!C4+E63*Projects!C5+F63*Projects!C6+G63*Projects!C7+H63*Projects!C8+I63*Projects!C9</s:f>
        <s:v>450</s:v>
      </s:c>
      <s:c r="L63" s="3">
        <s:f>B63*Projects!D2+C63*Projects!D3+D63*Projects!D4+E63*Projects!D5+F63*Projects!D6+G63*Projects!D7+H63*Projects!D8+I63*Projects!D9</s:f>
        <s:v>193</s:v>
      </s:c>
      <s:c r="M63" s="4">
        <s:f>B63*Projects!O2+C63*Projects!O3+D63*Projects!O4+E63*Projects!O5+F63*Projects!O6+G63*Projects!O7+H63*Projects!O8+I63*Projects!O9</s:f>
        <s:v>17076398.371177353</s:v>
      </s:c>
      <s:c r="N63" s="3">
        <s:f>B63*(1-Projects!Q2)+C63*(1-Projects!Q3)+D63*(1-Projects!Q4)+E63*(1-Projects!Q5)+F63*(1-Projects!Q6)+G63*(1-Projects!Q7)+H63*(1-Projects!Q8)+I63*(1-Projects!Q9)</s:f>
        <s:v>0</s:v>
      </s:c>
      <s:c r="O63" s="3">
        <s:f>IF(AND(J63&lt;=Inputs!B2,L63&gt;=Inputs!B3,M63&gt;=Inputs!B18,N63=0),1,0)</s:f>
        <s:v>0</s:v>
      </s:c>
      <s:c r="P63" s="3">
        <s:f>IF(O63=1,L63,-1)</s:f>
        <s:v>-1</s:v>
      </s:c>
      <s:c r="Q63" s="3">
        <s:f>IF(AND(O63=1,L63=MAX(P$2:P$257)),M63,-1E+99)</s:f>
        <s:v>-1e+99</s:v>
      </s:c>
    </s:row>
    <s:row r="64">
      <s:c r="A64" s="18" t="n">
        <s:v>62</s:v>
      </s:c>
      <s:c r="B64" s="18" t="n">
        <s:v>0</s:v>
      </s:c>
      <s:c r="C64" s="18" t="n">
        <s:v>0</s:v>
      </s:c>
      <s:c r="D64" s="18" t="n">
        <s:v>1</s:v>
      </s:c>
      <s:c r="E64" s="18" t="n">
        <s:v>1</s:v>
      </s:c>
      <s:c r="F64" s="18" t="n">
        <s:v>1</s:v>
      </s:c>
      <s:c r="G64" s="18" t="n">
        <s:v>1</s:v>
      </s:c>
      <s:c r="H64" s="18" t="n">
        <s:v>1</s:v>
      </s:c>
      <s:c r="I64" s="18" t="n">
        <s:v>0</s:v>
      </s:c>
      <s:c r="J64" s="5">
        <s:f>B64*Projects!N2+C64*Projects!N3+D64*Projects!N4+E64*Projects!N5+F64*Projects!N6+G64*Projects!N7+H64*Projects!N8+I64*Projects!N9</s:f>
        <s:v>19400000</s:v>
      </s:c>
      <s:c r="K64" s="2">
        <s:f>B64*Projects!C2+C64*Projects!C3+D64*Projects!C4+E64*Projects!C5+F64*Projects!C6+G64*Projects!C7+H64*Projects!C8+I64*Projects!C9</s:f>
        <s:v>470</s:v>
      </s:c>
      <s:c r="L64" s="2">
        <s:f>B64*Projects!D2+C64*Projects!D3+D64*Projects!D4+E64*Projects!D5+F64*Projects!D6+G64*Projects!D7+H64*Projects!D8+I64*Projects!D9</s:f>
        <s:v>232</s:v>
      </s:c>
      <s:c r="M64" s="5">
        <s:f>B64*Projects!O2+C64*Projects!O3+D64*Projects!O4+E64*Projects!O5+F64*Projects!O6+G64*Projects!O7+H64*Projects!O8+I64*Projects!O9</s:f>
        <s:v>15655144.923522623</s:v>
      </s:c>
      <s:c r="N64" s="2">
        <s:f>B64*(1-Projects!Q2)+C64*(1-Projects!Q3)+D64*(1-Projects!Q4)+E64*(1-Projects!Q5)+F64*(1-Projects!Q6)+G64*(1-Projects!Q7)+H64*(1-Projects!Q8)+I64*(1-Projects!Q9)</s:f>
        <s:v>0</s:v>
      </s:c>
      <s:c r="O64" s="2">
        <s:f>IF(AND(J64&lt;=Inputs!B2,L64&gt;=Inputs!B3,M64&gt;=Inputs!B18,N64=0),1,0)</s:f>
        <s:v>0</s:v>
      </s:c>
      <s:c r="P64" s="2">
        <s:f>IF(O64=1,L64,-1)</s:f>
        <s:v>-1</s:v>
      </s:c>
      <s:c r="Q64" s="2">
        <s:f>IF(AND(O64=1,L64=MAX(P$2:P$257)),M64,-1E+99)</s:f>
        <s:v>-1e+99</s:v>
      </s:c>
    </s:row>
    <s:row r="65">
      <s:c r="A65" s="19" t="n">
        <s:v>63</s:v>
      </s:c>
      <s:c r="B65" s="19" t="n">
        <s:v>0</s:v>
      </s:c>
      <s:c r="C65" s="19" t="n">
        <s:v>0</s:v>
      </s:c>
      <s:c r="D65" s="19" t="n">
        <s:v>1</s:v>
      </s:c>
      <s:c r="E65" s="19" t="n">
        <s:v>1</s:v>
      </s:c>
      <s:c r="F65" s="19" t="n">
        <s:v>1</s:v>
      </s:c>
      <s:c r="G65" s="19" t="n">
        <s:v>1</s:v>
      </s:c>
      <s:c r="H65" s="19" t="n">
        <s:v>1</s:v>
      </s:c>
      <s:c r="I65" s="19" t="n">
        <s:v>1</s:v>
      </s:c>
      <s:c r="J65" s="4">
        <s:f>B65*Projects!N2+C65*Projects!N3+D65*Projects!N4+E65*Projects!N5+F65*Projects!N6+G65*Projects!N7+H65*Projects!N8+I65*Projects!N9</s:f>
        <s:v>23900000</s:v>
      </s:c>
      <s:c r="K65" s="3">
        <s:f>B65*Projects!C2+C65*Projects!C3+D65*Projects!C4+E65*Projects!C5+F65*Projects!C6+G65*Projects!C7+H65*Projects!C8+I65*Projects!C9</s:f>
        <s:v>560</s:v>
      </s:c>
      <s:c r="L65" s="3">
        <s:f>B65*Projects!D2+C65*Projects!D3+D65*Projects!D4+E65*Projects!D5+F65*Projects!D6+G65*Projects!D7+H65*Projects!D8+I65*Projects!D9</s:f>
        <s:v>259</s:v>
      </s:c>
      <s:c r="M65" s="4">
        <s:f>B65*Projects!O2+C65*Projects!O3+D65*Projects!O4+E65*Projects!O5+F65*Projects!O6+G65*Projects!O7+H65*Projects!O8+I65*Projects!O9</s:f>
        <s:v>20111772.34906666</s:v>
      </s:c>
      <s:c r="N65" s="3">
        <s:f>B65*(1-Projects!Q2)+C65*(1-Projects!Q3)+D65*(1-Projects!Q4)+E65*(1-Projects!Q5)+F65*(1-Projects!Q6)+G65*(1-Projects!Q7)+H65*(1-Projects!Q8)+I65*(1-Projects!Q9)</s:f>
        <s:v>0</s:v>
      </s:c>
      <s:c r="O65" s="3">
        <s:f>IF(AND(J65&lt;=Inputs!B2,L65&gt;=Inputs!B3,M65&gt;=Inputs!B18,N65=0),1,0)</s:f>
        <s:v>0</s:v>
      </s:c>
      <s:c r="P65" s="3">
        <s:f>IF(O65=1,L65,-1)</s:f>
        <s:v>-1</s:v>
      </s:c>
      <s:c r="Q65" s="3">
        <s:f>IF(AND(O65=1,L65=MAX(P$2:P$257)),M65,-1E+99)</s:f>
        <s:v>-1e+99</s:v>
      </s:c>
    </s:row>
    <s:row r="66">
      <s:c r="A66" s="18" t="n">
        <s:v>64</s:v>
      </s:c>
      <s:c r="B66" s="18" t="n">
        <s:v>0</s:v>
      </s:c>
      <s:c r="C66" s="18" t="n">
        <s:v>1</s:v>
      </s:c>
      <s:c r="D66" s="18" t="n">
        <s:v>0</s:v>
      </s:c>
      <s:c r="E66" s="18" t="n">
        <s:v>0</s:v>
      </s:c>
      <s:c r="F66" s="18" t="n">
        <s:v>0</s:v>
      </s:c>
      <s:c r="G66" s="18" t="n">
        <s:v>0</s:v>
      </s:c>
      <s:c r="H66" s="18" t="n">
        <s:v>0</s:v>
      </s:c>
      <s:c r="I66" s="18" t="n">
        <s:v>0</s:v>
      </s:c>
      <s:c r="J66" s="5">
        <s:f>B66*Projects!N2+C66*Projects!N3+D66*Projects!N4+E66*Projects!N5+F66*Projects!N6+G66*Projects!N7+H66*Projects!N8+I66*Projects!N9</s:f>
        <s:v>4300000</s:v>
      </s:c>
      <s:c r="K66" s="2">
        <s:f>B66*Projects!C2+C66*Projects!C3+D66*Projects!C4+E66*Projects!C5+F66*Projects!C6+G66*Projects!C7+H66*Projects!C8+I66*Projects!C9</s:f>
        <s:v>80</s:v>
      </s:c>
      <s:c r="L66" s="2">
        <s:f>B66*Projects!D2+C66*Projects!D3+D66*Projects!D4+E66*Projects!D5+F66*Projects!D6+G66*Projects!D7+H66*Projects!D8+I66*Projects!D9</s:f>
        <s:v>24</s:v>
      </s:c>
      <s:c r="M66" s="5">
        <s:f>B66*Projects!O2+C66*Projects!O3+D66*Projects!O4+E66*Projects!O5+F66*Projects!O6+G66*Projects!O7+H66*Projects!O8+I66*Projects!O9</s:f>
        <s:v>3779050.1517097238</s:v>
      </s:c>
      <s:c r="N66" s="2">
        <s:f>B66*(1-Projects!Q2)+C66*(1-Projects!Q3)+D66*(1-Projects!Q4)+E66*(1-Projects!Q5)+F66*(1-Projects!Q6)+G66*(1-Projects!Q7)+H66*(1-Projects!Q8)+I66*(1-Projects!Q9)</s:f>
        <s:v>0</s:v>
      </s:c>
      <s:c r="O66" s="2">
        <s:f>IF(AND(J66&lt;=Inputs!B2,L66&gt;=Inputs!B3,M66&gt;=Inputs!B18,N66=0),1,0)</s:f>
        <s:v>0</s:v>
      </s:c>
      <s:c r="P66" s="2">
        <s:f>IF(O66=1,L66,-1)</s:f>
        <s:v>-1</s:v>
      </s:c>
      <s:c r="Q66" s="2">
        <s:f>IF(AND(O66=1,L66=MAX(P$2:P$257)),M66,-1E+99)</s:f>
        <s:v>-1e+99</s:v>
      </s:c>
    </s:row>
    <s:row r="67">
      <s:c r="A67" s="19" t="n">
        <s:v>65</s:v>
      </s:c>
      <s:c r="B67" s="19" t="n">
        <s:v>0</s:v>
      </s:c>
      <s:c r="C67" s="19" t="n">
        <s:v>1</s:v>
      </s:c>
      <s:c r="D67" s="19" t="n">
        <s:v>0</s:v>
      </s:c>
      <s:c r="E67" s="19" t="n">
        <s:v>0</s:v>
      </s:c>
      <s:c r="F67" s="19" t="n">
        <s:v>0</s:v>
      </s:c>
      <s:c r="G67" s="19" t="n">
        <s:v>0</s:v>
      </s:c>
      <s:c r="H67" s="19" t="n">
        <s:v>0</s:v>
      </s:c>
      <s:c r="I67" s="19" t="n">
        <s:v>1</s:v>
      </s:c>
      <s:c r="J67" s="4">
        <s:f>B67*Projects!N2+C67*Projects!N3+D67*Projects!N4+E67*Projects!N5+F67*Projects!N6+G67*Projects!N7+H67*Projects!N8+I67*Projects!N9</s:f>
        <s:v>8800000</s:v>
      </s:c>
      <s:c r="K67" s="3">
        <s:f>B67*Projects!C2+C67*Projects!C3+D67*Projects!C4+E67*Projects!C5+F67*Projects!C6+G67*Projects!C7+H67*Projects!C8+I67*Projects!C9</s:f>
        <s:v>170</s:v>
      </s:c>
      <s:c r="L67" s="3">
        <s:f>B67*Projects!D2+C67*Projects!D3+D67*Projects!D4+E67*Projects!D5+F67*Projects!D6+G67*Projects!D7+H67*Projects!D8+I67*Projects!D9</s:f>
        <s:v>51</s:v>
      </s:c>
      <s:c r="M67" s="4">
        <s:f>B67*Projects!O2+C67*Projects!O3+D67*Projects!O4+E67*Projects!O5+F67*Projects!O6+G67*Projects!O7+H67*Projects!O8+I67*Projects!O9</s:f>
        <s:v>8235677.577253759</s:v>
      </s:c>
      <s:c r="N67" s="3">
        <s:f>B67*(1-Projects!Q2)+C67*(1-Projects!Q3)+D67*(1-Projects!Q4)+E67*(1-Projects!Q5)+F67*(1-Projects!Q6)+G67*(1-Projects!Q7)+H67*(1-Projects!Q8)+I67*(1-Projects!Q9)</s:f>
        <s:v>0</s:v>
      </s:c>
      <s:c r="O67" s="3">
        <s:f>IF(AND(J67&lt;=Inputs!B2,L67&gt;=Inputs!B3,M67&gt;=Inputs!B18,N67=0),1,0)</s:f>
        <s:v>0</s:v>
      </s:c>
      <s:c r="P67" s="3">
        <s:f>IF(O67=1,L67,-1)</s:f>
        <s:v>-1</s:v>
      </s:c>
      <s:c r="Q67" s="3">
        <s:f>IF(AND(O67=1,L67=MAX(P$2:P$257)),M67,-1E+99)</s:f>
        <s:v>-1e+99</s:v>
      </s:c>
    </s:row>
    <s:row r="68">
      <s:c r="A68" s="18" t="n">
        <s:v>66</s:v>
      </s:c>
      <s:c r="B68" s="18" t="n">
        <s:v>0</s:v>
      </s:c>
      <s:c r="C68" s="18" t="n">
        <s:v>1</s:v>
      </s:c>
      <s:c r="D68" s="18" t="n">
        <s:v>0</s:v>
      </s:c>
      <s:c r="E68" s="18" t="n">
        <s:v>0</s:v>
      </s:c>
      <s:c r="F68" s="18" t="n">
        <s:v>0</s:v>
      </s:c>
      <s:c r="G68" s="18" t="n">
        <s:v>0</s:v>
      </s:c>
      <s:c r="H68" s="18" t="n">
        <s:v>1</s:v>
      </s:c>
      <s:c r="I68" s="18" t="n">
        <s:v>0</s:v>
      </s:c>
      <s:c r="J68" s="5">
        <s:f>B68*Projects!N2+C68*Projects!N3+D68*Projects!N4+E68*Projects!N5+F68*Projects!N6+G68*Projects!N7+H68*Projects!N8+I68*Projects!N9</s:f>
        <s:v>8400000</s:v>
      </s:c>
      <s:c r="K68" s="2">
        <s:f>B68*Projects!C2+C68*Projects!C3+D68*Projects!C4+E68*Projects!C5+F68*Projects!C6+G68*Projects!C7+H68*Projects!C8+I68*Projects!C9</s:f>
        <s:v>190</s:v>
      </s:c>
      <s:c r="L68" s="2">
        <s:f>B68*Projects!D2+C68*Projects!D3+D68*Projects!D4+E68*Projects!D5+F68*Projects!D6+G68*Projects!D7+H68*Projects!D8+I68*Projects!D9</s:f>
        <s:v>90</s:v>
      </s:c>
      <s:c r="M68" s="5">
        <s:f>B68*Projects!O2+C68*Projects!O3+D68*Projects!O4+E68*Projects!O5+F68*Projects!O6+G68*Projects!O7+H68*Projects!O8+I68*Projects!O9</s:f>
        <s:v>6814424.129599031</s:v>
      </s:c>
      <s:c r="N68" s="2">
        <s:f>B68*(1-Projects!Q2)+C68*(1-Projects!Q3)+D68*(1-Projects!Q4)+E68*(1-Projects!Q5)+F68*(1-Projects!Q6)+G68*(1-Projects!Q7)+H68*(1-Projects!Q8)+I68*(1-Projects!Q9)</s:f>
        <s:v>0</s:v>
      </s:c>
      <s:c r="O68" s="2">
        <s:f>IF(AND(J68&lt;=Inputs!B2,L68&gt;=Inputs!B3,M68&gt;=Inputs!B18,N68=0),1,0)</s:f>
        <s:v>1</s:v>
      </s:c>
      <s:c r="P68" s="2">
        <s:f>IF(O68=1,L68,-1)</s:f>
        <s:v>90</s:v>
      </s:c>
      <s:c r="Q68" s="2">
        <s:f>IF(AND(O68=1,L68=MAX(P$2:P$257)),M68,-1E+99)</s:f>
        <s:v>-1e+99</s:v>
      </s:c>
    </s:row>
    <s:row r="69">
      <s:c r="A69" s="19" t="n">
        <s:v>67</s:v>
      </s:c>
      <s:c r="B69" s="19" t="n">
        <s:v>0</s:v>
      </s:c>
      <s:c r="C69" s="19" t="n">
        <s:v>1</s:v>
      </s:c>
      <s:c r="D69" s="19" t="n">
        <s:v>0</s:v>
      </s:c>
      <s:c r="E69" s="19" t="n">
        <s:v>0</s:v>
      </s:c>
      <s:c r="F69" s="19" t="n">
        <s:v>0</s:v>
      </s:c>
      <s:c r="G69" s="19" t="n">
        <s:v>0</s:v>
      </s:c>
      <s:c r="H69" s="19" t="n">
        <s:v>1</s:v>
      </s:c>
      <s:c r="I69" s="19" t="n">
        <s:v>1</s:v>
      </s:c>
      <s:c r="J69" s="4">
        <s:f>B69*Projects!N2+C69*Projects!N3+D69*Projects!N4+E69*Projects!N5+F69*Projects!N6+G69*Projects!N7+H69*Projects!N8+I69*Projects!N9</s:f>
        <s:v>12900000</s:v>
      </s:c>
      <s:c r="K69" s="3">
        <s:f>B69*Projects!C2+C69*Projects!C3+D69*Projects!C4+E69*Projects!C5+F69*Projects!C6+G69*Projects!C7+H69*Projects!C8+I69*Projects!C9</s:f>
        <s:v>280</s:v>
      </s:c>
      <s:c r="L69" s="3">
        <s:f>B69*Projects!D2+C69*Projects!D3+D69*Projects!D4+E69*Projects!D5+F69*Projects!D6+G69*Projects!D7+H69*Projects!D8+I69*Projects!D9</s:f>
        <s:v>117</s:v>
      </s:c>
      <s:c r="M69" s="4">
        <s:f>B69*Projects!O2+C69*Projects!O3+D69*Projects!O4+E69*Projects!O5+F69*Projects!O6+G69*Projects!O7+H69*Projects!O8+I69*Projects!O9</s:f>
        <s:v>11271051.555143066</s:v>
      </s:c>
      <s:c r="N69" s="3">
        <s:f>B69*(1-Projects!Q2)+C69*(1-Projects!Q3)+D69*(1-Projects!Q4)+E69*(1-Projects!Q5)+F69*(1-Projects!Q6)+G69*(1-Projects!Q7)+H69*(1-Projects!Q8)+I69*(1-Projects!Q9)</s:f>
        <s:v>0</s:v>
      </s:c>
      <s:c r="O69" s="3">
        <s:f>IF(AND(J69&lt;=Inputs!B2,L69&gt;=Inputs!B3,M69&gt;=Inputs!B18,N69=0),1,0)</s:f>
        <s:v>1</s:v>
      </s:c>
      <s:c r="P69" s="3">
        <s:f>IF(O69=1,L69,-1)</s:f>
        <s:v>117</s:v>
      </s:c>
      <s:c r="Q69" s="3">
        <s:f>IF(AND(O69=1,L69=MAX(P$2:P$257)),M69,-1E+99)</s:f>
        <s:v>-1e+99</s:v>
      </s:c>
    </s:row>
    <s:row r="70">
      <s:c r="A70" s="18" t="n">
        <s:v>68</s:v>
      </s:c>
      <s:c r="B70" s="18" t="n">
        <s:v>0</s:v>
      </s:c>
      <s:c r="C70" s="18" t="n">
        <s:v>1</s:v>
      </s:c>
      <s:c r="D70" s="18" t="n">
        <s:v>0</s:v>
      </s:c>
      <s:c r="E70" s="18" t="n">
        <s:v>0</s:v>
      </s:c>
      <s:c r="F70" s="18" t="n">
        <s:v>0</s:v>
      </s:c>
      <s:c r="G70" s="18" t="n">
        <s:v>1</s:v>
      </s:c>
      <s:c r="H70" s="18" t="n">
        <s:v>0</s:v>
      </s:c>
      <s:c r="I70" s="18" t="n">
        <s:v>0</s:v>
      </s:c>
      <s:c r="J70" s="5">
        <s:f>B70*Projects!N2+C70*Projects!N3+D70*Projects!N4+E70*Projects!N5+F70*Projects!N6+G70*Projects!N7+H70*Projects!N8+I70*Projects!N9</s:f>
        <s:v>7500000</s:v>
      </s:c>
      <s:c r="K70" s="2">
        <s:f>B70*Projects!C2+C70*Projects!C3+D70*Projects!C4+E70*Projects!C5+F70*Projects!C6+G70*Projects!C7+H70*Projects!C8+I70*Projects!C9</s:f>
        <s:v>160</s:v>
      </s:c>
      <s:c r="L70" s="2">
        <s:f>B70*Projects!D2+C70*Projects!D3+D70*Projects!D4+E70*Projects!D5+F70*Projects!D6+G70*Projects!D7+H70*Projects!D8+I70*Projects!D9</s:f>
        <s:v>64</s:v>
      </s:c>
      <s:c r="M70" s="5">
        <s:f>B70*Projects!O2+C70*Projects!O3+D70*Projects!O4+E70*Projects!O5+F70*Projects!O6+G70*Projects!O7+H70*Projects!O8+I70*Projects!O9</s:f>
        <s:v>6289228.771578727</s:v>
      </s:c>
      <s:c r="N70" s="2">
        <s:f>B70*(1-Projects!Q2)+C70*(1-Projects!Q3)+D70*(1-Projects!Q4)+E70*(1-Projects!Q5)+F70*(1-Projects!Q6)+G70*(1-Projects!Q7)+H70*(1-Projects!Q8)+I70*(1-Projects!Q9)</s:f>
        <s:v>0</s:v>
      </s:c>
      <s:c r="O70" s="2">
        <s:f>IF(AND(J70&lt;=Inputs!B2,L70&gt;=Inputs!B3,M70&gt;=Inputs!B18,N70=0),1,0)</s:f>
        <s:v>0</s:v>
      </s:c>
      <s:c r="P70" s="2">
        <s:f>IF(O70=1,L70,-1)</s:f>
        <s:v>-1</s:v>
      </s:c>
      <s:c r="Q70" s="2">
        <s:f>IF(AND(O70=1,L70=MAX(P$2:P$257)),M70,-1E+99)</s:f>
        <s:v>-1e+99</s:v>
      </s:c>
    </s:row>
    <s:row r="71">
      <s:c r="A71" s="19" t="n">
        <s:v>69</s:v>
      </s:c>
      <s:c r="B71" s="19" t="n">
        <s:v>0</s:v>
      </s:c>
      <s:c r="C71" s="19" t="n">
        <s:v>1</s:v>
      </s:c>
      <s:c r="D71" s="19" t="n">
        <s:v>0</s:v>
      </s:c>
      <s:c r="E71" s="19" t="n">
        <s:v>0</s:v>
      </s:c>
      <s:c r="F71" s="19" t="n">
        <s:v>0</s:v>
      </s:c>
      <s:c r="G71" s="19" t="n">
        <s:v>1</s:v>
      </s:c>
      <s:c r="H71" s="19" t="n">
        <s:v>0</s:v>
      </s:c>
      <s:c r="I71" s="19" t="n">
        <s:v>1</s:v>
      </s:c>
      <s:c r="J71" s="4">
        <s:f>B71*Projects!N2+C71*Projects!N3+D71*Projects!N4+E71*Projects!N5+F71*Projects!N6+G71*Projects!N7+H71*Projects!N8+I71*Projects!N9</s:f>
        <s:v>12000000</s:v>
      </s:c>
      <s:c r="K71" s="3">
        <s:f>B71*Projects!C2+C71*Projects!C3+D71*Projects!C4+E71*Projects!C5+F71*Projects!C6+G71*Projects!C7+H71*Projects!C8+I71*Projects!C9</s:f>
        <s:v>250</s:v>
      </s:c>
      <s:c r="L71" s="3">
        <s:f>B71*Projects!D2+C71*Projects!D3+D71*Projects!D4+E71*Projects!D5+F71*Projects!D6+G71*Projects!D7+H71*Projects!D8+I71*Projects!D9</s:f>
        <s:v>91</s:v>
      </s:c>
      <s:c r="M71" s="4">
        <s:f>B71*Projects!O2+C71*Projects!O3+D71*Projects!O4+E71*Projects!O5+F71*Projects!O6+G71*Projects!O7+H71*Projects!O8+I71*Projects!O9</s:f>
        <s:v>10745856.197122764</s:v>
      </s:c>
      <s:c r="N71" s="3">
        <s:f>B71*(1-Projects!Q2)+C71*(1-Projects!Q3)+D71*(1-Projects!Q4)+E71*(1-Projects!Q5)+F71*(1-Projects!Q6)+G71*(1-Projects!Q7)+H71*(1-Projects!Q8)+I71*(1-Projects!Q9)</s:f>
        <s:v>0</s:v>
      </s:c>
      <s:c r="O71" s="3">
        <s:f>IF(AND(J71&lt;=Inputs!B2,L71&gt;=Inputs!B3,M71&gt;=Inputs!B18,N71=0),1,0)</s:f>
        <s:v>1</s:v>
      </s:c>
      <s:c r="P71" s="3">
        <s:f>IF(O71=1,L71,-1)</s:f>
        <s:v>91</s:v>
      </s:c>
      <s:c r="Q71" s="3">
        <s:f>IF(AND(O71=1,L71=MAX(P$2:P$257)),M71,-1E+99)</s:f>
        <s:v>-1e+99</s:v>
      </s:c>
    </s:row>
    <s:row r="72">
      <s:c r="A72" s="18" t="n">
        <s:v>70</s:v>
      </s:c>
      <s:c r="B72" s="18" t="n">
        <s:v>0</s:v>
      </s:c>
      <s:c r="C72" s="18" t="n">
        <s:v>1</s:v>
      </s:c>
      <s:c r="D72" s="18" t="n">
        <s:v>0</s:v>
      </s:c>
      <s:c r="E72" s="18" t="n">
        <s:v>0</s:v>
      </s:c>
      <s:c r="F72" s="18" t="n">
        <s:v>0</s:v>
      </s:c>
      <s:c r="G72" s="18" t="n">
        <s:v>1</s:v>
      </s:c>
      <s:c r="H72" s="18" t="n">
        <s:v>1</s:v>
      </s:c>
      <s:c r="I72" s="18" t="n">
        <s:v>0</s:v>
      </s:c>
      <s:c r="J72" s="5">
        <s:f>B72*Projects!N2+C72*Projects!N3+D72*Projects!N4+E72*Projects!N5+F72*Projects!N6+G72*Projects!N7+H72*Projects!N8+I72*Projects!N9</s:f>
        <s:v>11600000</s:v>
      </s:c>
      <s:c r="K72" s="2">
        <s:f>B72*Projects!C2+C72*Projects!C3+D72*Projects!C4+E72*Projects!C5+F72*Projects!C6+G72*Projects!C7+H72*Projects!C8+I72*Projects!C9</s:f>
        <s:v>270</s:v>
      </s:c>
      <s:c r="L72" s="2">
        <s:f>B72*Projects!D2+C72*Projects!D3+D72*Projects!D4+E72*Projects!D5+F72*Projects!D6+G72*Projects!D7+H72*Projects!D8+I72*Projects!D9</s:f>
        <s:v>130</s:v>
      </s:c>
      <s:c r="M72" s="5">
        <s:f>B72*Projects!O2+C72*Projects!O3+D72*Projects!O4+E72*Projects!O5+F72*Projects!O6+G72*Projects!O7+H72*Projects!O8+I72*Projects!O9</s:f>
        <s:v>9324602.749468034</s:v>
      </s:c>
      <s:c r="N72" s="2">
        <s:f>B72*(1-Projects!Q2)+C72*(1-Projects!Q3)+D72*(1-Projects!Q4)+E72*(1-Projects!Q5)+F72*(1-Projects!Q6)+G72*(1-Projects!Q7)+H72*(1-Projects!Q8)+I72*(1-Projects!Q9)</s:f>
        <s:v>0</s:v>
      </s:c>
      <s:c r="O72" s="2">
        <s:f>IF(AND(J72&lt;=Inputs!B2,L72&gt;=Inputs!B3,M72&gt;=Inputs!B18,N72=0),1,0)</s:f>
        <s:v>1</s:v>
      </s:c>
      <s:c r="P72" s="2">
        <s:f>IF(O72=1,L72,-1)</s:f>
        <s:v>130</s:v>
      </s:c>
      <s:c r="Q72" s="2">
        <s:f>IF(AND(O72=1,L72=MAX(P$2:P$257)),M72,-1E+99)</s:f>
        <s:v>-1e+99</s:v>
      </s:c>
    </s:row>
    <s:row r="73">
      <s:c r="A73" s="19" t="n">
        <s:v>71</s:v>
      </s:c>
      <s:c r="B73" s="19" t="n">
        <s:v>0</s:v>
      </s:c>
      <s:c r="C73" s="19" t="n">
        <s:v>1</s:v>
      </s:c>
      <s:c r="D73" s="19" t="n">
        <s:v>0</s:v>
      </s:c>
      <s:c r="E73" s="19" t="n">
        <s:v>0</s:v>
      </s:c>
      <s:c r="F73" s="19" t="n">
        <s:v>0</s:v>
      </s:c>
      <s:c r="G73" s="19" t="n">
        <s:v>1</s:v>
      </s:c>
      <s:c r="H73" s="19" t="n">
        <s:v>1</s:v>
      </s:c>
      <s:c r="I73" s="19" t="n">
        <s:v>1</s:v>
      </s:c>
      <s:c r="J73" s="4">
        <s:f>B73*Projects!N2+C73*Projects!N3+D73*Projects!N4+E73*Projects!N5+F73*Projects!N6+G73*Projects!N7+H73*Projects!N8+I73*Projects!N9</s:f>
        <s:v>16100000</s:v>
      </s:c>
      <s:c r="K73" s="3">
        <s:f>B73*Projects!C2+C73*Projects!C3+D73*Projects!C4+E73*Projects!C5+F73*Projects!C6+G73*Projects!C7+H73*Projects!C8+I73*Projects!C9</s:f>
        <s:v>360</s:v>
      </s:c>
      <s:c r="L73" s="3">
        <s:f>B73*Projects!D2+C73*Projects!D3+D73*Projects!D4+E73*Projects!D5+F73*Projects!D6+G73*Projects!D7+H73*Projects!D8+I73*Projects!D9</s:f>
        <s:v>157</s:v>
      </s:c>
      <s:c r="M73" s="4">
        <s:f>B73*Projects!O2+C73*Projects!O3+D73*Projects!O4+E73*Projects!O5+F73*Projects!O6+G73*Projects!O7+H73*Projects!O8+I73*Projects!O9</s:f>
        <s:v>13781230.17501207</s:v>
      </s:c>
      <s:c r="N73" s="3">
        <s:f>B73*(1-Projects!Q2)+C73*(1-Projects!Q3)+D73*(1-Projects!Q4)+E73*(1-Projects!Q5)+F73*(1-Projects!Q6)+G73*(1-Projects!Q7)+H73*(1-Projects!Q8)+I73*(1-Projects!Q9)</s:f>
        <s:v>0</s:v>
      </s:c>
      <s:c r="O73" s="3">
        <s:f>IF(AND(J73&lt;=Inputs!B2,L73&gt;=Inputs!B3,M73&gt;=Inputs!B18,N73=0),1,0)</s:f>
        <s:v>0</s:v>
      </s:c>
      <s:c r="P73" s="3">
        <s:f>IF(O73=1,L73,-1)</s:f>
        <s:v>-1</s:v>
      </s:c>
      <s:c r="Q73" s="3">
        <s:f>IF(AND(O73=1,L73=MAX(P$2:P$257)),M73,-1E+99)</s:f>
        <s:v>-1e+99</s:v>
      </s:c>
    </s:row>
    <s:row r="74">
      <s:c r="A74" s="18" t="n">
        <s:v>72</s:v>
      </s:c>
      <s:c r="B74" s="18" t="n">
        <s:v>0</s:v>
      </s:c>
      <s:c r="C74" s="18" t="n">
        <s:v>1</s:v>
      </s:c>
      <s:c r="D74" s="18" t="n">
        <s:v>0</s:v>
      </s:c>
      <s:c r="E74" s="18" t="n">
        <s:v>0</s:v>
      </s:c>
      <s:c r="F74" s="18" t="n">
        <s:v>1</s:v>
      </s:c>
      <s:c r="G74" s="18" t="n">
        <s:v>0</s:v>
      </s:c>
      <s:c r="H74" s="18" t="n">
        <s:v>0</s:v>
      </s:c>
      <s:c r="I74" s="18" t="n">
        <s:v>0</s:v>
      </s:c>
      <s:c r="J74" s="5">
        <s:f>B74*Projects!N2+C74*Projects!N3+D74*Projects!N4+E74*Projects!N5+F74*Projects!N6+G74*Projects!N7+H74*Projects!N8+I74*Projects!N9</s:f>
        <s:v>8100000</s:v>
      </s:c>
      <s:c r="K74" s="2">
        <s:f>B74*Projects!C2+C74*Projects!C3+D74*Projects!C4+E74*Projects!C5+F74*Projects!C6+G74*Projects!C7+H74*Projects!C8+I74*Projects!C9</s:f>
        <s:v>170</s:v>
      </s:c>
      <s:c r="L74" s="2">
        <s:f>B74*Projects!D2+C74*Projects!D3+D74*Projects!D4+E74*Projects!D5+F74*Projects!D6+G74*Projects!D7+H74*Projects!D8+I74*Projects!D9</s:f>
        <s:v>69</s:v>
      </s:c>
      <s:c r="M74" s="5">
        <s:f>B74*Projects!O2+C74*Projects!O3+D74*Projects!O4+E74*Projects!O5+F74*Projects!O6+G74*Projects!O7+H74*Projects!O8+I74*Projects!O9</s:f>
        <s:v>6781012.513717786</s:v>
      </s:c>
      <s:c r="N74" s="2">
        <s:f>B74*(1-Projects!Q2)+C74*(1-Projects!Q3)+D74*(1-Projects!Q4)+E74*(1-Projects!Q5)+F74*(1-Projects!Q6)+G74*(1-Projects!Q7)+H74*(1-Projects!Q8)+I74*(1-Projects!Q9)</s:f>
        <s:v>0</s:v>
      </s:c>
      <s:c r="O74" s="2">
        <s:f>IF(AND(J74&lt;=Inputs!B2,L74&gt;=Inputs!B3,M74&gt;=Inputs!B18,N74=0),1,0)</s:f>
        <s:v>0</s:v>
      </s:c>
      <s:c r="P74" s="2">
        <s:f>IF(O74=1,L74,-1)</s:f>
        <s:v>-1</s:v>
      </s:c>
      <s:c r="Q74" s="2">
        <s:f>IF(AND(O74=1,L74=MAX(P$2:P$257)),M74,-1E+99)</s:f>
        <s:v>-1e+99</s:v>
      </s:c>
    </s:row>
    <s:row r="75">
      <s:c r="A75" s="19" t="n">
        <s:v>73</s:v>
      </s:c>
      <s:c r="B75" s="19" t="n">
        <s:v>0</s:v>
      </s:c>
      <s:c r="C75" s="19" t="n">
        <s:v>1</s:v>
      </s:c>
      <s:c r="D75" s="19" t="n">
        <s:v>0</s:v>
      </s:c>
      <s:c r="E75" s="19" t="n">
        <s:v>0</s:v>
      </s:c>
      <s:c r="F75" s="19" t="n">
        <s:v>1</s:v>
      </s:c>
      <s:c r="G75" s="19" t="n">
        <s:v>0</s:v>
      </s:c>
      <s:c r="H75" s="19" t="n">
        <s:v>0</s:v>
      </s:c>
      <s:c r="I75" s="19" t="n">
        <s:v>1</s:v>
      </s:c>
      <s:c r="J75" s="4">
        <s:f>B75*Projects!N2+C75*Projects!N3+D75*Projects!N4+E75*Projects!N5+F75*Projects!N6+G75*Projects!N7+H75*Projects!N8+I75*Projects!N9</s:f>
        <s:v>12600000</s:v>
      </s:c>
      <s:c r="K75" s="3">
        <s:f>B75*Projects!C2+C75*Projects!C3+D75*Projects!C4+E75*Projects!C5+F75*Projects!C6+G75*Projects!C7+H75*Projects!C8+I75*Projects!C9</s:f>
        <s:v>260</s:v>
      </s:c>
      <s:c r="L75" s="3">
        <s:f>B75*Projects!D2+C75*Projects!D3+D75*Projects!D4+E75*Projects!D5+F75*Projects!D6+G75*Projects!D7+H75*Projects!D8+I75*Projects!D9</s:f>
        <s:v>96</s:v>
      </s:c>
      <s:c r="M75" s="4">
        <s:f>B75*Projects!O2+C75*Projects!O3+D75*Projects!O4+E75*Projects!O5+F75*Projects!O6+G75*Projects!O7+H75*Projects!O8+I75*Projects!O9</s:f>
        <s:v>11237639.939261822</s:v>
      </s:c>
      <s:c r="N75" s="3">
        <s:f>B75*(1-Projects!Q2)+C75*(1-Projects!Q3)+D75*(1-Projects!Q4)+E75*(1-Projects!Q5)+F75*(1-Projects!Q6)+G75*(1-Projects!Q7)+H75*(1-Projects!Q8)+I75*(1-Projects!Q9)</s:f>
        <s:v>0</s:v>
      </s:c>
      <s:c r="O75" s="3">
        <s:f>IF(AND(J75&lt;=Inputs!B2,L75&gt;=Inputs!B3,M75&gt;=Inputs!B18,N75=0),1,0)</s:f>
        <s:v>1</s:v>
      </s:c>
      <s:c r="P75" s="3">
        <s:f>IF(O75=1,L75,-1)</s:f>
        <s:v>96</s:v>
      </s:c>
      <s:c r="Q75" s="3">
        <s:f>IF(AND(O75=1,L75=MAX(P$2:P$257)),M75,-1E+99)</s:f>
        <s:v>-1e+99</s:v>
      </s:c>
    </s:row>
    <s:row r="76">
      <s:c r="A76" s="18" t="n">
        <s:v>74</s:v>
      </s:c>
      <s:c r="B76" s="18" t="n">
        <s:v>0</s:v>
      </s:c>
      <s:c r="C76" s="18" t="n">
        <s:v>1</s:v>
      </s:c>
      <s:c r="D76" s="18" t="n">
        <s:v>0</s:v>
      </s:c>
      <s:c r="E76" s="18" t="n">
        <s:v>0</s:v>
      </s:c>
      <s:c r="F76" s="18" t="n">
        <s:v>1</s:v>
      </s:c>
      <s:c r="G76" s="18" t="n">
        <s:v>0</s:v>
      </s:c>
      <s:c r="H76" s="18" t="n">
        <s:v>1</s:v>
      </s:c>
      <s:c r="I76" s="18" t="n">
        <s:v>0</s:v>
      </s:c>
      <s:c r="J76" s="5">
        <s:f>B76*Projects!N2+C76*Projects!N3+D76*Projects!N4+E76*Projects!N5+F76*Projects!N6+G76*Projects!N7+H76*Projects!N8+I76*Projects!N9</s:f>
        <s:v>12200000</s:v>
      </s:c>
      <s:c r="K76" s="2">
        <s:f>B76*Projects!C2+C76*Projects!C3+D76*Projects!C4+E76*Projects!C5+F76*Projects!C6+G76*Projects!C7+H76*Projects!C8+I76*Projects!C9</s:f>
        <s:v>280</s:v>
      </s:c>
      <s:c r="L76" s="2">
        <s:f>B76*Projects!D2+C76*Projects!D3+D76*Projects!D4+E76*Projects!D5+F76*Projects!D6+G76*Projects!D7+H76*Projects!D8+I76*Projects!D9</s:f>
        <s:v>135</s:v>
      </s:c>
      <s:c r="M76" s="5">
        <s:f>B76*Projects!O2+C76*Projects!O3+D76*Projects!O4+E76*Projects!O5+F76*Projects!O6+G76*Projects!O7+H76*Projects!O8+I76*Projects!O9</s:f>
        <s:v>9816386.491607094</s:v>
      </s:c>
      <s:c r="N76" s="2">
        <s:f>B76*(1-Projects!Q2)+C76*(1-Projects!Q3)+D76*(1-Projects!Q4)+E76*(1-Projects!Q5)+F76*(1-Projects!Q6)+G76*(1-Projects!Q7)+H76*(1-Projects!Q8)+I76*(1-Projects!Q9)</s:f>
        <s:v>0</s:v>
      </s:c>
      <s:c r="O76" s="2">
        <s:f>IF(AND(J76&lt;=Inputs!B2,L76&gt;=Inputs!B3,M76&gt;=Inputs!B18,N76=0),1,0)</s:f>
        <s:v>1</s:v>
      </s:c>
      <s:c r="P76" s="2">
        <s:f>IF(O76=1,L76,-1)</s:f>
        <s:v>135</s:v>
      </s:c>
      <s:c r="Q76" s="2">
        <s:f>IF(AND(O76=1,L76=MAX(P$2:P$257)),M76,-1E+99)</s:f>
        <s:v>-1e+99</s:v>
      </s:c>
    </s:row>
    <s:row r="77">
      <s:c r="A77" s="19" t="n">
        <s:v>75</s:v>
      </s:c>
      <s:c r="B77" s="19" t="n">
        <s:v>0</s:v>
      </s:c>
      <s:c r="C77" s="19" t="n">
        <s:v>1</s:v>
      </s:c>
      <s:c r="D77" s="19" t="n">
        <s:v>0</s:v>
      </s:c>
      <s:c r="E77" s="19" t="n">
        <s:v>0</s:v>
      </s:c>
      <s:c r="F77" s="19" t="n">
        <s:v>1</s:v>
      </s:c>
      <s:c r="G77" s="19" t="n">
        <s:v>0</s:v>
      </s:c>
      <s:c r="H77" s="19" t="n">
        <s:v>1</s:v>
      </s:c>
      <s:c r="I77" s="19" t="n">
        <s:v>1</s:v>
      </s:c>
      <s:c r="J77" s="4">
        <s:f>B77*Projects!N2+C77*Projects!N3+D77*Projects!N4+E77*Projects!N5+F77*Projects!N6+G77*Projects!N7+H77*Projects!N8+I77*Projects!N9</s:f>
        <s:v>16700000</s:v>
      </s:c>
      <s:c r="K77" s="3">
        <s:f>B77*Projects!C2+C77*Projects!C3+D77*Projects!C4+E77*Projects!C5+F77*Projects!C6+G77*Projects!C7+H77*Projects!C8+I77*Projects!C9</s:f>
        <s:v>370</s:v>
      </s:c>
      <s:c r="L77" s="3">
        <s:f>B77*Projects!D2+C77*Projects!D3+D77*Projects!D4+E77*Projects!D5+F77*Projects!D6+G77*Projects!D7+H77*Projects!D8+I77*Projects!D9</s:f>
        <s:v>162</s:v>
      </s:c>
      <s:c r="M77" s="4">
        <s:f>B77*Projects!O2+C77*Projects!O3+D77*Projects!O4+E77*Projects!O5+F77*Projects!O6+G77*Projects!O7+H77*Projects!O8+I77*Projects!O9</s:f>
        <s:v>14273013.91715113</s:v>
      </s:c>
      <s:c r="N77" s="3">
        <s:f>B77*(1-Projects!Q2)+C77*(1-Projects!Q3)+D77*(1-Projects!Q4)+E77*(1-Projects!Q5)+F77*(1-Projects!Q6)+G77*(1-Projects!Q7)+H77*(1-Projects!Q8)+I77*(1-Projects!Q9)</s:f>
        <s:v>0</s:v>
      </s:c>
      <s:c r="O77" s="3">
        <s:f>IF(AND(J77&lt;=Inputs!B2,L77&gt;=Inputs!B3,M77&gt;=Inputs!B18,N77=0),1,0)</s:f>
        <s:v>0</s:v>
      </s:c>
      <s:c r="P77" s="3">
        <s:f>IF(O77=1,L77,-1)</s:f>
        <s:v>-1</s:v>
      </s:c>
      <s:c r="Q77" s="3">
        <s:f>IF(AND(O77=1,L77=MAX(P$2:P$257)),M77,-1E+99)</s:f>
        <s:v>-1e+99</s:v>
      </s:c>
    </s:row>
    <s:row r="78">
      <s:c r="A78" s="18" t="n">
        <s:v>76</s:v>
      </s:c>
      <s:c r="B78" s="18" t="n">
        <s:v>0</s:v>
      </s:c>
      <s:c r="C78" s="18" t="n">
        <s:v>1</s:v>
      </s:c>
      <s:c r="D78" s="18" t="n">
        <s:v>0</s:v>
      </s:c>
      <s:c r="E78" s="18" t="n">
        <s:v>0</s:v>
      </s:c>
      <s:c r="F78" s="18" t="n">
        <s:v>1</s:v>
      </s:c>
      <s:c r="G78" s="18" t="n">
        <s:v>1</s:v>
      </s:c>
      <s:c r="H78" s="18" t="n">
        <s:v>0</s:v>
      </s:c>
      <s:c r="I78" s="18" t="n">
        <s:v>0</s:v>
      </s:c>
      <s:c r="J78" s="5">
        <s:f>B78*Projects!N2+C78*Projects!N3+D78*Projects!N4+E78*Projects!N5+F78*Projects!N6+G78*Projects!N7+H78*Projects!N8+I78*Projects!N9</s:f>
        <s:v>11300000</s:v>
      </s:c>
      <s:c r="K78" s="2">
        <s:f>B78*Projects!C2+C78*Projects!C3+D78*Projects!C4+E78*Projects!C5+F78*Projects!C6+G78*Projects!C7+H78*Projects!C8+I78*Projects!C9</s:f>
        <s:v>250</s:v>
      </s:c>
      <s:c r="L78" s="2">
        <s:f>B78*Projects!D2+C78*Projects!D3+D78*Projects!D4+E78*Projects!D5+F78*Projects!D6+G78*Projects!D7+H78*Projects!D8+I78*Projects!D9</s:f>
        <s:v>109</s:v>
      </s:c>
      <s:c r="M78" s="5">
        <s:f>B78*Projects!O2+C78*Projects!O3+D78*Projects!O4+E78*Projects!O5+F78*Projects!O6+G78*Projects!O7+H78*Projects!O8+I78*Projects!O9</s:f>
        <s:v>9291191.13358679</s:v>
      </s:c>
      <s:c r="N78" s="2">
        <s:f>B78*(1-Projects!Q2)+C78*(1-Projects!Q3)+D78*(1-Projects!Q4)+E78*(1-Projects!Q5)+F78*(1-Projects!Q6)+G78*(1-Projects!Q7)+H78*(1-Projects!Q8)+I78*(1-Projects!Q9)</s:f>
        <s:v>0</s:v>
      </s:c>
      <s:c r="O78" s="2">
        <s:f>IF(AND(J78&lt;=Inputs!B2,L78&gt;=Inputs!B3,M78&gt;=Inputs!B18,N78=0),1,0)</s:f>
        <s:v>1</s:v>
      </s:c>
      <s:c r="P78" s="2">
        <s:f>IF(O78=1,L78,-1)</s:f>
        <s:v>109</s:v>
      </s:c>
      <s:c r="Q78" s="2">
        <s:f>IF(AND(O78=1,L78=MAX(P$2:P$257)),M78,-1E+99)</s:f>
        <s:v>-1e+99</s:v>
      </s:c>
    </s:row>
    <s:row r="79">
      <s:c r="A79" s="19" t="n">
        <s:v>77</s:v>
      </s:c>
      <s:c r="B79" s="19" t="n">
        <s:v>0</s:v>
      </s:c>
      <s:c r="C79" s="19" t="n">
        <s:v>1</s:v>
      </s:c>
      <s:c r="D79" s="19" t="n">
        <s:v>0</s:v>
      </s:c>
      <s:c r="E79" s="19" t="n">
        <s:v>0</s:v>
      </s:c>
      <s:c r="F79" s="19" t="n">
        <s:v>1</s:v>
      </s:c>
      <s:c r="G79" s="19" t="n">
        <s:v>1</s:v>
      </s:c>
      <s:c r="H79" s="19" t="n">
        <s:v>0</s:v>
      </s:c>
      <s:c r="I79" s="19" t="n">
        <s:v>1</s:v>
      </s:c>
      <s:c r="J79" s="4">
        <s:f>B79*Projects!N2+C79*Projects!N3+D79*Projects!N4+E79*Projects!N5+F79*Projects!N6+G79*Projects!N7+H79*Projects!N8+I79*Projects!N9</s:f>
        <s:v>15800000</s:v>
      </s:c>
      <s:c r="K79" s="3">
        <s:f>B79*Projects!C2+C79*Projects!C3+D79*Projects!C4+E79*Projects!C5+F79*Projects!C6+G79*Projects!C7+H79*Projects!C8+I79*Projects!C9</s:f>
        <s:v>340</s:v>
      </s:c>
      <s:c r="L79" s="3">
        <s:f>B79*Projects!D2+C79*Projects!D3+D79*Projects!D4+E79*Projects!D5+F79*Projects!D6+G79*Projects!D7+H79*Projects!D8+I79*Projects!D9</s:f>
        <s:v>136</s:v>
      </s:c>
      <s:c r="M79" s="4">
        <s:f>B79*Projects!O2+C79*Projects!O3+D79*Projects!O4+E79*Projects!O5+F79*Projects!O6+G79*Projects!O7+H79*Projects!O8+I79*Projects!O9</s:f>
        <s:v>13747818.559130825</s:v>
      </s:c>
      <s:c r="N79" s="3">
        <s:f>B79*(1-Projects!Q2)+C79*(1-Projects!Q3)+D79*(1-Projects!Q4)+E79*(1-Projects!Q5)+F79*(1-Projects!Q6)+G79*(1-Projects!Q7)+H79*(1-Projects!Q8)+I79*(1-Projects!Q9)</s:f>
        <s:v>0</s:v>
      </s:c>
      <s:c r="O79" s="3">
        <s:f>IF(AND(J79&lt;=Inputs!B2,L79&gt;=Inputs!B3,M79&gt;=Inputs!B18,N79=0),1,0)</s:f>
        <s:v>0</s:v>
      </s:c>
      <s:c r="P79" s="3">
        <s:f>IF(O79=1,L79,-1)</s:f>
        <s:v>-1</s:v>
      </s:c>
      <s:c r="Q79" s="3">
        <s:f>IF(AND(O79=1,L79=MAX(P$2:P$257)),M79,-1E+99)</s:f>
        <s:v>-1e+99</s:v>
      </s:c>
    </s:row>
    <s:row r="80">
      <s:c r="A80" s="18" t="n">
        <s:v>78</s:v>
      </s:c>
      <s:c r="B80" s="18" t="n">
        <s:v>0</s:v>
      </s:c>
      <s:c r="C80" s="18" t="n">
        <s:v>1</s:v>
      </s:c>
      <s:c r="D80" s="18" t="n">
        <s:v>0</s:v>
      </s:c>
      <s:c r="E80" s="18" t="n">
        <s:v>0</s:v>
      </s:c>
      <s:c r="F80" s="18" t="n">
        <s:v>1</s:v>
      </s:c>
      <s:c r="G80" s="18" t="n">
        <s:v>1</s:v>
      </s:c>
      <s:c r="H80" s="18" t="n">
        <s:v>1</s:v>
      </s:c>
      <s:c r="I80" s="18" t="n">
        <s:v>0</s:v>
      </s:c>
      <s:c r="J80" s="5">
        <s:f>B80*Projects!N2+C80*Projects!N3+D80*Projects!N4+E80*Projects!N5+F80*Projects!N6+G80*Projects!N7+H80*Projects!N8+I80*Projects!N9</s:f>
        <s:v>15400000</s:v>
      </s:c>
      <s:c r="K80" s="2">
        <s:f>B80*Projects!C2+C80*Projects!C3+D80*Projects!C4+E80*Projects!C5+F80*Projects!C6+G80*Projects!C7+H80*Projects!C8+I80*Projects!C9</s:f>
        <s:v>360</s:v>
      </s:c>
      <s:c r="L80" s="2">
        <s:f>B80*Projects!D2+C80*Projects!D3+D80*Projects!D4+E80*Projects!D5+F80*Projects!D6+G80*Projects!D7+H80*Projects!D8+I80*Projects!D9</s:f>
        <s:v>175</s:v>
      </s:c>
      <s:c r="M80" s="5">
        <s:f>B80*Projects!O2+C80*Projects!O3+D80*Projects!O4+E80*Projects!O5+F80*Projects!O6+G80*Projects!O7+H80*Projects!O8+I80*Projects!O9</s:f>
        <s:v>12326565.111476097</s:v>
      </s:c>
      <s:c r="N80" s="2">
        <s:f>B80*(1-Projects!Q2)+C80*(1-Projects!Q3)+D80*(1-Projects!Q4)+E80*(1-Projects!Q5)+F80*(1-Projects!Q6)+G80*(1-Projects!Q7)+H80*(1-Projects!Q8)+I80*(1-Projects!Q9)</s:f>
        <s:v>0</s:v>
      </s:c>
      <s:c r="O80" s="2">
        <s:f>IF(AND(J80&lt;=Inputs!B2,L80&gt;=Inputs!B3,M80&gt;=Inputs!B18,N80=0),1,0)</s:f>
        <s:v>0</s:v>
      </s:c>
      <s:c r="P80" s="2">
        <s:f>IF(O80=1,L80,-1)</s:f>
        <s:v>-1</s:v>
      </s:c>
      <s:c r="Q80" s="2">
        <s:f>IF(AND(O80=1,L80=MAX(P$2:P$257)),M80,-1E+99)</s:f>
        <s:v>-1e+99</s:v>
      </s:c>
    </s:row>
    <s:row r="81">
      <s:c r="A81" s="19" t="n">
        <s:v>79</s:v>
      </s:c>
      <s:c r="B81" s="19" t="n">
        <s:v>0</s:v>
      </s:c>
      <s:c r="C81" s="19" t="n">
        <s:v>1</s:v>
      </s:c>
      <s:c r="D81" s="19" t="n">
        <s:v>0</s:v>
      </s:c>
      <s:c r="E81" s="19" t="n">
        <s:v>0</s:v>
      </s:c>
      <s:c r="F81" s="19" t="n">
        <s:v>1</s:v>
      </s:c>
      <s:c r="G81" s="19" t="n">
        <s:v>1</s:v>
      </s:c>
      <s:c r="H81" s="19" t="n">
        <s:v>1</s:v>
      </s:c>
      <s:c r="I81" s="19" t="n">
        <s:v>1</s:v>
      </s:c>
      <s:c r="J81" s="4">
        <s:f>B81*Projects!N2+C81*Projects!N3+D81*Projects!N4+E81*Projects!N5+F81*Projects!N6+G81*Projects!N7+H81*Projects!N8+I81*Projects!N9</s:f>
        <s:v>19900000</s:v>
      </s:c>
      <s:c r="K81" s="3">
        <s:f>B81*Projects!C2+C81*Projects!C3+D81*Projects!C4+E81*Projects!C5+F81*Projects!C6+G81*Projects!C7+H81*Projects!C8+I81*Projects!C9</s:f>
        <s:v>450</s:v>
      </s:c>
      <s:c r="L81" s="3">
        <s:f>B81*Projects!D2+C81*Projects!D3+D81*Projects!D4+E81*Projects!D5+F81*Projects!D6+G81*Projects!D7+H81*Projects!D8+I81*Projects!D9</s:f>
        <s:v>202</s:v>
      </s:c>
      <s:c r="M81" s="4">
        <s:f>B81*Projects!O2+C81*Projects!O3+D81*Projects!O4+E81*Projects!O5+F81*Projects!O6+G81*Projects!O7+H81*Projects!O8+I81*Projects!O9</s:f>
        <s:v>16783192.537020132</s:v>
      </s:c>
      <s:c r="N81" s="3">
        <s:f>B81*(1-Projects!Q2)+C81*(1-Projects!Q3)+D81*(1-Projects!Q4)+E81*(1-Projects!Q5)+F81*(1-Projects!Q6)+G81*(1-Projects!Q7)+H81*(1-Projects!Q8)+I81*(1-Projects!Q9)</s:f>
        <s:v>0</s:v>
      </s:c>
      <s:c r="O81" s="3">
        <s:f>IF(AND(J81&lt;=Inputs!B2,L81&gt;=Inputs!B3,M81&gt;=Inputs!B18,N81=0),1,0)</s:f>
        <s:v>0</s:v>
      </s:c>
      <s:c r="P81" s="3">
        <s:f>IF(O81=1,L81,-1)</s:f>
        <s:v>-1</s:v>
      </s:c>
      <s:c r="Q81" s="3">
        <s:f>IF(AND(O81=1,L81=MAX(P$2:P$257)),M81,-1E+99)</s:f>
        <s:v>-1e+99</s:v>
      </s:c>
    </s:row>
    <s:row r="82">
      <s:c r="A82" s="18" t="n">
        <s:v>80</s:v>
      </s:c>
      <s:c r="B82" s="18" t="n">
        <s:v>0</s:v>
      </s:c>
      <s:c r="C82" s="18" t="n">
        <s:v>1</s:v>
      </s:c>
      <s:c r="D82" s="18" t="n">
        <s:v>0</s:v>
      </s:c>
      <s:c r="E82" s="18" t="n">
        <s:v>1</s:v>
      </s:c>
      <s:c r="F82" s="18" t="n">
        <s:v>0</s:v>
      </s:c>
      <s:c r="G82" s="18" t="n">
        <s:v>0</s:v>
      </s:c>
      <s:c r="H82" s="18" t="n">
        <s:v>0</s:v>
      </s:c>
      <s:c r="I82" s="18" t="n">
        <s:v>0</s:v>
      </s:c>
      <s:c r="J82" s="5">
        <s:f>B82*Projects!N2+C82*Projects!N3+D82*Projects!N4+E82*Projects!N5+F82*Projects!N6+G82*Projects!N7+H82*Projects!N8+I82*Projects!N9</s:f>
        <s:v>7700000</s:v>
      </s:c>
      <s:c r="K82" s="2">
        <s:f>B82*Projects!C2+C82*Projects!C3+D82*Projects!C4+E82*Projects!C5+F82*Projects!C6+G82*Projects!C7+H82*Projects!C8+I82*Projects!C9</s:f>
        <s:v>150</s:v>
      </s:c>
      <s:c r="L82" s="2">
        <s:f>B82*Projects!D2+C82*Projects!D3+D82*Projects!D4+E82*Projects!D5+F82*Projects!D6+G82*Projects!D7+H82*Projects!D8+I82*Projects!D9</s:f>
        <s:v>45</s:v>
      </s:c>
      <s:c r="M82" s="5">
        <s:f>B82*Projects!O2+C82*Projects!O3+D82*Projects!O4+E82*Projects!O5+F82*Projects!O6+G82*Projects!O7+H82*Projects!O8+I82*Projects!O9</s:f>
        <s:v>7095408.3807773255</s:v>
      </s:c>
      <s:c r="N82" s="2">
        <s:f>B82*(1-Projects!Q2)+C82*(1-Projects!Q3)+D82*(1-Projects!Q4)+E82*(1-Projects!Q5)+F82*(1-Projects!Q6)+G82*(1-Projects!Q7)+H82*(1-Projects!Q8)+I82*(1-Projects!Q9)</s:f>
        <s:v>0</s:v>
      </s:c>
      <s:c r="O82" s="2">
        <s:f>IF(AND(J82&lt;=Inputs!B2,L82&gt;=Inputs!B3,M82&gt;=Inputs!B18,N82=0),1,0)</s:f>
        <s:v>0</s:v>
      </s:c>
      <s:c r="P82" s="2">
        <s:f>IF(O82=1,L82,-1)</s:f>
        <s:v>-1</s:v>
      </s:c>
      <s:c r="Q82" s="2">
        <s:f>IF(AND(O82=1,L82=MAX(P$2:P$257)),M82,-1E+99)</s:f>
        <s:v>-1e+99</s:v>
      </s:c>
    </s:row>
    <s:row r="83">
      <s:c r="A83" s="19" t="n">
        <s:v>81</s:v>
      </s:c>
      <s:c r="B83" s="19" t="n">
        <s:v>0</s:v>
      </s:c>
      <s:c r="C83" s="19" t="n">
        <s:v>1</s:v>
      </s:c>
      <s:c r="D83" s="19" t="n">
        <s:v>0</s:v>
      </s:c>
      <s:c r="E83" s="19" t="n">
        <s:v>1</s:v>
      </s:c>
      <s:c r="F83" s="19" t="n">
        <s:v>0</s:v>
      </s:c>
      <s:c r="G83" s="19" t="n">
        <s:v>0</s:v>
      </s:c>
      <s:c r="H83" s="19" t="n">
        <s:v>0</s:v>
      </s:c>
      <s:c r="I83" s="19" t="n">
        <s:v>1</s:v>
      </s:c>
      <s:c r="J83" s="4">
        <s:f>B83*Projects!N2+C83*Projects!N3+D83*Projects!N4+E83*Projects!N5+F83*Projects!N6+G83*Projects!N7+H83*Projects!N8+I83*Projects!N9</s:f>
        <s:v>12200000</s:v>
      </s:c>
      <s:c r="K83" s="3">
        <s:f>B83*Projects!C2+C83*Projects!C3+D83*Projects!C4+E83*Projects!C5+F83*Projects!C6+G83*Projects!C7+H83*Projects!C8+I83*Projects!C9</s:f>
        <s:v>240</s:v>
      </s:c>
      <s:c r="L83" s="3">
        <s:f>B83*Projects!D2+C83*Projects!D3+D83*Projects!D4+E83*Projects!D5+F83*Projects!D6+G83*Projects!D7+H83*Projects!D8+I83*Projects!D9</s:f>
        <s:v>72</s:v>
      </s:c>
      <s:c r="M83" s="4">
        <s:f>B83*Projects!O2+C83*Projects!O3+D83*Projects!O4+E83*Projects!O5+F83*Projects!O6+G83*Projects!O7+H83*Projects!O8+I83*Projects!O9</s:f>
        <s:v>11552035.80632136</s:v>
      </s:c>
      <s:c r="N83" s="3">
        <s:f>B83*(1-Projects!Q2)+C83*(1-Projects!Q3)+D83*(1-Projects!Q4)+E83*(1-Projects!Q5)+F83*(1-Projects!Q6)+G83*(1-Projects!Q7)+H83*(1-Projects!Q8)+I83*(1-Projects!Q9)</s:f>
        <s:v>0</s:v>
      </s:c>
      <s:c r="O83" s="3">
        <s:f>IF(AND(J83&lt;=Inputs!B2,L83&gt;=Inputs!B3,M83&gt;=Inputs!B18,N83=0),1,0)</s:f>
        <s:v>0</s:v>
      </s:c>
      <s:c r="P83" s="3">
        <s:f>IF(O83=1,L83,-1)</s:f>
        <s:v>-1</s:v>
      </s:c>
      <s:c r="Q83" s="3">
        <s:f>IF(AND(O83=1,L83=MAX(P$2:P$257)),M83,-1E+99)</s:f>
        <s:v>-1e+99</s:v>
      </s:c>
    </s:row>
    <s:row r="84">
      <s:c r="A84" s="18" t="n">
        <s:v>82</s:v>
      </s:c>
      <s:c r="B84" s="18" t="n">
        <s:v>0</s:v>
      </s:c>
      <s:c r="C84" s="18" t="n">
        <s:v>1</s:v>
      </s:c>
      <s:c r="D84" s="18" t="n">
        <s:v>0</s:v>
      </s:c>
      <s:c r="E84" s="18" t="n">
        <s:v>1</s:v>
      </s:c>
      <s:c r="F84" s="18" t="n">
        <s:v>0</s:v>
      </s:c>
      <s:c r="G84" s="18" t="n">
        <s:v>0</s:v>
      </s:c>
      <s:c r="H84" s="18" t="n">
        <s:v>1</s:v>
      </s:c>
      <s:c r="I84" s="18" t="n">
        <s:v>0</s:v>
      </s:c>
      <s:c r="J84" s="5">
        <s:f>B84*Projects!N2+C84*Projects!N3+D84*Projects!N4+E84*Projects!N5+F84*Projects!N6+G84*Projects!N7+H84*Projects!N8+I84*Projects!N9</s:f>
        <s:v>11800000</s:v>
      </s:c>
      <s:c r="K84" s="2">
        <s:f>B84*Projects!C2+C84*Projects!C3+D84*Projects!C4+E84*Projects!C5+F84*Projects!C6+G84*Projects!C7+H84*Projects!C8+I84*Projects!C9</s:f>
        <s:v>260</s:v>
      </s:c>
      <s:c r="L84" s="2">
        <s:f>B84*Projects!D2+C84*Projects!D3+D84*Projects!D4+E84*Projects!D5+F84*Projects!D6+G84*Projects!D7+H84*Projects!D8+I84*Projects!D9</s:f>
        <s:v>111</s:v>
      </s:c>
      <s:c r="M84" s="5">
        <s:f>B84*Projects!O2+C84*Projects!O3+D84*Projects!O4+E84*Projects!O5+F84*Projects!O6+G84*Projects!O7+H84*Projects!O8+I84*Projects!O9</s:f>
        <s:v>10130782.358666632</s:v>
      </s:c>
      <s:c r="N84" s="2">
        <s:f>B84*(1-Projects!Q2)+C84*(1-Projects!Q3)+D84*(1-Projects!Q4)+E84*(1-Projects!Q5)+F84*(1-Projects!Q6)+G84*(1-Projects!Q7)+H84*(1-Projects!Q8)+I84*(1-Projects!Q9)</s:f>
        <s:v>0</s:v>
      </s:c>
      <s:c r="O84" s="2">
        <s:f>IF(AND(J84&lt;=Inputs!B2,L84&gt;=Inputs!B3,M84&gt;=Inputs!B18,N84=0),1,0)</s:f>
        <s:v>1</s:v>
      </s:c>
      <s:c r="P84" s="2">
        <s:f>IF(O84=1,L84,-1)</s:f>
        <s:v>111</s:v>
      </s:c>
      <s:c r="Q84" s="2">
        <s:f>IF(AND(O84=1,L84=MAX(P$2:P$257)),M84,-1E+99)</s:f>
        <s:v>-1e+99</s:v>
      </s:c>
    </s:row>
    <s:row r="85">
      <s:c r="A85" s="19" t="n">
        <s:v>83</s:v>
      </s:c>
      <s:c r="B85" s="19" t="n">
        <s:v>0</s:v>
      </s:c>
      <s:c r="C85" s="19" t="n">
        <s:v>1</s:v>
      </s:c>
      <s:c r="D85" s="19" t="n">
        <s:v>0</s:v>
      </s:c>
      <s:c r="E85" s="19" t="n">
        <s:v>1</s:v>
      </s:c>
      <s:c r="F85" s="19" t="n">
        <s:v>0</s:v>
      </s:c>
      <s:c r="G85" s="19" t="n">
        <s:v>0</s:v>
      </s:c>
      <s:c r="H85" s="19" t="n">
        <s:v>1</s:v>
      </s:c>
      <s:c r="I85" s="19" t="n">
        <s:v>1</s:v>
      </s:c>
      <s:c r="J85" s="4">
        <s:f>B85*Projects!N2+C85*Projects!N3+D85*Projects!N4+E85*Projects!N5+F85*Projects!N6+G85*Projects!N7+H85*Projects!N8+I85*Projects!N9</s:f>
        <s:v>16300000</s:v>
      </s:c>
      <s:c r="K85" s="3">
        <s:f>B85*Projects!C2+C85*Projects!C3+D85*Projects!C4+E85*Projects!C5+F85*Projects!C6+G85*Projects!C7+H85*Projects!C8+I85*Projects!C9</s:f>
        <s:v>350</s:v>
      </s:c>
      <s:c r="L85" s="3">
        <s:f>B85*Projects!D2+C85*Projects!D3+D85*Projects!D4+E85*Projects!D5+F85*Projects!D6+G85*Projects!D7+H85*Projects!D8+I85*Projects!D9</s:f>
        <s:v>138</s:v>
      </s:c>
      <s:c r="M85" s="4">
        <s:f>B85*Projects!O2+C85*Projects!O3+D85*Projects!O4+E85*Projects!O5+F85*Projects!O6+G85*Projects!O7+H85*Projects!O8+I85*Projects!O9</s:f>
        <s:v>14587409.784210667</s:v>
      </s:c>
      <s:c r="N85" s="3">
        <s:f>B85*(1-Projects!Q2)+C85*(1-Projects!Q3)+D85*(1-Projects!Q4)+E85*(1-Projects!Q5)+F85*(1-Projects!Q6)+G85*(1-Projects!Q7)+H85*(1-Projects!Q8)+I85*(1-Projects!Q9)</s:f>
        <s:v>0</s:v>
      </s:c>
      <s:c r="O85" s="3">
        <s:f>IF(AND(J85&lt;=Inputs!B2,L85&gt;=Inputs!B3,M85&gt;=Inputs!B18,N85=0),1,0)</s:f>
        <s:v>0</s:v>
      </s:c>
      <s:c r="P85" s="3">
        <s:f>IF(O85=1,L85,-1)</s:f>
        <s:v>-1</s:v>
      </s:c>
      <s:c r="Q85" s="3">
        <s:f>IF(AND(O85=1,L85=MAX(P$2:P$257)),M85,-1E+99)</s:f>
        <s:v>-1e+99</s:v>
      </s:c>
    </s:row>
    <s:row r="86">
      <s:c r="A86" s="18" t="n">
        <s:v>84</s:v>
      </s:c>
      <s:c r="B86" s="18" t="n">
        <s:v>0</s:v>
      </s:c>
      <s:c r="C86" s="18" t="n">
        <s:v>1</s:v>
      </s:c>
      <s:c r="D86" s="18" t="n">
        <s:v>0</s:v>
      </s:c>
      <s:c r="E86" s="18" t="n">
        <s:v>1</s:v>
      </s:c>
      <s:c r="F86" s="18" t="n">
        <s:v>0</s:v>
      </s:c>
      <s:c r="G86" s="18" t="n">
        <s:v>1</s:v>
      </s:c>
      <s:c r="H86" s="18" t="n">
        <s:v>0</s:v>
      </s:c>
      <s:c r="I86" s="18" t="n">
        <s:v>0</s:v>
      </s:c>
      <s:c r="J86" s="5">
        <s:f>B86*Projects!N2+C86*Projects!N3+D86*Projects!N4+E86*Projects!N5+F86*Projects!N6+G86*Projects!N7+H86*Projects!N8+I86*Projects!N9</s:f>
        <s:v>10900000</s:v>
      </s:c>
      <s:c r="K86" s="2">
        <s:f>B86*Projects!C2+C86*Projects!C3+D86*Projects!C4+E86*Projects!C5+F86*Projects!C6+G86*Projects!C7+H86*Projects!C8+I86*Projects!C9</s:f>
        <s:v>230</s:v>
      </s:c>
      <s:c r="L86" s="2">
        <s:f>B86*Projects!D2+C86*Projects!D3+D86*Projects!D4+E86*Projects!D5+F86*Projects!D6+G86*Projects!D7+H86*Projects!D8+I86*Projects!D9</s:f>
        <s:v>85</s:v>
      </s:c>
      <s:c r="M86" s="5">
        <s:f>B86*Projects!O2+C86*Projects!O3+D86*Projects!O4+E86*Projects!O5+F86*Projects!O6+G86*Projects!O7+H86*Projects!O8+I86*Projects!O9</s:f>
        <s:v>9605587.000646329</s:v>
      </s:c>
      <s:c r="N86" s="2">
        <s:f>B86*(1-Projects!Q2)+C86*(1-Projects!Q3)+D86*(1-Projects!Q4)+E86*(1-Projects!Q5)+F86*(1-Projects!Q6)+G86*(1-Projects!Q7)+H86*(1-Projects!Q8)+I86*(1-Projects!Q9)</s:f>
        <s:v>0</s:v>
      </s:c>
      <s:c r="O86" s="2">
        <s:f>IF(AND(J86&lt;=Inputs!B2,L86&gt;=Inputs!B3,M86&gt;=Inputs!B18,N86=0),1,0)</s:f>
        <s:v>1</s:v>
      </s:c>
      <s:c r="P86" s="2">
        <s:f>IF(O86=1,L86,-1)</s:f>
        <s:v>85</s:v>
      </s:c>
      <s:c r="Q86" s="2">
        <s:f>IF(AND(O86=1,L86=MAX(P$2:P$257)),M86,-1E+99)</s:f>
        <s:v>-1e+99</s:v>
      </s:c>
    </s:row>
    <s:row r="87">
      <s:c r="A87" s="19" t="n">
        <s:v>85</s:v>
      </s:c>
      <s:c r="B87" s="19" t="n">
        <s:v>0</s:v>
      </s:c>
      <s:c r="C87" s="19" t="n">
        <s:v>1</s:v>
      </s:c>
      <s:c r="D87" s="19" t="n">
        <s:v>0</s:v>
      </s:c>
      <s:c r="E87" s="19" t="n">
        <s:v>1</s:v>
      </s:c>
      <s:c r="F87" s="19" t="n">
        <s:v>0</s:v>
      </s:c>
      <s:c r="G87" s="19" t="n">
        <s:v>1</s:v>
      </s:c>
      <s:c r="H87" s="19" t="n">
        <s:v>0</s:v>
      </s:c>
      <s:c r="I87" s="19" t="n">
        <s:v>1</s:v>
      </s:c>
      <s:c r="J87" s="4">
        <s:f>B87*Projects!N2+C87*Projects!N3+D87*Projects!N4+E87*Projects!N5+F87*Projects!N6+G87*Projects!N7+H87*Projects!N8+I87*Projects!N9</s:f>
        <s:v>15400000</s:v>
      </s:c>
      <s:c r="K87" s="3">
        <s:f>B87*Projects!C2+C87*Projects!C3+D87*Projects!C4+E87*Projects!C5+F87*Projects!C6+G87*Projects!C7+H87*Projects!C8+I87*Projects!C9</s:f>
        <s:v>320</s:v>
      </s:c>
      <s:c r="L87" s="3">
        <s:f>B87*Projects!D2+C87*Projects!D3+D87*Projects!D4+E87*Projects!D5+F87*Projects!D6+G87*Projects!D7+H87*Projects!D8+I87*Projects!D9</s:f>
        <s:v>112</s:v>
      </s:c>
      <s:c r="M87" s="4">
        <s:f>B87*Projects!O2+C87*Projects!O3+D87*Projects!O4+E87*Projects!O5+F87*Projects!O6+G87*Projects!O7+H87*Projects!O8+I87*Projects!O9</s:f>
        <s:v>14062214.426190365</s:v>
      </s:c>
      <s:c r="N87" s="3">
        <s:f>B87*(1-Projects!Q2)+C87*(1-Projects!Q3)+D87*(1-Projects!Q4)+E87*(1-Projects!Q5)+F87*(1-Projects!Q6)+G87*(1-Projects!Q7)+H87*(1-Projects!Q8)+I87*(1-Projects!Q9)</s:f>
        <s:v>0</s:v>
      </s:c>
      <s:c r="O87" s="3">
        <s:f>IF(AND(J87&lt;=Inputs!B2,L87&gt;=Inputs!B3,M87&gt;=Inputs!B18,N87=0),1,0)</s:f>
        <s:v>0</s:v>
      </s:c>
      <s:c r="P87" s="3">
        <s:f>IF(O87=1,L87,-1)</s:f>
        <s:v>-1</s:v>
      </s:c>
      <s:c r="Q87" s="3">
        <s:f>IF(AND(O87=1,L87=MAX(P$2:P$257)),M87,-1E+99)</s:f>
        <s:v>-1e+99</s:v>
      </s:c>
    </s:row>
    <s:row r="88">
      <s:c r="A88" s="18" t="n">
        <s:v>86</s:v>
      </s:c>
      <s:c r="B88" s="18" t="n">
        <s:v>0</s:v>
      </s:c>
      <s:c r="C88" s="18" t="n">
        <s:v>1</s:v>
      </s:c>
      <s:c r="D88" s="18" t="n">
        <s:v>0</s:v>
      </s:c>
      <s:c r="E88" s="18" t="n">
        <s:v>1</s:v>
      </s:c>
      <s:c r="F88" s="18" t="n">
        <s:v>0</s:v>
      </s:c>
      <s:c r="G88" s="18" t="n">
        <s:v>1</s:v>
      </s:c>
      <s:c r="H88" s="18" t="n">
        <s:v>1</s:v>
      </s:c>
      <s:c r="I88" s="18" t="n">
        <s:v>0</s:v>
      </s:c>
      <s:c r="J88" s="5">
        <s:f>B88*Projects!N2+C88*Projects!N3+D88*Projects!N4+E88*Projects!N5+F88*Projects!N6+G88*Projects!N7+H88*Projects!N8+I88*Projects!N9</s:f>
        <s:v>15000000</s:v>
      </s:c>
      <s:c r="K88" s="2">
        <s:f>B88*Projects!C2+C88*Projects!C3+D88*Projects!C4+E88*Projects!C5+F88*Projects!C6+G88*Projects!C7+H88*Projects!C8+I88*Projects!C9</s:f>
        <s:v>340</s:v>
      </s:c>
      <s:c r="L88" s="2">
        <s:f>B88*Projects!D2+C88*Projects!D3+D88*Projects!D4+E88*Projects!D5+F88*Projects!D6+G88*Projects!D7+H88*Projects!D8+I88*Projects!D9</s:f>
        <s:v>151</s:v>
      </s:c>
      <s:c r="M88" s="5">
        <s:f>B88*Projects!O2+C88*Projects!O3+D88*Projects!O4+E88*Projects!O5+F88*Projects!O6+G88*Projects!O7+H88*Projects!O8+I88*Projects!O9</s:f>
        <s:v>12640960.978535635</s:v>
      </s:c>
      <s:c r="N88" s="2">
        <s:f>B88*(1-Projects!Q2)+C88*(1-Projects!Q3)+D88*(1-Projects!Q4)+E88*(1-Projects!Q5)+F88*(1-Projects!Q6)+G88*(1-Projects!Q7)+H88*(1-Projects!Q8)+I88*(1-Projects!Q9)</s:f>
        <s:v>0</s:v>
      </s:c>
      <s:c r="O88" s="2">
        <s:f>IF(AND(J88&lt;=Inputs!B2,L88&gt;=Inputs!B3,M88&gt;=Inputs!B18,N88=0),1,0)</s:f>
        <s:v>1</s:v>
      </s:c>
      <s:c r="P88" s="2">
        <s:f>IF(O88=1,L88,-1)</s:f>
        <s:v>151</s:v>
      </s:c>
      <s:c r="Q88" s="2">
        <s:f>IF(AND(O88=1,L88=MAX(P$2:P$257)),M88,-1E+99)</s:f>
        <s:v>-1e+99</s:v>
      </s:c>
    </s:row>
    <s:row r="89">
      <s:c r="A89" s="19" t="n">
        <s:v>87</s:v>
      </s:c>
      <s:c r="B89" s="19" t="n">
        <s:v>0</s:v>
      </s:c>
      <s:c r="C89" s="19" t="n">
        <s:v>1</s:v>
      </s:c>
      <s:c r="D89" s="19" t="n">
        <s:v>0</s:v>
      </s:c>
      <s:c r="E89" s="19" t="n">
        <s:v>1</s:v>
      </s:c>
      <s:c r="F89" s="19" t="n">
        <s:v>0</s:v>
      </s:c>
      <s:c r="G89" s="19" t="n">
        <s:v>1</s:v>
      </s:c>
      <s:c r="H89" s="19" t="n">
        <s:v>1</s:v>
      </s:c>
      <s:c r="I89" s="19" t="n">
        <s:v>1</s:v>
      </s:c>
      <s:c r="J89" s="4">
        <s:f>B89*Projects!N2+C89*Projects!N3+D89*Projects!N4+E89*Projects!N5+F89*Projects!N6+G89*Projects!N7+H89*Projects!N8+I89*Projects!N9</s:f>
        <s:v>19500000</s:v>
      </s:c>
      <s:c r="K89" s="3">
        <s:f>B89*Projects!C2+C89*Projects!C3+D89*Projects!C4+E89*Projects!C5+F89*Projects!C6+G89*Projects!C7+H89*Projects!C8+I89*Projects!C9</s:f>
        <s:v>430</s:v>
      </s:c>
      <s:c r="L89" s="3">
        <s:f>B89*Projects!D2+C89*Projects!D3+D89*Projects!D4+E89*Projects!D5+F89*Projects!D6+G89*Projects!D7+H89*Projects!D8+I89*Projects!D9</s:f>
        <s:v>178</s:v>
      </s:c>
      <s:c r="M89" s="4">
        <s:f>B89*Projects!O2+C89*Projects!O3+D89*Projects!O4+E89*Projects!O5+F89*Projects!O6+G89*Projects!O7+H89*Projects!O8+I89*Projects!O9</s:f>
        <s:v>17097588.404079672</s:v>
      </s:c>
      <s:c r="N89" s="3">
        <s:f>B89*(1-Projects!Q2)+C89*(1-Projects!Q3)+D89*(1-Projects!Q4)+E89*(1-Projects!Q5)+F89*(1-Projects!Q6)+G89*(1-Projects!Q7)+H89*(1-Projects!Q8)+I89*(1-Projects!Q9)</s:f>
        <s:v>0</s:v>
      </s:c>
      <s:c r="O89" s="3">
        <s:f>IF(AND(J89&lt;=Inputs!B2,L89&gt;=Inputs!B3,M89&gt;=Inputs!B18,N89=0),1,0)</s:f>
        <s:v>0</s:v>
      </s:c>
      <s:c r="P89" s="3">
        <s:f>IF(O89=1,L89,-1)</s:f>
        <s:v>-1</s:v>
      </s:c>
      <s:c r="Q89" s="3">
        <s:f>IF(AND(O89=1,L89=MAX(P$2:P$257)),M89,-1E+99)</s:f>
        <s:v>-1e+99</s:v>
      </s:c>
    </s:row>
    <s:row r="90">
      <s:c r="A90" s="18" t="n">
        <s:v>88</s:v>
      </s:c>
      <s:c r="B90" s="18" t="n">
        <s:v>0</s:v>
      </s:c>
      <s:c r="C90" s="18" t="n">
        <s:v>1</s:v>
      </s:c>
      <s:c r="D90" s="18" t="n">
        <s:v>0</s:v>
      </s:c>
      <s:c r="E90" s="18" t="n">
        <s:v>1</s:v>
      </s:c>
      <s:c r="F90" s="18" t="n">
        <s:v>1</s:v>
      </s:c>
      <s:c r="G90" s="18" t="n">
        <s:v>0</s:v>
      </s:c>
      <s:c r="H90" s="18" t="n">
        <s:v>0</s:v>
      </s:c>
      <s:c r="I90" s="18" t="n">
        <s:v>0</s:v>
      </s:c>
      <s:c r="J90" s="5">
        <s:f>B90*Projects!N2+C90*Projects!N3+D90*Projects!N4+E90*Projects!N5+F90*Projects!N6+G90*Projects!N7+H90*Projects!N8+I90*Projects!N9</s:f>
        <s:v>11500000</s:v>
      </s:c>
      <s:c r="K90" s="2">
        <s:f>B90*Projects!C2+C90*Projects!C3+D90*Projects!C4+E90*Projects!C5+F90*Projects!C6+G90*Projects!C7+H90*Projects!C8+I90*Projects!C9</s:f>
        <s:v>240</s:v>
      </s:c>
      <s:c r="L90" s="2">
        <s:f>B90*Projects!D2+C90*Projects!D3+D90*Projects!D4+E90*Projects!D5+F90*Projects!D6+G90*Projects!D7+H90*Projects!D8+I90*Projects!D9</s:f>
        <s:v>90</s:v>
      </s:c>
      <s:c r="M90" s="5">
        <s:f>B90*Projects!O2+C90*Projects!O3+D90*Projects!O4+E90*Projects!O5+F90*Projects!O6+G90*Projects!O7+H90*Projects!O8+I90*Projects!O9</s:f>
        <s:v>10097370.742785389</s:v>
      </s:c>
      <s:c r="N90" s="2">
        <s:f>B90*(1-Projects!Q2)+C90*(1-Projects!Q3)+D90*(1-Projects!Q4)+E90*(1-Projects!Q5)+F90*(1-Projects!Q6)+G90*(1-Projects!Q7)+H90*(1-Projects!Q8)+I90*(1-Projects!Q9)</s:f>
        <s:v>0</s:v>
      </s:c>
      <s:c r="O90" s="2">
        <s:f>IF(AND(J90&lt;=Inputs!B2,L90&gt;=Inputs!B3,M90&gt;=Inputs!B18,N90=0),1,0)</s:f>
        <s:v>1</s:v>
      </s:c>
      <s:c r="P90" s="2">
        <s:f>IF(O90=1,L90,-1)</s:f>
        <s:v>90</s:v>
      </s:c>
      <s:c r="Q90" s="2">
        <s:f>IF(AND(O90=1,L90=MAX(P$2:P$257)),M90,-1E+99)</s:f>
        <s:v>-1e+99</s:v>
      </s:c>
    </s:row>
    <s:row r="91">
      <s:c r="A91" s="19" t="n">
        <s:v>89</s:v>
      </s:c>
      <s:c r="B91" s="19" t="n">
        <s:v>0</s:v>
      </s:c>
      <s:c r="C91" s="19" t="n">
        <s:v>1</s:v>
      </s:c>
      <s:c r="D91" s="19" t="n">
        <s:v>0</s:v>
      </s:c>
      <s:c r="E91" s="19" t="n">
        <s:v>1</s:v>
      </s:c>
      <s:c r="F91" s="19" t="n">
        <s:v>1</s:v>
      </s:c>
      <s:c r="G91" s="19" t="n">
        <s:v>0</s:v>
      </s:c>
      <s:c r="H91" s="19" t="n">
        <s:v>0</s:v>
      </s:c>
      <s:c r="I91" s="19" t="n">
        <s:v>1</s:v>
      </s:c>
      <s:c r="J91" s="4">
        <s:f>B91*Projects!N2+C91*Projects!N3+D91*Projects!N4+E91*Projects!N5+F91*Projects!N6+G91*Projects!N7+H91*Projects!N8+I91*Projects!N9</s:f>
        <s:v>16000000</s:v>
      </s:c>
      <s:c r="K91" s="3">
        <s:f>B91*Projects!C2+C91*Projects!C3+D91*Projects!C4+E91*Projects!C5+F91*Projects!C6+G91*Projects!C7+H91*Projects!C8+I91*Projects!C9</s:f>
        <s:v>330</s:v>
      </s:c>
      <s:c r="L91" s="3">
        <s:f>B91*Projects!D2+C91*Projects!D3+D91*Projects!D4+E91*Projects!D5+F91*Projects!D6+G91*Projects!D7+H91*Projects!D8+I91*Projects!D9</s:f>
        <s:v>117</s:v>
      </s:c>
      <s:c r="M91" s="4">
        <s:f>B91*Projects!O2+C91*Projects!O3+D91*Projects!O4+E91*Projects!O5+F91*Projects!O6+G91*Projects!O7+H91*Projects!O8+I91*Projects!O9</s:f>
        <s:v>14553998.168329425</s:v>
      </s:c>
      <s:c r="N91" s="3">
        <s:f>B91*(1-Projects!Q2)+C91*(1-Projects!Q3)+D91*(1-Projects!Q4)+E91*(1-Projects!Q5)+F91*(1-Projects!Q6)+G91*(1-Projects!Q7)+H91*(1-Projects!Q8)+I91*(1-Projects!Q9)</s:f>
        <s:v>0</s:v>
      </s:c>
      <s:c r="O91" s="3">
        <s:f>IF(AND(J91&lt;=Inputs!B2,L91&gt;=Inputs!B3,M91&gt;=Inputs!B18,N91=0),1,0)</s:f>
        <s:v>0</s:v>
      </s:c>
      <s:c r="P91" s="3">
        <s:f>IF(O91=1,L91,-1)</s:f>
        <s:v>-1</s:v>
      </s:c>
      <s:c r="Q91" s="3">
        <s:f>IF(AND(O91=1,L91=MAX(P$2:P$257)),M91,-1E+99)</s:f>
        <s:v>-1e+99</s:v>
      </s:c>
    </s:row>
    <s:row r="92">
      <s:c r="A92" s="18" t="n">
        <s:v>90</s:v>
      </s:c>
      <s:c r="B92" s="18" t="n">
        <s:v>0</s:v>
      </s:c>
      <s:c r="C92" s="18" t="n">
        <s:v>1</s:v>
      </s:c>
      <s:c r="D92" s="18" t="n">
        <s:v>0</s:v>
      </s:c>
      <s:c r="E92" s="18" t="n">
        <s:v>1</s:v>
      </s:c>
      <s:c r="F92" s="18" t="n">
        <s:v>1</s:v>
      </s:c>
      <s:c r="G92" s="18" t="n">
        <s:v>0</s:v>
      </s:c>
      <s:c r="H92" s="18" t="n">
        <s:v>1</s:v>
      </s:c>
      <s:c r="I92" s="18" t="n">
        <s:v>0</s:v>
      </s:c>
      <s:c r="J92" s="5">
        <s:f>B92*Projects!N2+C92*Projects!N3+D92*Projects!N4+E92*Projects!N5+F92*Projects!N6+G92*Projects!N7+H92*Projects!N8+I92*Projects!N9</s:f>
        <s:v>15600000</s:v>
      </s:c>
      <s:c r="K92" s="2">
        <s:f>B92*Projects!C2+C92*Projects!C3+D92*Projects!C4+E92*Projects!C5+F92*Projects!C6+G92*Projects!C7+H92*Projects!C8+I92*Projects!C9</s:f>
        <s:v>350</s:v>
      </s:c>
      <s:c r="L92" s="2">
        <s:f>B92*Projects!D2+C92*Projects!D3+D92*Projects!D4+E92*Projects!D5+F92*Projects!D6+G92*Projects!D7+H92*Projects!D8+I92*Projects!D9</s:f>
        <s:v>156</s:v>
      </s:c>
      <s:c r="M92" s="5">
        <s:f>B92*Projects!O2+C92*Projects!O3+D92*Projects!O4+E92*Projects!O5+F92*Projects!O6+G92*Projects!O7+H92*Projects!O8+I92*Projects!O9</s:f>
        <s:v>13132744.720674695</s:v>
      </s:c>
      <s:c r="N92" s="2">
        <s:f>B92*(1-Projects!Q2)+C92*(1-Projects!Q3)+D92*(1-Projects!Q4)+E92*(1-Projects!Q5)+F92*(1-Projects!Q6)+G92*(1-Projects!Q7)+H92*(1-Projects!Q8)+I92*(1-Projects!Q9)</s:f>
        <s:v>0</s:v>
      </s:c>
      <s:c r="O92" s="2">
        <s:f>IF(AND(J92&lt;=Inputs!B2,L92&gt;=Inputs!B3,M92&gt;=Inputs!B18,N92=0),1,0)</s:f>
        <s:v>0</s:v>
      </s:c>
      <s:c r="P92" s="2">
        <s:f>IF(O92=1,L92,-1)</s:f>
        <s:v>-1</s:v>
      </s:c>
      <s:c r="Q92" s="2">
        <s:f>IF(AND(O92=1,L92=MAX(P$2:P$257)),M92,-1E+99)</s:f>
        <s:v>-1e+99</s:v>
      </s:c>
    </s:row>
    <s:row r="93">
      <s:c r="A93" s="19" t="n">
        <s:v>91</s:v>
      </s:c>
      <s:c r="B93" s="19" t="n">
        <s:v>0</s:v>
      </s:c>
      <s:c r="C93" s="19" t="n">
        <s:v>1</s:v>
      </s:c>
      <s:c r="D93" s="19" t="n">
        <s:v>0</s:v>
      </s:c>
      <s:c r="E93" s="19" t="n">
        <s:v>1</s:v>
      </s:c>
      <s:c r="F93" s="19" t="n">
        <s:v>1</s:v>
      </s:c>
      <s:c r="G93" s="19" t="n">
        <s:v>0</s:v>
      </s:c>
      <s:c r="H93" s="19" t="n">
        <s:v>1</s:v>
      </s:c>
      <s:c r="I93" s="19" t="n">
        <s:v>1</s:v>
      </s:c>
      <s:c r="J93" s="4">
        <s:f>B93*Projects!N2+C93*Projects!N3+D93*Projects!N4+E93*Projects!N5+F93*Projects!N6+G93*Projects!N7+H93*Projects!N8+I93*Projects!N9</s:f>
        <s:v>20100000</s:v>
      </s:c>
      <s:c r="K93" s="3">
        <s:f>B93*Projects!C2+C93*Projects!C3+D93*Projects!C4+E93*Projects!C5+F93*Projects!C6+G93*Projects!C7+H93*Projects!C8+I93*Projects!C9</s:f>
        <s:v>440</s:v>
      </s:c>
      <s:c r="L93" s="3">
        <s:f>B93*Projects!D2+C93*Projects!D3+D93*Projects!D4+E93*Projects!D5+F93*Projects!D6+G93*Projects!D7+H93*Projects!D8+I93*Projects!D9</s:f>
        <s:v>183</s:v>
      </s:c>
      <s:c r="M93" s="4">
        <s:f>B93*Projects!O2+C93*Projects!O3+D93*Projects!O4+E93*Projects!O5+F93*Projects!O6+G93*Projects!O7+H93*Projects!O8+I93*Projects!O9</s:f>
        <s:v>17589372.146218732</s:v>
      </s:c>
      <s:c r="N93" s="3">
        <s:f>B93*(1-Projects!Q2)+C93*(1-Projects!Q3)+D93*(1-Projects!Q4)+E93*(1-Projects!Q5)+F93*(1-Projects!Q6)+G93*(1-Projects!Q7)+H93*(1-Projects!Q8)+I93*(1-Projects!Q9)</s:f>
        <s:v>0</s:v>
      </s:c>
      <s:c r="O93" s="3">
        <s:f>IF(AND(J93&lt;=Inputs!B2,L93&gt;=Inputs!B3,M93&gt;=Inputs!B18,N93=0),1,0)</s:f>
        <s:v>0</s:v>
      </s:c>
      <s:c r="P93" s="3">
        <s:f>IF(O93=1,L93,-1)</s:f>
        <s:v>-1</s:v>
      </s:c>
      <s:c r="Q93" s="3">
        <s:f>IF(AND(O93=1,L93=MAX(P$2:P$257)),M93,-1E+99)</s:f>
        <s:v>-1e+99</s:v>
      </s:c>
    </s:row>
    <s:row r="94">
      <s:c r="A94" s="18" t="n">
        <s:v>92</s:v>
      </s:c>
      <s:c r="B94" s="18" t="n">
        <s:v>0</s:v>
      </s:c>
      <s:c r="C94" s="18" t="n">
        <s:v>1</s:v>
      </s:c>
      <s:c r="D94" s="18" t="n">
        <s:v>0</s:v>
      </s:c>
      <s:c r="E94" s="18" t="n">
        <s:v>1</s:v>
      </s:c>
      <s:c r="F94" s="18" t="n">
        <s:v>1</s:v>
      </s:c>
      <s:c r="G94" s="18" t="n">
        <s:v>1</s:v>
      </s:c>
      <s:c r="H94" s="18" t="n">
        <s:v>0</s:v>
      </s:c>
      <s:c r="I94" s="18" t="n">
        <s:v>0</s:v>
      </s:c>
      <s:c r="J94" s="5">
        <s:f>B94*Projects!N2+C94*Projects!N3+D94*Projects!N4+E94*Projects!N5+F94*Projects!N6+G94*Projects!N7+H94*Projects!N8+I94*Projects!N9</s:f>
        <s:v>14700000</s:v>
      </s:c>
      <s:c r="K94" s="2">
        <s:f>B94*Projects!C2+C94*Projects!C3+D94*Projects!C4+E94*Projects!C5+F94*Projects!C6+G94*Projects!C7+H94*Projects!C8+I94*Projects!C9</s:f>
        <s:v>320</s:v>
      </s:c>
      <s:c r="L94" s="2">
        <s:f>B94*Projects!D2+C94*Projects!D3+D94*Projects!D4+E94*Projects!D5+F94*Projects!D6+G94*Projects!D7+H94*Projects!D8+I94*Projects!D9</s:f>
        <s:v>130</s:v>
      </s:c>
      <s:c r="M94" s="5">
        <s:f>B94*Projects!O2+C94*Projects!O3+D94*Projects!O4+E94*Projects!O5+F94*Projects!O6+G94*Projects!O7+H94*Projects!O8+I94*Projects!O9</s:f>
        <s:v>12607549.362654392</s:v>
      </s:c>
      <s:c r="N94" s="2">
        <s:f>B94*(1-Projects!Q2)+C94*(1-Projects!Q3)+D94*(1-Projects!Q4)+E94*(1-Projects!Q5)+F94*(1-Projects!Q6)+G94*(1-Projects!Q7)+H94*(1-Projects!Q8)+I94*(1-Projects!Q9)</s:f>
        <s:v>0</s:v>
      </s:c>
      <s:c r="O94" s="2">
        <s:f>IF(AND(J94&lt;=Inputs!B2,L94&gt;=Inputs!B3,M94&gt;=Inputs!B18,N94=0),1,0)</s:f>
        <s:v>1</s:v>
      </s:c>
      <s:c r="P94" s="2">
        <s:f>IF(O94=1,L94,-1)</s:f>
        <s:v>130</s:v>
      </s:c>
      <s:c r="Q94" s="2">
        <s:f>IF(AND(O94=1,L94=MAX(P$2:P$257)),M94,-1E+99)</s:f>
        <s:v>-1e+99</s:v>
      </s:c>
    </s:row>
    <s:row r="95">
      <s:c r="A95" s="19" t="n">
        <s:v>93</s:v>
      </s:c>
      <s:c r="B95" s="19" t="n">
        <s:v>0</s:v>
      </s:c>
      <s:c r="C95" s="19" t="n">
        <s:v>1</s:v>
      </s:c>
      <s:c r="D95" s="19" t="n">
        <s:v>0</s:v>
      </s:c>
      <s:c r="E95" s="19" t="n">
        <s:v>1</s:v>
      </s:c>
      <s:c r="F95" s="19" t="n">
        <s:v>1</s:v>
      </s:c>
      <s:c r="G95" s="19" t="n">
        <s:v>1</s:v>
      </s:c>
      <s:c r="H95" s="19" t="n">
        <s:v>0</s:v>
      </s:c>
      <s:c r="I95" s="19" t="n">
        <s:v>1</s:v>
      </s:c>
      <s:c r="J95" s="4">
        <s:f>B95*Projects!N2+C95*Projects!N3+D95*Projects!N4+E95*Projects!N5+F95*Projects!N6+G95*Projects!N7+H95*Projects!N8+I95*Projects!N9</s:f>
        <s:v>19200000</s:v>
      </s:c>
      <s:c r="K95" s="3">
        <s:f>B95*Projects!C2+C95*Projects!C3+D95*Projects!C4+E95*Projects!C5+F95*Projects!C6+G95*Projects!C7+H95*Projects!C8+I95*Projects!C9</s:f>
        <s:v>410</s:v>
      </s:c>
      <s:c r="L95" s="3">
        <s:f>B95*Projects!D2+C95*Projects!D3+D95*Projects!D4+E95*Projects!D5+F95*Projects!D6+G95*Projects!D7+H95*Projects!D8+I95*Projects!D9</s:f>
        <s:v>157</s:v>
      </s:c>
      <s:c r="M95" s="4">
        <s:f>B95*Projects!O2+C95*Projects!O3+D95*Projects!O4+E95*Projects!O5+F95*Projects!O6+G95*Projects!O7+H95*Projects!O8+I95*Projects!O9</s:f>
        <s:v>17064176.788198426</s:v>
      </s:c>
      <s:c r="N95" s="3">
        <s:f>B95*(1-Projects!Q2)+C95*(1-Projects!Q3)+D95*(1-Projects!Q4)+E95*(1-Projects!Q5)+F95*(1-Projects!Q6)+G95*(1-Projects!Q7)+H95*(1-Projects!Q8)+I95*(1-Projects!Q9)</s:f>
        <s:v>0</s:v>
      </s:c>
      <s:c r="O95" s="3">
        <s:f>IF(AND(J95&lt;=Inputs!B2,L95&gt;=Inputs!B3,M95&gt;=Inputs!B18,N95=0),1,0)</s:f>
        <s:v>0</s:v>
      </s:c>
      <s:c r="P95" s="3">
        <s:f>IF(O95=1,L95,-1)</s:f>
        <s:v>-1</s:v>
      </s:c>
      <s:c r="Q95" s="3">
        <s:f>IF(AND(O95=1,L95=MAX(P$2:P$257)),M95,-1E+99)</s:f>
        <s:v>-1e+99</s:v>
      </s:c>
    </s:row>
    <s:row r="96">
      <s:c r="A96" s="18" t="n">
        <s:v>94</s:v>
      </s:c>
      <s:c r="B96" s="18" t="n">
        <s:v>0</s:v>
      </s:c>
      <s:c r="C96" s="18" t="n">
        <s:v>1</s:v>
      </s:c>
      <s:c r="D96" s="18" t="n">
        <s:v>0</s:v>
      </s:c>
      <s:c r="E96" s="18" t="n">
        <s:v>1</s:v>
      </s:c>
      <s:c r="F96" s="18" t="n">
        <s:v>1</s:v>
      </s:c>
      <s:c r="G96" s="18" t="n">
        <s:v>1</s:v>
      </s:c>
      <s:c r="H96" s="18" t="n">
        <s:v>1</s:v>
      </s:c>
      <s:c r="I96" s="18" t="n">
        <s:v>0</s:v>
      </s:c>
      <s:c r="J96" s="5">
        <s:f>B96*Projects!N2+C96*Projects!N3+D96*Projects!N4+E96*Projects!N5+F96*Projects!N6+G96*Projects!N7+H96*Projects!N8+I96*Projects!N9</s:f>
        <s:v>18800000</s:v>
      </s:c>
      <s:c r="K96" s="2">
        <s:f>B96*Projects!C2+C96*Projects!C3+D96*Projects!C4+E96*Projects!C5+F96*Projects!C6+G96*Projects!C7+H96*Projects!C8+I96*Projects!C9</s:f>
        <s:v>430</s:v>
      </s:c>
      <s:c r="L96" s="2">
        <s:f>B96*Projects!D2+C96*Projects!D3+D96*Projects!D4+E96*Projects!D5+F96*Projects!D6+G96*Projects!D7+H96*Projects!D8+I96*Projects!D9</s:f>
        <s:v>196</s:v>
      </s:c>
      <s:c r="M96" s="5">
        <s:f>B96*Projects!O2+C96*Projects!O3+D96*Projects!O4+E96*Projects!O5+F96*Projects!O6+G96*Projects!O7+H96*Projects!O8+I96*Projects!O9</s:f>
        <s:v>15642923.340543699</s:v>
      </s:c>
      <s:c r="N96" s="2">
        <s:f>B96*(1-Projects!Q2)+C96*(1-Projects!Q3)+D96*(1-Projects!Q4)+E96*(1-Projects!Q5)+F96*(1-Projects!Q6)+G96*(1-Projects!Q7)+H96*(1-Projects!Q8)+I96*(1-Projects!Q9)</s:f>
        <s:v>0</s:v>
      </s:c>
      <s:c r="O96" s="2">
        <s:f>IF(AND(J96&lt;=Inputs!B2,L96&gt;=Inputs!B3,M96&gt;=Inputs!B18,N96=0),1,0)</s:f>
        <s:v>0</s:v>
      </s:c>
      <s:c r="P96" s="2">
        <s:f>IF(O96=1,L96,-1)</s:f>
        <s:v>-1</s:v>
      </s:c>
      <s:c r="Q96" s="2">
        <s:f>IF(AND(O96=1,L96=MAX(P$2:P$257)),M96,-1E+99)</s:f>
        <s:v>-1e+99</s:v>
      </s:c>
    </s:row>
    <s:row r="97">
      <s:c r="A97" s="19" t="n">
        <s:v>95</s:v>
      </s:c>
      <s:c r="B97" s="19" t="n">
        <s:v>0</s:v>
      </s:c>
      <s:c r="C97" s="19" t="n">
        <s:v>1</s:v>
      </s:c>
      <s:c r="D97" s="19" t="n">
        <s:v>0</s:v>
      </s:c>
      <s:c r="E97" s="19" t="n">
        <s:v>1</s:v>
      </s:c>
      <s:c r="F97" s="19" t="n">
        <s:v>1</s:v>
      </s:c>
      <s:c r="G97" s="19" t="n">
        <s:v>1</s:v>
      </s:c>
      <s:c r="H97" s="19" t="n">
        <s:v>1</s:v>
      </s:c>
      <s:c r="I97" s="19" t="n">
        <s:v>1</s:v>
      </s:c>
      <s:c r="J97" s="4">
        <s:f>B97*Projects!N2+C97*Projects!N3+D97*Projects!N4+E97*Projects!N5+F97*Projects!N6+G97*Projects!N7+H97*Projects!N8+I97*Projects!N9</s:f>
        <s:v>23300000</s:v>
      </s:c>
      <s:c r="K97" s="3">
        <s:f>B97*Projects!C2+C97*Projects!C3+D97*Projects!C4+E97*Projects!C5+F97*Projects!C6+G97*Projects!C7+H97*Projects!C8+I97*Projects!C9</s:f>
        <s:v>520</s:v>
      </s:c>
      <s:c r="L97" s="3">
        <s:f>B97*Projects!D2+C97*Projects!D3+D97*Projects!D4+E97*Projects!D5+F97*Projects!D6+G97*Projects!D7+H97*Projects!D8+I97*Projects!D9</s:f>
        <s:v>223</s:v>
      </s:c>
      <s:c r="M97" s="4">
        <s:f>B97*Projects!O2+C97*Projects!O3+D97*Projects!O4+E97*Projects!O5+F97*Projects!O6+G97*Projects!O7+H97*Projects!O8+I97*Projects!O9</s:f>
        <s:v>20099550.766087733</s:v>
      </s:c>
      <s:c r="N97" s="3">
        <s:f>B97*(1-Projects!Q2)+C97*(1-Projects!Q3)+D97*(1-Projects!Q4)+E97*(1-Projects!Q5)+F97*(1-Projects!Q6)+G97*(1-Projects!Q7)+H97*(1-Projects!Q8)+I97*(1-Projects!Q9)</s:f>
        <s:v>0</s:v>
      </s:c>
      <s:c r="O97" s="3">
        <s:f>IF(AND(J97&lt;=Inputs!B2,L97&gt;=Inputs!B3,M97&gt;=Inputs!B18,N97=0),1,0)</s:f>
        <s:v>0</s:v>
      </s:c>
      <s:c r="P97" s="3">
        <s:f>IF(O97=1,L97,-1)</s:f>
        <s:v>-1</s:v>
      </s:c>
      <s:c r="Q97" s="3">
        <s:f>IF(AND(O97=1,L97=MAX(P$2:P$257)),M97,-1E+99)</s:f>
        <s:v>-1e+99</s:v>
      </s:c>
    </s:row>
    <s:row r="98">
      <s:c r="A98" s="18" t="n">
        <s:v>96</s:v>
      </s:c>
      <s:c r="B98" s="18" t="n">
        <s:v>0</s:v>
      </s:c>
      <s:c r="C98" s="18" t="n">
        <s:v>1</s:v>
      </s:c>
      <s:c r="D98" s="18" t="n">
        <s:v>1</s:v>
      </s:c>
      <s:c r="E98" s="18" t="n">
        <s:v>0</s:v>
      </s:c>
      <s:c r="F98" s="18" t="n">
        <s:v>0</s:v>
      </s:c>
      <s:c r="G98" s="18" t="n">
        <s:v>0</s:v>
      </s:c>
      <s:c r="H98" s="18" t="n">
        <s:v>0</s:v>
      </s:c>
      <s:c r="I98" s="18" t="n">
        <s:v>0</s:v>
      </s:c>
      <s:c r="J98" s="5">
        <s:f>B98*Projects!N2+C98*Projects!N3+D98*Projects!N4+E98*Projects!N5+F98*Projects!N6+G98*Projects!N7+H98*Projects!N8+I98*Projects!N9</s:f>
        <s:v>9200000</s:v>
      </s:c>
      <s:c r="K98" s="2">
        <s:f>B98*Projects!C2+C98*Projects!C3+D98*Projects!C4+E98*Projects!C5+F98*Projects!C6+G98*Projects!C7+H98*Projects!C8+I98*Projects!C9</s:f>
        <s:v>200</s:v>
      </s:c>
      <s:c r="L98" s="2">
        <s:f>B98*Projects!D2+C98*Projects!D3+D98*Projects!D4+E98*Projects!D5+F98*Projects!D6+G98*Projects!D7+H98*Projects!D8+I98*Projects!D9</s:f>
        <s:v>84</s:v>
      </s:c>
      <s:c r="M98" s="5">
        <s:f>B98*Projects!O2+C98*Projects!O3+D98*Projects!O4+E98*Projects!O5+F98*Projects!O6+G98*Projects!O7+H98*Projects!O8+I98*Projects!O9</s:f>
        <s:v>7570321.886398373</s:v>
      </s:c>
      <s:c r="N98" s="2">
        <s:f>B98*(1-Projects!Q2)+C98*(1-Projects!Q3)+D98*(1-Projects!Q4)+E98*(1-Projects!Q5)+F98*(1-Projects!Q6)+G98*(1-Projects!Q7)+H98*(1-Projects!Q8)+I98*(1-Projects!Q9)</s:f>
        <s:v>0</s:v>
      </s:c>
      <s:c r="O98" s="2">
        <s:f>IF(AND(J98&lt;=Inputs!B2,L98&gt;=Inputs!B3,M98&gt;=Inputs!B18,N98=0),1,0)</s:f>
        <s:v>1</s:v>
      </s:c>
      <s:c r="P98" s="2">
        <s:f>IF(O98=1,L98,-1)</s:f>
        <s:v>84</s:v>
      </s:c>
      <s:c r="Q98" s="2">
        <s:f>IF(AND(O98=1,L98=MAX(P$2:P$257)),M98,-1E+99)</s:f>
        <s:v>-1e+99</s:v>
      </s:c>
    </s:row>
    <s:row r="99">
      <s:c r="A99" s="19" t="n">
        <s:v>97</s:v>
      </s:c>
      <s:c r="B99" s="19" t="n">
        <s:v>0</s:v>
      </s:c>
      <s:c r="C99" s="19" t="n">
        <s:v>1</s:v>
      </s:c>
      <s:c r="D99" s="19" t="n">
        <s:v>1</s:v>
      </s:c>
      <s:c r="E99" s="19" t="n">
        <s:v>0</s:v>
      </s:c>
      <s:c r="F99" s="19" t="n">
        <s:v>0</s:v>
      </s:c>
      <s:c r="G99" s="19" t="n">
        <s:v>0</s:v>
      </s:c>
      <s:c r="H99" s="19" t="n">
        <s:v>0</s:v>
      </s:c>
      <s:c r="I99" s="19" t="n">
        <s:v>1</s:v>
      </s:c>
      <s:c r="J99" s="4">
        <s:f>B99*Projects!N2+C99*Projects!N3+D99*Projects!N4+E99*Projects!N5+F99*Projects!N6+G99*Projects!N7+H99*Projects!N8+I99*Projects!N9</s:f>
        <s:v>13700000</s:v>
      </s:c>
      <s:c r="K99" s="3">
        <s:f>B99*Projects!C2+C99*Projects!C3+D99*Projects!C4+E99*Projects!C5+F99*Projects!C6+G99*Projects!C7+H99*Projects!C8+I99*Projects!C9</s:f>
        <s:v>290</s:v>
      </s:c>
      <s:c r="L99" s="3">
        <s:f>B99*Projects!D2+C99*Projects!D3+D99*Projects!D4+E99*Projects!D5+F99*Projects!D6+G99*Projects!D7+H99*Projects!D8+I99*Projects!D9</s:f>
        <s:v>111</s:v>
      </s:c>
      <s:c r="M99" s="4">
        <s:f>B99*Projects!O2+C99*Projects!O3+D99*Projects!O4+E99*Projects!O5+F99*Projects!O6+G99*Projects!O7+H99*Projects!O8+I99*Projects!O9</s:f>
        <s:v>12026949.31194241</s:v>
      </s:c>
      <s:c r="N99" s="3">
        <s:f>B99*(1-Projects!Q2)+C99*(1-Projects!Q3)+D99*(1-Projects!Q4)+E99*(1-Projects!Q5)+F99*(1-Projects!Q6)+G99*(1-Projects!Q7)+H99*(1-Projects!Q8)+I99*(1-Projects!Q9)</s:f>
        <s:v>0</s:v>
      </s:c>
      <s:c r="O99" s="3">
        <s:f>IF(AND(J99&lt;=Inputs!B2,L99&gt;=Inputs!B3,M99&gt;=Inputs!B18,N99=0),1,0)</s:f>
        <s:v>1</s:v>
      </s:c>
      <s:c r="P99" s="3">
        <s:f>IF(O99=1,L99,-1)</s:f>
        <s:v>111</s:v>
      </s:c>
      <s:c r="Q99" s="3">
        <s:f>IF(AND(O99=1,L99=MAX(P$2:P$257)),M99,-1E+99)</s:f>
        <s:v>-1e+99</s:v>
      </s:c>
    </s:row>
    <s:row r="100">
      <s:c r="A100" s="18" t="n">
        <s:v>98</s:v>
      </s:c>
      <s:c r="B100" s="18" t="n">
        <s:v>0</s:v>
      </s:c>
      <s:c r="C100" s="18" t="n">
        <s:v>1</s:v>
      </s:c>
      <s:c r="D100" s="18" t="n">
        <s:v>1</s:v>
      </s:c>
      <s:c r="E100" s="18" t="n">
        <s:v>0</s:v>
      </s:c>
      <s:c r="F100" s="18" t="n">
        <s:v>0</s:v>
      </s:c>
      <s:c r="G100" s="18" t="n">
        <s:v>0</s:v>
      </s:c>
      <s:c r="H100" s="18" t="n">
        <s:v>1</s:v>
      </s:c>
      <s:c r="I100" s="18" t="n">
        <s:v>0</s:v>
      </s:c>
      <s:c r="J100" s="5">
        <s:f>B100*Projects!N2+C100*Projects!N3+D100*Projects!N4+E100*Projects!N5+F100*Projects!N6+G100*Projects!N7+H100*Projects!N8+I100*Projects!N9</s:f>
        <s:v>13300000</s:v>
      </s:c>
      <s:c r="K100" s="2">
        <s:f>B100*Projects!C2+C100*Projects!C3+D100*Projects!C4+E100*Projects!C5+F100*Projects!C6+G100*Projects!C7+H100*Projects!C8+I100*Projects!C9</s:f>
        <s:v>310</s:v>
      </s:c>
      <s:c r="L100" s="2">
        <s:f>B100*Projects!D2+C100*Projects!D3+D100*Projects!D4+E100*Projects!D5+F100*Projects!D6+G100*Projects!D7+H100*Projects!D8+I100*Projects!D9</s:f>
        <s:v>150</s:v>
      </s:c>
      <s:c r="M100" s="5">
        <s:f>B100*Projects!O2+C100*Projects!O3+D100*Projects!O4+E100*Projects!O5+F100*Projects!O6+G100*Projects!O7+H100*Projects!O8+I100*Projects!O9</s:f>
        <s:v>10605695.86428768</s:v>
      </s:c>
      <s:c r="N100" s="2">
        <s:f>B100*(1-Projects!Q2)+C100*(1-Projects!Q3)+D100*(1-Projects!Q4)+E100*(1-Projects!Q5)+F100*(1-Projects!Q6)+G100*(1-Projects!Q7)+H100*(1-Projects!Q8)+I100*(1-Projects!Q9)</s:f>
        <s:v>0</s:v>
      </s:c>
      <s:c r="O100" s="2">
        <s:f>IF(AND(J100&lt;=Inputs!B2,L100&gt;=Inputs!B3,M100&gt;=Inputs!B18,N100=0),1,0)</s:f>
        <s:v>1</s:v>
      </s:c>
      <s:c r="P100" s="2">
        <s:f>IF(O100=1,L100,-1)</s:f>
        <s:v>150</s:v>
      </s:c>
      <s:c r="Q100" s="2">
        <s:f>IF(AND(O100=1,L100=MAX(P$2:P$257)),M100,-1E+99)</s:f>
        <s:v>-1e+99</s:v>
      </s:c>
    </s:row>
    <s:row r="101">
      <s:c r="A101" s="19" t="n">
        <s:v>99</s:v>
      </s:c>
      <s:c r="B101" s="19" t="n">
        <s:v>0</s:v>
      </s:c>
      <s:c r="C101" s="19" t="n">
        <s:v>1</s:v>
      </s:c>
      <s:c r="D101" s="19" t="n">
        <s:v>1</s:v>
      </s:c>
      <s:c r="E101" s="19" t="n">
        <s:v>0</s:v>
      </s:c>
      <s:c r="F101" s="19" t="n">
        <s:v>0</s:v>
      </s:c>
      <s:c r="G101" s="19" t="n">
        <s:v>0</s:v>
      </s:c>
      <s:c r="H101" s="19" t="n">
        <s:v>1</s:v>
      </s:c>
      <s:c r="I101" s="19" t="n">
        <s:v>1</s:v>
      </s:c>
      <s:c r="J101" s="4">
        <s:f>B101*Projects!N2+C101*Projects!N3+D101*Projects!N4+E101*Projects!N5+F101*Projects!N6+G101*Projects!N7+H101*Projects!N8+I101*Projects!N9</s:f>
        <s:v>17800000</s:v>
      </s:c>
      <s:c r="K101" s="3">
        <s:f>B101*Projects!C2+C101*Projects!C3+D101*Projects!C4+E101*Projects!C5+F101*Projects!C6+G101*Projects!C7+H101*Projects!C8+I101*Projects!C9</s:f>
        <s:v>400</s:v>
      </s:c>
      <s:c r="L101" s="3">
        <s:f>B101*Projects!D2+C101*Projects!D3+D101*Projects!D4+E101*Projects!D5+F101*Projects!D6+G101*Projects!D7+H101*Projects!D8+I101*Projects!D9</s:f>
        <s:v>177</s:v>
      </s:c>
      <s:c r="M101" s="4">
        <s:f>B101*Projects!O2+C101*Projects!O3+D101*Projects!O4+E101*Projects!O5+F101*Projects!O6+G101*Projects!O7+H101*Projects!O8+I101*Projects!O9</s:f>
        <s:v>15062323.289831717</s:v>
      </s:c>
      <s:c r="N101" s="3">
        <s:f>B101*(1-Projects!Q2)+C101*(1-Projects!Q3)+D101*(1-Projects!Q4)+E101*(1-Projects!Q5)+F101*(1-Projects!Q6)+G101*(1-Projects!Q7)+H101*(1-Projects!Q8)+I101*(1-Projects!Q9)</s:f>
        <s:v>0</s:v>
      </s:c>
      <s:c r="O101" s="3">
        <s:f>IF(AND(J101&lt;=Inputs!B2,L101&gt;=Inputs!B3,M101&gt;=Inputs!B18,N101=0),1,0)</s:f>
        <s:v>0</s:v>
      </s:c>
      <s:c r="P101" s="3">
        <s:f>IF(O101=1,L101,-1)</s:f>
        <s:v>-1</s:v>
      </s:c>
      <s:c r="Q101" s="3">
        <s:f>IF(AND(O101=1,L101=MAX(P$2:P$257)),M101,-1E+99)</s:f>
        <s:v>-1e+99</s:v>
      </s:c>
    </s:row>
    <s:row r="102">
      <s:c r="A102" s="18" t="n">
        <s:v>100</s:v>
      </s:c>
      <s:c r="B102" s="18" t="n">
        <s:v>0</s:v>
      </s:c>
      <s:c r="C102" s="18" t="n">
        <s:v>1</s:v>
      </s:c>
      <s:c r="D102" s="18" t="n">
        <s:v>1</s:v>
      </s:c>
      <s:c r="E102" s="18" t="n">
        <s:v>0</s:v>
      </s:c>
      <s:c r="F102" s="18" t="n">
        <s:v>0</s:v>
      </s:c>
      <s:c r="G102" s="18" t="n">
        <s:v>1</s:v>
      </s:c>
      <s:c r="H102" s="18" t="n">
        <s:v>0</s:v>
      </s:c>
      <s:c r="I102" s="18" t="n">
        <s:v>0</s:v>
      </s:c>
      <s:c r="J102" s="5">
        <s:f>B102*Projects!N2+C102*Projects!N3+D102*Projects!N4+E102*Projects!N5+F102*Projects!N6+G102*Projects!N7+H102*Projects!N8+I102*Projects!N9</s:f>
        <s:v>12400000</s:v>
      </s:c>
      <s:c r="K102" s="2">
        <s:f>B102*Projects!C2+C102*Projects!C3+D102*Projects!C4+E102*Projects!C5+F102*Projects!C6+G102*Projects!C7+H102*Projects!C8+I102*Projects!C9</s:f>
        <s:v>280</s:v>
      </s:c>
      <s:c r="L102" s="2">
        <s:f>B102*Projects!D2+C102*Projects!D3+D102*Projects!D4+E102*Projects!D5+F102*Projects!D6+G102*Projects!D7+H102*Projects!D8+I102*Projects!D9</s:f>
        <s:v>124</s:v>
      </s:c>
      <s:c r="M102" s="5">
        <s:f>B102*Projects!O2+C102*Projects!O3+D102*Projects!O4+E102*Projects!O5+F102*Projects!O6+G102*Projects!O7+H102*Projects!O8+I102*Projects!O9</s:f>
        <s:v>10080500.506267376</s:v>
      </s:c>
      <s:c r="N102" s="2">
        <s:f>B102*(1-Projects!Q2)+C102*(1-Projects!Q3)+D102*(1-Projects!Q4)+E102*(1-Projects!Q5)+F102*(1-Projects!Q6)+G102*(1-Projects!Q7)+H102*(1-Projects!Q8)+I102*(1-Projects!Q9)</s:f>
        <s:v>0</s:v>
      </s:c>
      <s:c r="O102" s="2">
        <s:f>IF(AND(J102&lt;=Inputs!B2,L102&gt;=Inputs!B3,M102&gt;=Inputs!B18,N102=0),1,0)</s:f>
        <s:v>1</s:v>
      </s:c>
      <s:c r="P102" s="2">
        <s:f>IF(O102=1,L102,-1)</s:f>
        <s:v>124</s:v>
      </s:c>
      <s:c r="Q102" s="2">
        <s:f>IF(AND(O102=1,L102=MAX(P$2:P$257)),M102,-1E+99)</s:f>
        <s:v>-1e+99</s:v>
      </s:c>
    </s:row>
    <s:row r="103">
      <s:c r="A103" s="19" t="n">
        <s:v>101</s:v>
      </s:c>
      <s:c r="B103" s="19" t="n">
        <s:v>0</s:v>
      </s:c>
      <s:c r="C103" s="19" t="n">
        <s:v>1</s:v>
      </s:c>
      <s:c r="D103" s="19" t="n">
        <s:v>1</s:v>
      </s:c>
      <s:c r="E103" s="19" t="n">
        <s:v>0</s:v>
      </s:c>
      <s:c r="F103" s="19" t="n">
        <s:v>0</s:v>
      </s:c>
      <s:c r="G103" s="19" t="n">
        <s:v>1</s:v>
      </s:c>
      <s:c r="H103" s="19" t="n">
        <s:v>0</s:v>
      </s:c>
      <s:c r="I103" s="19" t="n">
        <s:v>1</s:v>
      </s:c>
      <s:c r="J103" s="4">
        <s:f>B103*Projects!N2+C103*Projects!N3+D103*Projects!N4+E103*Projects!N5+F103*Projects!N6+G103*Projects!N7+H103*Projects!N8+I103*Projects!N9</s:f>
        <s:v>16900000</s:v>
      </s:c>
      <s:c r="K103" s="3">
        <s:f>B103*Projects!C2+C103*Projects!C3+D103*Projects!C4+E103*Projects!C5+F103*Projects!C6+G103*Projects!C7+H103*Projects!C8+I103*Projects!C9</s:f>
        <s:v>370</s:v>
      </s:c>
      <s:c r="L103" s="3">
        <s:f>B103*Projects!D2+C103*Projects!D3+D103*Projects!D4+E103*Projects!D5+F103*Projects!D6+G103*Projects!D7+H103*Projects!D8+I103*Projects!D9</s:f>
        <s:v>151</s:v>
      </s:c>
      <s:c r="M103" s="4">
        <s:f>B103*Projects!O2+C103*Projects!O3+D103*Projects!O4+E103*Projects!O5+F103*Projects!O6+G103*Projects!O7+H103*Projects!O8+I103*Projects!O9</s:f>
        <s:v>14537127.931811411</s:v>
      </s:c>
      <s:c r="N103" s="3">
        <s:f>B103*(1-Projects!Q2)+C103*(1-Projects!Q3)+D103*(1-Projects!Q4)+E103*(1-Projects!Q5)+F103*(1-Projects!Q6)+G103*(1-Projects!Q7)+H103*(1-Projects!Q8)+I103*(1-Projects!Q9)</s:f>
        <s:v>0</s:v>
      </s:c>
      <s:c r="O103" s="3">
        <s:f>IF(AND(J103&lt;=Inputs!B2,L103&gt;=Inputs!B3,M103&gt;=Inputs!B18,N103=0),1,0)</s:f>
        <s:v>0</s:v>
      </s:c>
      <s:c r="P103" s="3">
        <s:f>IF(O103=1,L103,-1)</s:f>
        <s:v>-1</s:v>
      </s:c>
      <s:c r="Q103" s="3">
        <s:f>IF(AND(O103=1,L103=MAX(P$2:P$257)),M103,-1E+99)</s:f>
        <s:v>-1e+99</s:v>
      </s:c>
    </s:row>
    <s:row r="104">
      <s:c r="A104" s="18" t="n">
        <s:v>102</s:v>
      </s:c>
      <s:c r="B104" s="18" t="n">
        <s:v>0</s:v>
      </s:c>
      <s:c r="C104" s="18" t="n">
        <s:v>1</s:v>
      </s:c>
      <s:c r="D104" s="18" t="n">
        <s:v>1</s:v>
      </s:c>
      <s:c r="E104" s="18" t="n">
        <s:v>0</s:v>
      </s:c>
      <s:c r="F104" s="18" t="n">
        <s:v>0</s:v>
      </s:c>
      <s:c r="G104" s="18" t="n">
        <s:v>1</s:v>
      </s:c>
      <s:c r="H104" s="18" t="n">
        <s:v>1</s:v>
      </s:c>
      <s:c r="I104" s="18" t="n">
        <s:v>0</s:v>
      </s:c>
      <s:c r="J104" s="5">
        <s:f>B104*Projects!N2+C104*Projects!N3+D104*Projects!N4+E104*Projects!N5+F104*Projects!N6+G104*Projects!N7+H104*Projects!N8+I104*Projects!N9</s:f>
        <s:v>16500000</s:v>
      </s:c>
      <s:c r="K104" s="2">
        <s:f>B104*Projects!C2+C104*Projects!C3+D104*Projects!C4+E104*Projects!C5+F104*Projects!C6+G104*Projects!C7+H104*Projects!C8+I104*Projects!C9</s:f>
        <s:v>390</s:v>
      </s:c>
      <s:c r="L104" s="2">
        <s:f>B104*Projects!D2+C104*Projects!D3+D104*Projects!D4+E104*Projects!D5+F104*Projects!D6+G104*Projects!D7+H104*Projects!D8+I104*Projects!D9</s:f>
        <s:v>190</s:v>
      </s:c>
      <s:c r="M104" s="5">
        <s:f>B104*Projects!O2+C104*Projects!O3+D104*Projects!O4+E104*Projects!O5+F104*Projects!O6+G104*Projects!O7+H104*Projects!O8+I104*Projects!O9</s:f>
        <s:v>13115874.484156683</s:v>
      </s:c>
      <s:c r="N104" s="2">
        <s:f>B104*(1-Projects!Q2)+C104*(1-Projects!Q3)+D104*(1-Projects!Q4)+E104*(1-Projects!Q5)+F104*(1-Projects!Q6)+G104*(1-Projects!Q7)+H104*(1-Projects!Q8)+I104*(1-Projects!Q9)</s:f>
        <s:v>0</s:v>
      </s:c>
      <s:c r="O104" s="2">
        <s:f>IF(AND(J104&lt;=Inputs!B2,L104&gt;=Inputs!B3,M104&gt;=Inputs!B18,N104=0),1,0)</s:f>
        <s:v>0</s:v>
      </s:c>
      <s:c r="P104" s="2">
        <s:f>IF(O104=1,L104,-1)</s:f>
        <s:v>-1</s:v>
      </s:c>
      <s:c r="Q104" s="2">
        <s:f>IF(AND(O104=1,L104=MAX(P$2:P$257)),M104,-1E+99)</s:f>
        <s:v>-1e+99</s:v>
      </s:c>
    </s:row>
    <s:row r="105">
      <s:c r="A105" s="19" t="n">
        <s:v>103</s:v>
      </s:c>
      <s:c r="B105" s="19" t="n">
        <s:v>0</s:v>
      </s:c>
      <s:c r="C105" s="19" t="n">
        <s:v>1</s:v>
      </s:c>
      <s:c r="D105" s="19" t="n">
        <s:v>1</s:v>
      </s:c>
      <s:c r="E105" s="19" t="n">
        <s:v>0</s:v>
      </s:c>
      <s:c r="F105" s="19" t="n">
        <s:v>0</s:v>
      </s:c>
      <s:c r="G105" s="19" t="n">
        <s:v>1</s:v>
      </s:c>
      <s:c r="H105" s="19" t="n">
        <s:v>1</s:v>
      </s:c>
      <s:c r="I105" s="19" t="n">
        <s:v>1</s:v>
      </s:c>
      <s:c r="J105" s="4">
        <s:f>B105*Projects!N2+C105*Projects!N3+D105*Projects!N4+E105*Projects!N5+F105*Projects!N6+G105*Projects!N7+H105*Projects!N8+I105*Projects!N9</s:f>
        <s:v>21000000</s:v>
      </s:c>
      <s:c r="K105" s="3">
        <s:f>B105*Projects!C2+C105*Projects!C3+D105*Projects!C4+E105*Projects!C5+F105*Projects!C6+G105*Projects!C7+H105*Projects!C8+I105*Projects!C9</s:f>
        <s:v>480</s:v>
      </s:c>
      <s:c r="L105" s="3">
        <s:f>B105*Projects!D2+C105*Projects!D3+D105*Projects!D4+E105*Projects!D5+F105*Projects!D6+G105*Projects!D7+H105*Projects!D8+I105*Projects!D9</s:f>
        <s:v>217</s:v>
      </s:c>
      <s:c r="M105" s="4">
        <s:f>B105*Projects!O2+C105*Projects!O3+D105*Projects!O4+E105*Projects!O5+F105*Projects!O6+G105*Projects!O7+H105*Projects!O8+I105*Projects!O9</s:f>
        <s:v>17572501.909700718</s:v>
      </s:c>
      <s:c r="N105" s="3">
        <s:f>B105*(1-Projects!Q2)+C105*(1-Projects!Q3)+D105*(1-Projects!Q4)+E105*(1-Projects!Q5)+F105*(1-Projects!Q6)+G105*(1-Projects!Q7)+H105*(1-Projects!Q8)+I105*(1-Projects!Q9)</s:f>
        <s:v>0</s:v>
      </s:c>
      <s:c r="O105" s="3">
        <s:f>IF(AND(J105&lt;=Inputs!B2,L105&gt;=Inputs!B3,M105&gt;=Inputs!B18,N105=0),1,0)</s:f>
        <s:v>0</s:v>
      </s:c>
      <s:c r="P105" s="3">
        <s:f>IF(O105=1,L105,-1)</s:f>
        <s:v>-1</s:v>
      </s:c>
      <s:c r="Q105" s="3">
        <s:f>IF(AND(O105=1,L105=MAX(P$2:P$257)),M105,-1E+99)</s:f>
        <s:v>-1e+99</s:v>
      </s:c>
    </s:row>
    <s:row r="106">
      <s:c r="A106" s="18" t="n">
        <s:v>104</s:v>
      </s:c>
      <s:c r="B106" s="18" t="n">
        <s:v>0</s:v>
      </s:c>
      <s:c r="C106" s="18" t="n">
        <s:v>1</s:v>
      </s:c>
      <s:c r="D106" s="18" t="n">
        <s:v>1</s:v>
      </s:c>
      <s:c r="E106" s="18" t="n">
        <s:v>0</s:v>
      </s:c>
      <s:c r="F106" s="18" t="n">
        <s:v>1</s:v>
      </s:c>
      <s:c r="G106" s="18" t="n">
        <s:v>0</s:v>
      </s:c>
      <s:c r="H106" s="18" t="n">
        <s:v>0</s:v>
      </s:c>
      <s:c r="I106" s="18" t="n">
        <s:v>0</s:v>
      </s:c>
      <s:c r="J106" s="5">
        <s:f>B106*Projects!N2+C106*Projects!N3+D106*Projects!N4+E106*Projects!N5+F106*Projects!N6+G106*Projects!N7+H106*Projects!N8+I106*Projects!N9</s:f>
        <s:v>13000000</s:v>
      </s:c>
      <s:c r="K106" s="2">
        <s:f>B106*Projects!C2+C106*Projects!C3+D106*Projects!C4+E106*Projects!C5+F106*Projects!C6+G106*Projects!C7+H106*Projects!C8+I106*Projects!C9</s:f>
        <s:v>290</s:v>
      </s:c>
      <s:c r="L106" s="2">
        <s:f>B106*Projects!D2+C106*Projects!D3+D106*Projects!D4+E106*Projects!D5+F106*Projects!D6+G106*Projects!D7+H106*Projects!D8+I106*Projects!D9</s:f>
        <s:v>129</s:v>
      </s:c>
      <s:c r="M106" s="5">
        <s:f>B106*Projects!O2+C106*Projects!O3+D106*Projects!O4+E106*Projects!O5+F106*Projects!O6+G106*Projects!O7+H106*Projects!O8+I106*Projects!O9</s:f>
        <s:v>10572284.248406436</s:v>
      </s:c>
      <s:c r="N106" s="2">
        <s:f>B106*(1-Projects!Q2)+C106*(1-Projects!Q3)+D106*(1-Projects!Q4)+E106*(1-Projects!Q5)+F106*(1-Projects!Q6)+G106*(1-Projects!Q7)+H106*(1-Projects!Q8)+I106*(1-Projects!Q9)</s:f>
        <s:v>0</s:v>
      </s:c>
      <s:c r="O106" s="2">
        <s:f>IF(AND(J106&lt;=Inputs!B2,L106&gt;=Inputs!B3,M106&gt;=Inputs!B18,N106=0),1,0)</s:f>
        <s:v>1</s:v>
      </s:c>
      <s:c r="P106" s="2">
        <s:f>IF(O106=1,L106,-1)</s:f>
        <s:v>129</s:v>
      </s:c>
      <s:c r="Q106" s="2">
        <s:f>IF(AND(O106=1,L106=MAX(P$2:P$257)),M106,-1E+99)</s:f>
        <s:v>-1e+99</s:v>
      </s:c>
    </s:row>
    <s:row r="107">
      <s:c r="A107" s="19" t="n">
        <s:v>105</s:v>
      </s:c>
      <s:c r="B107" s="19" t="n">
        <s:v>0</s:v>
      </s:c>
      <s:c r="C107" s="19" t="n">
        <s:v>1</s:v>
      </s:c>
      <s:c r="D107" s="19" t="n">
        <s:v>1</s:v>
      </s:c>
      <s:c r="E107" s="19" t="n">
        <s:v>0</s:v>
      </s:c>
      <s:c r="F107" s="19" t="n">
        <s:v>1</s:v>
      </s:c>
      <s:c r="G107" s="19" t="n">
        <s:v>0</s:v>
      </s:c>
      <s:c r="H107" s="19" t="n">
        <s:v>0</s:v>
      </s:c>
      <s:c r="I107" s="19" t="n">
        <s:v>1</s:v>
      </s:c>
      <s:c r="J107" s="4">
        <s:f>B107*Projects!N2+C107*Projects!N3+D107*Projects!N4+E107*Projects!N5+F107*Projects!N6+G107*Projects!N7+H107*Projects!N8+I107*Projects!N9</s:f>
        <s:v>17500000</s:v>
      </s:c>
      <s:c r="K107" s="3">
        <s:f>B107*Projects!C2+C107*Projects!C3+D107*Projects!C4+E107*Projects!C5+F107*Projects!C6+G107*Projects!C7+H107*Projects!C8+I107*Projects!C9</s:f>
        <s:v>380</s:v>
      </s:c>
      <s:c r="L107" s="3">
        <s:f>B107*Projects!D2+C107*Projects!D3+D107*Projects!D4+E107*Projects!D5+F107*Projects!D6+G107*Projects!D7+H107*Projects!D8+I107*Projects!D9</s:f>
        <s:v>156</s:v>
      </s:c>
      <s:c r="M107" s="4">
        <s:f>B107*Projects!O2+C107*Projects!O3+D107*Projects!O4+E107*Projects!O5+F107*Projects!O6+G107*Projects!O7+H107*Projects!O8+I107*Projects!O9</s:f>
        <s:v>15028911.673950471</s:v>
      </s:c>
      <s:c r="N107" s="3">
        <s:f>B107*(1-Projects!Q2)+C107*(1-Projects!Q3)+D107*(1-Projects!Q4)+E107*(1-Projects!Q5)+F107*(1-Projects!Q6)+G107*(1-Projects!Q7)+H107*(1-Projects!Q8)+I107*(1-Projects!Q9)</s:f>
        <s:v>0</s:v>
      </s:c>
      <s:c r="O107" s="3">
        <s:f>IF(AND(J107&lt;=Inputs!B2,L107&gt;=Inputs!B3,M107&gt;=Inputs!B18,N107=0),1,0)</s:f>
        <s:v>0</s:v>
      </s:c>
      <s:c r="P107" s="3">
        <s:f>IF(O107=1,L107,-1)</s:f>
        <s:v>-1</s:v>
      </s:c>
      <s:c r="Q107" s="3">
        <s:f>IF(AND(O107=1,L107=MAX(P$2:P$257)),M107,-1E+99)</s:f>
        <s:v>-1e+99</s:v>
      </s:c>
    </s:row>
    <s:row r="108">
      <s:c r="A108" s="18" t="n">
        <s:v>106</s:v>
      </s:c>
      <s:c r="B108" s="18" t="n">
        <s:v>0</s:v>
      </s:c>
      <s:c r="C108" s="18" t="n">
        <s:v>1</s:v>
      </s:c>
      <s:c r="D108" s="18" t="n">
        <s:v>1</s:v>
      </s:c>
      <s:c r="E108" s="18" t="n">
        <s:v>0</s:v>
      </s:c>
      <s:c r="F108" s="18" t="n">
        <s:v>1</s:v>
      </s:c>
      <s:c r="G108" s="18" t="n">
        <s:v>0</s:v>
      </s:c>
      <s:c r="H108" s="18" t="n">
        <s:v>1</s:v>
      </s:c>
      <s:c r="I108" s="18" t="n">
        <s:v>0</s:v>
      </s:c>
      <s:c r="J108" s="5">
        <s:f>B108*Projects!N2+C108*Projects!N3+D108*Projects!N4+E108*Projects!N5+F108*Projects!N6+G108*Projects!N7+H108*Projects!N8+I108*Projects!N9</s:f>
        <s:v>17100000</s:v>
      </s:c>
      <s:c r="K108" s="2">
        <s:f>B108*Projects!C2+C108*Projects!C3+D108*Projects!C4+E108*Projects!C5+F108*Projects!C6+G108*Projects!C7+H108*Projects!C8+I108*Projects!C9</s:f>
        <s:v>400</s:v>
      </s:c>
      <s:c r="L108" s="2">
        <s:f>B108*Projects!D2+C108*Projects!D3+D108*Projects!D4+E108*Projects!D5+F108*Projects!D6+G108*Projects!D7+H108*Projects!D8+I108*Projects!D9</s:f>
        <s:v>195</s:v>
      </s:c>
      <s:c r="M108" s="5">
        <s:f>B108*Projects!O2+C108*Projects!O3+D108*Projects!O4+E108*Projects!O5+F108*Projects!O6+G108*Projects!O7+H108*Projects!O8+I108*Projects!O9</s:f>
        <s:v>13607658.226295743</s:v>
      </s:c>
      <s:c r="N108" s="2">
        <s:f>B108*(1-Projects!Q2)+C108*(1-Projects!Q3)+D108*(1-Projects!Q4)+E108*(1-Projects!Q5)+F108*(1-Projects!Q6)+G108*(1-Projects!Q7)+H108*(1-Projects!Q8)+I108*(1-Projects!Q9)</s:f>
        <s:v>0</s:v>
      </s:c>
      <s:c r="O108" s="2">
        <s:f>IF(AND(J108&lt;=Inputs!B2,L108&gt;=Inputs!B3,M108&gt;=Inputs!B18,N108=0),1,0)</s:f>
        <s:v>0</s:v>
      </s:c>
      <s:c r="P108" s="2">
        <s:f>IF(O108=1,L108,-1)</s:f>
        <s:v>-1</s:v>
      </s:c>
      <s:c r="Q108" s="2">
        <s:f>IF(AND(O108=1,L108=MAX(P$2:P$257)),M108,-1E+99)</s:f>
        <s:v>-1e+99</s:v>
      </s:c>
    </s:row>
    <s:row r="109">
      <s:c r="A109" s="19" t="n">
        <s:v>107</s:v>
      </s:c>
      <s:c r="B109" s="19" t="n">
        <s:v>0</s:v>
      </s:c>
      <s:c r="C109" s="19" t="n">
        <s:v>1</s:v>
      </s:c>
      <s:c r="D109" s="19" t="n">
        <s:v>1</s:v>
      </s:c>
      <s:c r="E109" s="19" t="n">
        <s:v>0</s:v>
      </s:c>
      <s:c r="F109" s="19" t="n">
        <s:v>1</s:v>
      </s:c>
      <s:c r="G109" s="19" t="n">
        <s:v>0</s:v>
      </s:c>
      <s:c r="H109" s="19" t="n">
        <s:v>1</s:v>
      </s:c>
      <s:c r="I109" s="19" t="n">
        <s:v>1</s:v>
      </s:c>
      <s:c r="J109" s="4">
        <s:f>B109*Projects!N2+C109*Projects!N3+D109*Projects!N4+E109*Projects!N5+F109*Projects!N6+G109*Projects!N7+H109*Projects!N8+I109*Projects!N9</s:f>
        <s:v>21600000</s:v>
      </s:c>
      <s:c r="K109" s="3">
        <s:f>B109*Projects!C2+C109*Projects!C3+D109*Projects!C4+E109*Projects!C5+F109*Projects!C6+G109*Projects!C7+H109*Projects!C8+I109*Projects!C9</s:f>
        <s:v>490</s:v>
      </s:c>
      <s:c r="L109" s="3">
        <s:f>B109*Projects!D2+C109*Projects!D3+D109*Projects!D4+E109*Projects!D5+F109*Projects!D6+G109*Projects!D7+H109*Projects!D8+I109*Projects!D9</s:f>
        <s:v>222</s:v>
      </s:c>
      <s:c r="M109" s="4">
        <s:f>B109*Projects!O2+C109*Projects!O3+D109*Projects!O4+E109*Projects!O5+F109*Projects!O6+G109*Projects!O7+H109*Projects!O8+I109*Projects!O9</s:f>
        <s:v>18064285.651839778</s:v>
      </s:c>
      <s:c r="N109" s="3">
        <s:f>B109*(1-Projects!Q2)+C109*(1-Projects!Q3)+D109*(1-Projects!Q4)+E109*(1-Projects!Q5)+F109*(1-Projects!Q6)+G109*(1-Projects!Q7)+H109*(1-Projects!Q8)+I109*(1-Projects!Q9)</s:f>
        <s:v>0</s:v>
      </s:c>
      <s:c r="O109" s="3">
        <s:f>IF(AND(J109&lt;=Inputs!B2,L109&gt;=Inputs!B3,M109&gt;=Inputs!B18,N109=0),1,0)</s:f>
        <s:v>0</s:v>
      </s:c>
      <s:c r="P109" s="3">
        <s:f>IF(O109=1,L109,-1)</s:f>
        <s:v>-1</s:v>
      </s:c>
      <s:c r="Q109" s="3">
        <s:f>IF(AND(O109=1,L109=MAX(P$2:P$257)),M109,-1E+99)</s:f>
        <s:v>-1e+99</s:v>
      </s:c>
    </s:row>
    <s:row r="110">
      <s:c r="A110" s="18" t="n">
        <s:v>108</s:v>
      </s:c>
      <s:c r="B110" s="18" t="n">
        <s:v>0</s:v>
      </s:c>
      <s:c r="C110" s="18" t="n">
        <s:v>1</s:v>
      </s:c>
      <s:c r="D110" s="18" t="n">
        <s:v>1</s:v>
      </s:c>
      <s:c r="E110" s="18" t="n">
        <s:v>0</s:v>
      </s:c>
      <s:c r="F110" s="18" t="n">
        <s:v>1</s:v>
      </s:c>
      <s:c r="G110" s="18" t="n">
        <s:v>1</s:v>
      </s:c>
      <s:c r="H110" s="18" t="n">
        <s:v>0</s:v>
      </s:c>
      <s:c r="I110" s="18" t="n">
        <s:v>0</s:v>
      </s:c>
      <s:c r="J110" s="5">
        <s:f>B110*Projects!N2+C110*Projects!N3+D110*Projects!N4+E110*Projects!N5+F110*Projects!N6+G110*Projects!N7+H110*Projects!N8+I110*Projects!N9</s:f>
        <s:v>16200000</s:v>
      </s:c>
      <s:c r="K110" s="2">
        <s:f>B110*Projects!C2+C110*Projects!C3+D110*Projects!C4+E110*Projects!C5+F110*Projects!C6+G110*Projects!C7+H110*Projects!C8+I110*Projects!C9</s:f>
        <s:v>370</s:v>
      </s:c>
      <s:c r="L110" s="2">
        <s:f>B110*Projects!D2+C110*Projects!D3+D110*Projects!D4+E110*Projects!D5+F110*Projects!D6+G110*Projects!D7+H110*Projects!D8+I110*Projects!D9</s:f>
        <s:v>169</s:v>
      </s:c>
      <s:c r="M110" s="5">
        <s:f>B110*Projects!O2+C110*Projects!O3+D110*Projects!O4+E110*Projects!O5+F110*Projects!O6+G110*Projects!O7+H110*Projects!O8+I110*Projects!O9</s:f>
        <s:v>13082462.86827544</s:v>
      </s:c>
      <s:c r="N110" s="2">
        <s:f>B110*(1-Projects!Q2)+C110*(1-Projects!Q3)+D110*(1-Projects!Q4)+E110*(1-Projects!Q5)+F110*(1-Projects!Q6)+G110*(1-Projects!Q7)+H110*(1-Projects!Q8)+I110*(1-Projects!Q9)</s:f>
        <s:v>0</s:v>
      </s:c>
      <s:c r="O110" s="2">
        <s:f>IF(AND(J110&lt;=Inputs!B2,L110&gt;=Inputs!B3,M110&gt;=Inputs!B18,N110=0),1,0)</s:f>
        <s:v>0</s:v>
      </s:c>
      <s:c r="P110" s="2">
        <s:f>IF(O110=1,L110,-1)</s:f>
        <s:v>-1</s:v>
      </s:c>
      <s:c r="Q110" s="2">
        <s:f>IF(AND(O110=1,L110=MAX(P$2:P$257)),M110,-1E+99)</s:f>
        <s:v>-1e+99</s:v>
      </s:c>
    </s:row>
    <s:row r="111">
      <s:c r="A111" s="19" t="n">
        <s:v>109</s:v>
      </s:c>
      <s:c r="B111" s="19" t="n">
        <s:v>0</s:v>
      </s:c>
      <s:c r="C111" s="19" t="n">
        <s:v>1</s:v>
      </s:c>
      <s:c r="D111" s="19" t="n">
        <s:v>1</s:v>
      </s:c>
      <s:c r="E111" s="19" t="n">
        <s:v>0</s:v>
      </s:c>
      <s:c r="F111" s="19" t="n">
        <s:v>1</s:v>
      </s:c>
      <s:c r="G111" s="19" t="n">
        <s:v>1</s:v>
      </s:c>
      <s:c r="H111" s="19" t="n">
        <s:v>0</s:v>
      </s:c>
      <s:c r="I111" s="19" t="n">
        <s:v>1</s:v>
      </s:c>
      <s:c r="J111" s="4">
        <s:f>B111*Projects!N2+C111*Projects!N3+D111*Projects!N4+E111*Projects!N5+F111*Projects!N6+G111*Projects!N7+H111*Projects!N8+I111*Projects!N9</s:f>
        <s:v>20700000</s:v>
      </s:c>
      <s:c r="K111" s="3">
        <s:f>B111*Projects!C2+C111*Projects!C3+D111*Projects!C4+E111*Projects!C5+F111*Projects!C6+G111*Projects!C7+H111*Projects!C8+I111*Projects!C9</s:f>
        <s:v>460</s:v>
      </s:c>
      <s:c r="L111" s="3">
        <s:f>B111*Projects!D2+C111*Projects!D3+D111*Projects!D4+E111*Projects!D5+F111*Projects!D6+G111*Projects!D7+H111*Projects!D8+I111*Projects!D9</s:f>
        <s:v>196</s:v>
      </s:c>
      <s:c r="M111" s="4">
        <s:f>B111*Projects!O2+C111*Projects!O3+D111*Projects!O4+E111*Projects!O5+F111*Projects!O6+G111*Projects!O7+H111*Projects!O8+I111*Projects!O9</s:f>
        <s:v>17539090.293819476</s:v>
      </s:c>
      <s:c r="N111" s="3">
        <s:f>B111*(1-Projects!Q2)+C111*(1-Projects!Q3)+D111*(1-Projects!Q4)+E111*(1-Projects!Q5)+F111*(1-Projects!Q6)+G111*(1-Projects!Q7)+H111*(1-Projects!Q8)+I111*(1-Projects!Q9)</s:f>
        <s:v>0</s:v>
      </s:c>
      <s:c r="O111" s="3">
        <s:f>IF(AND(J111&lt;=Inputs!B2,L111&gt;=Inputs!B3,M111&gt;=Inputs!B18,N111=0),1,0)</s:f>
        <s:v>0</s:v>
      </s:c>
      <s:c r="P111" s="3">
        <s:f>IF(O111=1,L111,-1)</s:f>
        <s:v>-1</s:v>
      </s:c>
      <s:c r="Q111" s="3">
        <s:f>IF(AND(O111=1,L111=MAX(P$2:P$257)),M111,-1E+99)</s:f>
        <s:v>-1e+99</s:v>
      </s:c>
    </s:row>
    <s:row r="112">
      <s:c r="A112" s="18" t="n">
        <s:v>110</s:v>
      </s:c>
      <s:c r="B112" s="18" t="n">
        <s:v>0</s:v>
      </s:c>
      <s:c r="C112" s="18" t="n">
        <s:v>1</s:v>
      </s:c>
      <s:c r="D112" s="18" t="n">
        <s:v>1</s:v>
      </s:c>
      <s:c r="E112" s="18" t="n">
        <s:v>0</s:v>
      </s:c>
      <s:c r="F112" s="18" t="n">
        <s:v>1</s:v>
      </s:c>
      <s:c r="G112" s="18" t="n">
        <s:v>1</s:v>
      </s:c>
      <s:c r="H112" s="18" t="n">
        <s:v>1</s:v>
      </s:c>
      <s:c r="I112" s="18" t="n">
        <s:v>0</s:v>
      </s:c>
      <s:c r="J112" s="5">
        <s:f>B112*Projects!N2+C112*Projects!N3+D112*Projects!N4+E112*Projects!N5+F112*Projects!N6+G112*Projects!N7+H112*Projects!N8+I112*Projects!N9</s:f>
        <s:v>20300000</s:v>
      </s:c>
      <s:c r="K112" s="2">
        <s:f>B112*Projects!C2+C112*Projects!C3+D112*Projects!C4+E112*Projects!C5+F112*Projects!C6+G112*Projects!C7+H112*Projects!C8+I112*Projects!C9</s:f>
        <s:v>480</s:v>
      </s:c>
      <s:c r="L112" s="2">
        <s:f>B112*Projects!D2+C112*Projects!D3+D112*Projects!D4+E112*Projects!D5+F112*Projects!D6+G112*Projects!D7+H112*Projects!D8+I112*Projects!D9</s:f>
        <s:v>235</s:v>
      </s:c>
      <s:c r="M112" s="5">
        <s:f>B112*Projects!O2+C112*Projects!O3+D112*Projects!O4+E112*Projects!O5+F112*Projects!O6+G112*Projects!O7+H112*Projects!O8+I112*Projects!O9</s:f>
        <s:v>16117836.846164746</s:v>
      </s:c>
      <s:c r="N112" s="2">
        <s:f>B112*(1-Projects!Q2)+C112*(1-Projects!Q3)+D112*(1-Projects!Q4)+E112*(1-Projects!Q5)+F112*(1-Projects!Q6)+G112*(1-Projects!Q7)+H112*(1-Projects!Q8)+I112*(1-Projects!Q9)</s:f>
        <s:v>0</s:v>
      </s:c>
      <s:c r="O112" s="2">
        <s:f>IF(AND(J112&lt;=Inputs!B2,L112&gt;=Inputs!B3,M112&gt;=Inputs!B18,N112=0),1,0)</s:f>
        <s:v>0</s:v>
      </s:c>
      <s:c r="P112" s="2">
        <s:f>IF(O112=1,L112,-1)</s:f>
        <s:v>-1</s:v>
      </s:c>
      <s:c r="Q112" s="2">
        <s:f>IF(AND(O112=1,L112=MAX(P$2:P$257)),M112,-1E+99)</s:f>
        <s:v>-1e+99</s:v>
      </s:c>
    </s:row>
    <s:row r="113">
      <s:c r="A113" s="19" t="n">
        <s:v>111</s:v>
      </s:c>
      <s:c r="B113" s="19" t="n">
        <s:v>0</s:v>
      </s:c>
      <s:c r="C113" s="19" t="n">
        <s:v>1</s:v>
      </s:c>
      <s:c r="D113" s="19" t="n">
        <s:v>1</s:v>
      </s:c>
      <s:c r="E113" s="19" t="n">
        <s:v>0</s:v>
      </s:c>
      <s:c r="F113" s="19" t="n">
        <s:v>1</s:v>
      </s:c>
      <s:c r="G113" s="19" t="n">
        <s:v>1</s:v>
      </s:c>
      <s:c r="H113" s="19" t="n">
        <s:v>1</s:v>
      </s:c>
      <s:c r="I113" s="19" t="n">
        <s:v>1</s:v>
      </s:c>
      <s:c r="J113" s="4">
        <s:f>B113*Projects!N2+C113*Projects!N3+D113*Projects!N4+E113*Projects!N5+F113*Projects!N6+G113*Projects!N7+H113*Projects!N8+I113*Projects!N9</s:f>
        <s:v>24800000</s:v>
      </s:c>
      <s:c r="K113" s="3">
        <s:f>B113*Projects!C2+C113*Projects!C3+D113*Projects!C4+E113*Projects!C5+F113*Projects!C6+G113*Projects!C7+H113*Projects!C8+I113*Projects!C9</s:f>
        <s:v>570</s:v>
      </s:c>
      <s:c r="L113" s="3">
        <s:f>B113*Projects!D2+C113*Projects!D3+D113*Projects!D4+E113*Projects!D5+F113*Projects!D6+G113*Projects!D7+H113*Projects!D8+I113*Projects!D9</s:f>
        <s:v>262</s:v>
      </s:c>
      <s:c r="M113" s="4">
        <s:f>B113*Projects!O2+C113*Projects!O3+D113*Projects!O4+E113*Projects!O5+F113*Projects!O6+G113*Projects!O7+H113*Projects!O8+I113*Projects!O9</s:f>
        <s:v>20574464.271708783</s:v>
      </s:c>
      <s:c r="N113" s="3">
        <s:f>B113*(1-Projects!Q2)+C113*(1-Projects!Q3)+D113*(1-Projects!Q4)+E113*(1-Projects!Q5)+F113*(1-Projects!Q6)+G113*(1-Projects!Q7)+H113*(1-Projects!Q8)+I113*(1-Projects!Q9)</s:f>
        <s:v>0</s:v>
      </s:c>
      <s:c r="O113" s="3">
        <s:f>IF(AND(J113&lt;=Inputs!B2,L113&gt;=Inputs!B3,M113&gt;=Inputs!B18,N113=0),1,0)</s:f>
        <s:v>0</s:v>
      </s:c>
      <s:c r="P113" s="3">
        <s:f>IF(O113=1,L113,-1)</s:f>
        <s:v>-1</s:v>
      </s:c>
      <s:c r="Q113" s="3">
        <s:f>IF(AND(O113=1,L113=MAX(P$2:P$257)),M113,-1E+99)</s:f>
        <s:v>-1e+99</s:v>
      </s:c>
    </s:row>
    <s:row r="114">
      <s:c r="A114" s="18" t="n">
        <s:v>112</s:v>
      </s:c>
      <s:c r="B114" s="18" t="n">
        <s:v>0</s:v>
      </s:c>
      <s:c r="C114" s="18" t="n">
        <s:v>1</s:v>
      </s:c>
      <s:c r="D114" s="18" t="n">
        <s:v>1</s:v>
      </s:c>
      <s:c r="E114" s="18" t="n">
        <s:v>1</s:v>
      </s:c>
      <s:c r="F114" s="18" t="n">
        <s:v>0</s:v>
      </s:c>
      <s:c r="G114" s="18" t="n">
        <s:v>0</s:v>
      </s:c>
      <s:c r="H114" s="18" t="n">
        <s:v>0</s:v>
      </s:c>
      <s:c r="I114" s="18" t="n">
        <s:v>0</s:v>
      </s:c>
      <s:c r="J114" s="5">
        <s:f>B114*Projects!N2+C114*Projects!N3+D114*Projects!N4+E114*Projects!N5+F114*Projects!N6+G114*Projects!N7+H114*Projects!N8+I114*Projects!N9</s:f>
        <s:v>12600000</s:v>
      </s:c>
      <s:c r="K114" s="2">
        <s:f>B114*Projects!C2+C114*Projects!C3+D114*Projects!C4+E114*Projects!C5+F114*Projects!C6+G114*Projects!C7+H114*Projects!C8+I114*Projects!C9</s:f>
        <s:v>270</s:v>
      </s:c>
      <s:c r="L114" s="2">
        <s:f>B114*Projects!D2+C114*Projects!D3+D114*Projects!D4+E114*Projects!D5+F114*Projects!D6+G114*Projects!D7+H114*Projects!D8+I114*Projects!D9</s:f>
        <s:v>105</s:v>
      </s:c>
      <s:c r="M114" s="5">
        <s:f>B114*Projects!O2+C114*Projects!O3+D114*Projects!O4+E114*Projects!O5+F114*Projects!O6+G114*Projects!O7+H114*Projects!O8+I114*Projects!O9</s:f>
        <s:v>10886680.115465974</s:v>
      </s:c>
      <s:c r="N114" s="2">
        <s:f>B114*(1-Projects!Q2)+C114*(1-Projects!Q3)+D114*(1-Projects!Q4)+E114*(1-Projects!Q5)+F114*(1-Projects!Q6)+G114*(1-Projects!Q7)+H114*(1-Projects!Q8)+I114*(1-Projects!Q9)</s:f>
        <s:v>0</s:v>
      </s:c>
      <s:c r="O114" s="2">
        <s:f>IF(AND(J114&lt;=Inputs!B2,L114&gt;=Inputs!B3,M114&gt;=Inputs!B18,N114=0),1,0)</s:f>
        <s:v>1</s:v>
      </s:c>
      <s:c r="P114" s="2">
        <s:f>IF(O114=1,L114,-1)</s:f>
        <s:v>105</s:v>
      </s:c>
      <s:c r="Q114" s="2">
        <s:f>IF(AND(O114=1,L114=MAX(P$2:P$257)),M114,-1E+99)</s:f>
        <s:v>-1e+99</s:v>
      </s:c>
    </s:row>
    <s:row r="115">
      <s:c r="A115" s="19" t="n">
        <s:v>113</s:v>
      </s:c>
      <s:c r="B115" s="19" t="n">
        <s:v>0</s:v>
      </s:c>
      <s:c r="C115" s="19" t="n">
        <s:v>1</s:v>
      </s:c>
      <s:c r="D115" s="19" t="n">
        <s:v>1</s:v>
      </s:c>
      <s:c r="E115" s="19" t="n">
        <s:v>1</s:v>
      </s:c>
      <s:c r="F115" s="19" t="n">
        <s:v>0</s:v>
      </s:c>
      <s:c r="G115" s="19" t="n">
        <s:v>0</s:v>
      </s:c>
      <s:c r="H115" s="19" t="n">
        <s:v>0</s:v>
      </s:c>
      <s:c r="I115" s="19" t="n">
        <s:v>1</s:v>
      </s:c>
      <s:c r="J115" s="4">
        <s:f>B115*Projects!N2+C115*Projects!N3+D115*Projects!N4+E115*Projects!N5+F115*Projects!N6+G115*Projects!N7+H115*Projects!N8+I115*Projects!N9</s:f>
        <s:v>17100000</s:v>
      </s:c>
      <s:c r="K115" s="3">
        <s:f>B115*Projects!C2+C115*Projects!C3+D115*Projects!C4+E115*Projects!C5+F115*Projects!C6+G115*Projects!C7+H115*Projects!C8+I115*Projects!C9</s:f>
        <s:v>360</s:v>
      </s:c>
      <s:c r="L115" s="3">
        <s:f>B115*Projects!D2+C115*Projects!D3+D115*Projects!D4+E115*Projects!D5+F115*Projects!D6+G115*Projects!D7+H115*Projects!D8+I115*Projects!D9</s:f>
        <s:v>132</s:v>
      </s:c>
      <s:c r="M115" s="4">
        <s:f>B115*Projects!O2+C115*Projects!O3+D115*Projects!O4+E115*Projects!O5+F115*Projects!O6+G115*Projects!O7+H115*Projects!O8+I115*Projects!O9</s:f>
        <s:v>15343307.541010011</s:v>
      </s:c>
      <s:c r="N115" s="3">
        <s:f>B115*(1-Projects!Q2)+C115*(1-Projects!Q3)+D115*(1-Projects!Q4)+E115*(1-Projects!Q5)+F115*(1-Projects!Q6)+G115*(1-Projects!Q7)+H115*(1-Projects!Q8)+I115*(1-Projects!Q9)</s:f>
        <s:v>0</s:v>
      </s:c>
      <s:c r="O115" s="3">
        <s:f>IF(AND(J115&lt;=Inputs!B2,L115&gt;=Inputs!B3,M115&gt;=Inputs!B18,N115=0),1,0)</s:f>
        <s:v>0</s:v>
      </s:c>
      <s:c r="P115" s="3">
        <s:f>IF(O115=1,L115,-1)</s:f>
        <s:v>-1</s:v>
      </s:c>
      <s:c r="Q115" s="3">
        <s:f>IF(AND(O115=1,L115=MAX(P$2:P$257)),M115,-1E+99)</s:f>
        <s:v>-1e+99</s:v>
      </s:c>
    </s:row>
    <s:row r="116">
      <s:c r="A116" s="18" t="n">
        <s:v>114</s:v>
      </s:c>
      <s:c r="B116" s="18" t="n">
        <s:v>0</s:v>
      </s:c>
      <s:c r="C116" s="18" t="n">
        <s:v>1</s:v>
      </s:c>
      <s:c r="D116" s="18" t="n">
        <s:v>1</s:v>
      </s:c>
      <s:c r="E116" s="18" t="n">
        <s:v>1</s:v>
      </s:c>
      <s:c r="F116" s="18" t="n">
        <s:v>0</s:v>
      </s:c>
      <s:c r="G116" s="18" t="n">
        <s:v>0</s:v>
      </s:c>
      <s:c r="H116" s="18" t="n">
        <s:v>1</s:v>
      </s:c>
      <s:c r="I116" s="18" t="n">
        <s:v>0</s:v>
      </s:c>
      <s:c r="J116" s="5">
        <s:f>B116*Projects!N2+C116*Projects!N3+D116*Projects!N4+E116*Projects!N5+F116*Projects!N6+G116*Projects!N7+H116*Projects!N8+I116*Projects!N9</s:f>
        <s:v>16700000</s:v>
      </s:c>
      <s:c r="K116" s="2">
        <s:f>B116*Projects!C2+C116*Projects!C3+D116*Projects!C4+E116*Projects!C5+F116*Projects!C6+G116*Projects!C7+H116*Projects!C8+I116*Projects!C9</s:f>
        <s:v>380</s:v>
      </s:c>
      <s:c r="L116" s="2">
        <s:f>B116*Projects!D2+C116*Projects!D3+D116*Projects!D4+E116*Projects!D5+F116*Projects!D6+G116*Projects!D7+H116*Projects!D8+I116*Projects!D9</s:f>
        <s:v>171</s:v>
      </s:c>
      <s:c r="M116" s="5">
        <s:f>B116*Projects!O2+C116*Projects!O3+D116*Projects!O4+E116*Projects!O5+F116*Projects!O6+G116*Projects!O7+H116*Projects!O8+I116*Projects!O9</s:f>
        <s:v>13922054.093355281</s:v>
      </s:c>
      <s:c r="N116" s="2">
        <s:f>B116*(1-Projects!Q2)+C116*(1-Projects!Q3)+D116*(1-Projects!Q4)+E116*(1-Projects!Q5)+F116*(1-Projects!Q6)+G116*(1-Projects!Q7)+H116*(1-Projects!Q8)+I116*(1-Projects!Q9)</s:f>
        <s:v>0</s:v>
      </s:c>
      <s:c r="O116" s="2">
        <s:f>IF(AND(J116&lt;=Inputs!B2,L116&gt;=Inputs!B3,M116&gt;=Inputs!B18,N116=0),1,0)</s:f>
        <s:v>0</s:v>
      </s:c>
      <s:c r="P116" s="2">
        <s:f>IF(O116=1,L116,-1)</s:f>
        <s:v>-1</s:v>
      </s:c>
      <s:c r="Q116" s="2">
        <s:f>IF(AND(O116=1,L116=MAX(P$2:P$257)),M116,-1E+99)</s:f>
        <s:v>-1e+99</s:v>
      </s:c>
    </s:row>
    <s:row r="117">
      <s:c r="A117" s="19" t="n">
        <s:v>115</s:v>
      </s:c>
      <s:c r="B117" s="19" t="n">
        <s:v>0</s:v>
      </s:c>
      <s:c r="C117" s="19" t="n">
        <s:v>1</s:v>
      </s:c>
      <s:c r="D117" s="19" t="n">
        <s:v>1</s:v>
      </s:c>
      <s:c r="E117" s="19" t="n">
        <s:v>1</s:v>
      </s:c>
      <s:c r="F117" s="19" t="n">
        <s:v>0</s:v>
      </s:c>
      <s:c r="G117" s="19" t="n">
        <s:v>0</s:v>
      </s:c>
      <s:c r="H117" s="19" t="n">
        <s:v>1</s:v>
      </s:c>
      <s:c r="I117" s="19" t="n">
        <s:v>1</s:v>
      </s:c>
      <s:c r="J117" s="4">
        <s:f>B117*Projects!N2+C117*Projects!N3+D117*Projects!N4+E117*Projects!N5+F117*Projects!N6+G117*Projects!N7+H117*Projects!N8+I117*Projects!N9</s:f>
        <s:v>21200000</s:v>
      </s:c>
      <s:c r="K117" s="3">
        <s:f>B117*Projects!C2+C117*Projects!C3+D117*Projects!C4+E117*Projects!C5+F117*Projects!C6+G117*Projects!C7+H117*Projects!C8+I117*Projects!C9</s:f>
        <s:v>470</s:v>
      </s:c>
      <s:c r="L117" s="3">
        <s:f>B117*Projects!D2+C117*Projects!D3+D117*Projects!D4+E117*Projects!D5+F117*Projects!D6+G117*Projects!D7+H117*Projects!D8+I117*Projects!D9</s:f>
        <s:v>198</s:v>
      </s:c>
      <s:c r="M117" s="4">
        <s:f>B117*Projects!O2+C117*Projects!O3+D117*Projects!O4+E117*Projects!O5+F117*Projects!O6+G117*Projects!O7+H117*Projects!O8+I117*Projects!O9</s:f>
        <s:v>18378681.518899318</s:v>
      </s:c>
      <s:c r="N117" s="3">
        <s:f>B117*(1-Projects!Q2)+C117*(1-Projects!Q3)+D117*(1-Projects!Q4)+E117*(1-Projects!Q5)+F117*(1-Projects!Q6)+G117*(1-Projects!Q7)+H117*(1-Projects!Q8)+I117*(1-Projects!Q9)</s:f>
        <s:v>0</s:v>
      </s:c>
      <s:c r="O117" s="3">
        <s:f>IF(AND(J117&lt;=Inputs!B2,L117&gt;=Inputs!B3,M117&gt;=Inputs!B18,N117=0),1,0)</s:f>
        <s:v>0</s:v>
      </s:c>
      <s:c r="P117" s="3">
        <s:f>IF(O117=1,L117,-1)</s:f>
        <s:v>-1</s:v>
      </s:c>
      <s:c r="Q117" s="3">
        <s:f>IF(AND(O117=1,L117=MAX(P$2:P$257)),M117,-1E+99)</s:f>
        <s:v>-1e+99</s:v>
      </s:c>
    </s:row>
    <s:row r="118">
      <s:c r="A118" s="18" t="n">
        <s:v>116</s:v>
      </s:c>
      <s:c r="B118" s="18" t="n">
        <s:v>0</s:v>
      </s:c>
      <s:c r="C118" s="18" t="n">
        <s:v>1</s:v>
      </s:c>
      <s:c r="D118" s="18" t="n">
        <s:v>1</s:v>
      </s:c>
      <s:c r="E118" s="18" t="n">
        <s:v>1</s:v>
      </s:c>
      <s:c r="F118" s="18" t="n">
        <s:v>0</s:v>
      </s:c>
      <s:c r="G118" s="18" t="n">
        <s:v>1</s:v>
      </s:c>
      <s:c r="H118" s="18" t="n">
        <s:v>0</s:v>
      </s:c>
      <s:c r="I118" s="18" t="n">
        <s:v>0</s:v>
      </s:c>
      <s:c r="J118" s="5">
        <s:f>B118*Projects!N2+C118*Projects!N3+D118*Projects!N4+E118*Projects!N5+F118*Projects!N6+G118*Projects!N7+H118*Projects!N8+I118*Projects!N9</s:f>
        <s:v>15800000</s:v>
      </s:c>
      <s:c r="K118" s="2">
        <s:f>B118*Projects!C2+C118*Projects!C3+D118*Projects!C4+E118*Projects!C5+F118*Projects!C6+G118*Projects!C7+H118*Projects!C8+I118*Projects!C9</s:f>
        <s:v>350</s:v>
      </s:c>
      <s:c r="L118" s="2">
        <s:f>B118*Projects!D2+C118*Projects!D3+D118*Projects!D4+E118*Projects!D5+F118*Projects!D6+G118*Projects!D7+H118*Projects!D8+I118*Projects!D9</s:f>
        <s:v>145</s:v>
      </s:c>
      <s:c r="M118" s="5">
        <s:f>B118*Projects!O2+C118*Projects!O3+D118*Projects!O4+E118*Projects!O5+F118*Projects!O6+G118*Projects!O7+H118*Projects!O8+I118*Projects!O9</s:f>
        <s:v>13396858.735334978</s:v>
      </s:c>
      <s:c r="N118" s="2">
        <s:f>B118*(1-Projects!Q2)+C118*(1-Projects!Q3)+D118*(1-Projects!Q4)+E118*(1-Projects!Q5)+F118*(1-Projects!Q6)+G118*(1-Projects!Q7)+H118*(1-Projects!Q8)+I118*(1-Projects!Q9)</s:f>
        <s:v>0</s:v>
      </s:c>
      <s:c r="O118" s="2">
        <s:f>IF(AND(J118&lt;=Inputs!B2,L118&gt;=Inputs!B3,M118&gt;=Inputs!B18,N118=0),1,0)</s:f>
        <s:v>0</s:v>
      </s:c>
      <s:c r="P118" s="2">
        <s:f>IF(O118=1,L118,-1)</s:f>
        <s:v>-1</s:v>
      </s:c>
      <s:c r="Q118" s="2">
        <s:f>IF(AND(O118=1,L118=MAX(P$2:P$257)),M118,-1E+99)</s:f>
        <s:v>-1e+99</s:v>
      </s:c>
    </s:row>
    <s:row r="119">
      <s:c r="A119" s="19" t="n">
        <s:v>117</s:v>
      </s:c>
      <s:c r="B119" s="19" t="n">
        <s:v>0</s:v>
      </s:c>
      <s:c r="C119" s="19" t="n">
        <s:v>1</s:v>
      </s:c>
      <s:c r="D119" s="19" t="n">
        <s:v>1</s:v>
      </s:c>
      <s:c r="E119" s="19" t="n">
        <s:v>1</s:v>
      </s:c>
      <s:c r="F119" s="19" t="n">
        <s:v>0</s:v>
      </s:c>
      <s:c r="G119" s="19" t="n">
        <s:v>1</s:v>
      </s:c>
      <s:c r="H119" s="19" t="n">
        <s:v>0</s:v>
      </s:c>
      <s:c r="I119" s="19" t="n">
        <s:v>1</s:v>
      </s:c>
      <s:c r="J119" s="4">
        <s:f>B119*Projects!N2+C119*Projects!N3+D119*Projects!N4+E119*Projects!N5+F119*Projects!N6+G119*Projects!N7+H119*Projects!N8+I119*Projects!N9</s:f>
        <s:v>20300000</s:v>
      </s:c>
      <s:c r="K119" s="3">
        <s:f>B119*Projects!C2+C119*Projects!C3+D119*Projects!C4+E119*Projects!C5+F119*Projects!C6+G119*Projects!C7+H119*Projects!C8+I119*Projects!C9</s:f>
        <s:v>440</s:v>
      </s:c>
      <s:c r="L119" s="3">
        <s:f>B119*Projects!D2+C119*Projects!D3+D119*Projects!D4+E119*Projects!D5+F119*Projects!D6+G119*Projects!D7+H119*Projects!D8+I119*Projects!D9</s:f>
        <s:v>172</s:v>
      </s:c>
      <s:c r="M119" s="4">
        <s:f>B119*Projects!O2+C119*Projects!O3+D119*Projects!O4+E119*Projects!O5+F119*Projects!O6+G119*Projects!O7+H119*Projects!O8+I119*Projects!O9</s:f>
        <s:v>17853486.160879012</s:v>
      </s:c>
      <s:c r="N119" s="3">
        <s:f>B119*(1-Projects!Q2)+C119*(1-Projects!Q3)+D119*(1-Projects!Q4)+E119*(1-Projects!Q5)+F119*(1-Projects!Q6)+G119*(1-Projects!Q7)+H119*(1-Projects!Q8)+I119*(1-Projects!Q9)</s:f>
        <s:v>0</s:v>
      </s:c>
      <s:c r="O119" s="3">
        <s:f>IF(AND(J119&lt;=Inputs!B2,L119&gt;=Inputs!B3,M119&gt;=Inputs!B18,N119=0),1,0)</s:f>
        <s:v>0</s:v>
      </s:c>
      <s:c r="P119" s="3">
        <s:f>IF(O119=1,L119,-1)</s:f>
        <s:v>-1</s:v>
      </s:c>
      <s:c r="Q119" s="3">
        <s:f>IF(AND(O119=1,L119=MAX(P$2:P$257)),M119,-1E+99)</s:f>
        <s:v>-1e+99</s:v>
      </s:c>
    </s:row>
    <s:row r="120">
      <s:c r="A120" s="18" t="n">
        <s:v>118</s:v>
      </s:c>
      <s:c r="B120" s="18" t="n">
        <s:v>0</s:v>
      </s:c>
      <s:c r="C120" s="18" t="n">
        <s:v>1</s:v>
      </s:c>
      <s:c r="D120" s="18" t="n">
        <s:v>1</s:v>
      </s:c>
      <s:c r="E120" s="18" t="n">
        <s:v>1</s:v>
      </s:c>
      <s:c r="F120" s="18" t="n">
        <s:v>0</s:v>
      </s:c>
      <s:c r="G120" s="18" t="n">
        <s:v>1</s:v>
      </s:c>
      <s:c r="H120" s="18" t="n">
        <s:v>1</s:v>
      </s:c>
      <s:c r="I120" s="18" t="n">
        <s:v>0</s:v>
      </s:c>
      <s:c r="J120" s="5">
        <s:f>B120*Projects!N2+C120*Projects!N3+D120*Projects!N4+E120*Projects!N5+F120*Projects!N6+G120*Projects!N7+H120*Projects!N8+I120*Projects!N9</s:f>
        <s:v>19900000</s:v>
      </s:c>
      <s:c r="K120" s="2">
        <s:f>B120*Projects!C2+C120*Projects!C3+D120*Projects!C4+E120*Projects!C5+F120*Projects!C6+G120*Projects!C7+H120*Projects!C8+I120*Projects!C9</s:f>
        <s:v>460</s:v>
      </s:c>
      <s:c r="L120" s="2">
        <s:f>B120*Projects!D2+C120*Projects!D3+D120*Projects!D4+E120*Projects!D5+F120*Projects!D6+G120*Projects!D7+H120*Projects!D8+I120*Projects!D9</s:f>
        <s:v>211</s:v>
      </s:c>
      <s:c r="M120" s="5">
        <s:f>B120*Projects!O2+C120*Projects!O3+D120*Projects!O4+E120*Projects!O5+F120*Projects!O6+G120*Projects!O7+H120*Projects!O8+I120*Projects!O9</s:f>
        <s:v>16432232.713224284</s:v>
      </s:c>
      <s:c r="N120" s="2">
        <s:f>B120*(1-Projects!Q2)+C120*(1-Projects!Q3)+D120*(1-Projects!Q4)+E120*(1-Projects!Q5)+F120*(1-Projects!Q6)+G120*(1-Projects!Q7)+H120*(1-Projects!Q8)+I120*(1-Projects!Q9)</s:f>
        <s:v>0</s:v>
      </s:c>
      <s:c r="O120" s="2">
        <s:f>IF(AND(J120&lt;=Inputs!B2,L120&gt;=Inputs!B3,M120&gt;=Inputs!B18,N120=0),1,0)</s:f>
        <s:v>0</s:v>
      </s:c>
      <s:c r="P120" s="2">
        <s:f>IF(O120=1,L120,-1)</s:f>
        <s:v>-1</s:v>
      </s:c>
      <s:c r="Q120" s="2">
        <s:f>IF(AND(O120=1,L120=MAX(P$2:P$257)),M120,-1E+99)</s:f>
        <s:v>-1e+99</s:v>
      </s:c>
    </s:row>
    <s:row r="121">
      <s:c r="A121" s="19" t="n">
        <s:v>119</s:v>
      </s:c>
      <s:c r="B121" s="19" t="n">
        <s:v>0</s:v>
      </s:c>
      <s:c r="C121" s="19" t="n">
        <s:v>1</s:v>
      </s:c>
      <s:c r="D121" s="19" t="n">
        <s:v>1</s:v>
      </s:c>
      <s:c r="E121" s="19" t="n">
        <s:v>1</s:v>
      </s:c>
      <s:c r="F121" s="19" t="n">
        <s:v>0</s:v>
      </s:c>
      <s:c r="G121" s="19" t="n">
        <s:v>1</s:v>
      </s:c>
      <s:c r="H121" s="19" t="n">
        <s:v>1</s:v>
      </s:c>
      <s:c r="I121" s="19" t="n">
        <s:v>1</s:v>
      </s:c>
      <s:c r="J121" s="4">
        <s:f>B121*Projects!N2+C121*Projects!N3+D121*Projects!N4+E121*Projects!N5+F121*Projects!N6+G121*Projects!N7+H121*Projects!N8+I121*Projects!N9</s:f>
        <s:v>24400000</s:v>
      </s:c>
      <s:c r="K121" s="3">
        <s:f>B121*Projects!C2+C121*Projects!C3+D121*Projects!C4+E121*Projects!C5+F121*Projects!C6+G121*Projects!C7+H121*Projects!C8+I121*Projects!C9</s:f>
        <s:v>550</s:v>
      </s:c>
      <s:c r="L121" s="3">
        <s:f>B121*Projects!D2+C121*Projects!D3+D121*Projects!D4+E121*Projects!D5+F121*Projects!D6+G121*Projects!D7+H121*Projects!D8+I121*Projects!D9</s:f>
        <s:v>238</s:v>
      </s:c>
      <s:c r="M121" s="4">
        <s:f>B121*Projects!O2+C121*Projects!O3+D121*Projects!O4+E121*Projects!O5+F121*Projects!O6+G121*Projects!O7+H121*Projects!O8+I121*Projects!O9</s:f>
        <s:v>20888860.13876832</s:v>
      </s:c>
      <s:c r="N121" s="3">
        <s:f>B121*(1-Projects!Q2)+C121*(1-Projects!Q3)+D121*(1-Projects!Q4)+E121*(1-Projects!Q5)+F121*(1-Projects!Q6)+G121*(1-Projects!Q7)+H121*(1-Projects!Q8)+I121*(1-Projects!Q9)</s:f>
        <s:v>0</s:v>
      </s:c>
      <s:c r="O121" s="3">
        <s:f>IF(AND(J121&lt;=Inputs!B2,L121&gt;=Inputs!B3,M121&gt;=Inputs!B18,N121=0),1,0)</s:f>
        <s:v>0</s:v>
      </s:c>
      <s:c r="P121" s="3">
        <s:f>IF(O121=1,L121,-1)</s:f>
        <s:v>-1</s:v>
      </s:c>
      <s:c r="Q121" s="3">
        <s:f>IF(AND(O121=1,L121=MAX(P$2:P$257)),M121,-1E+99)</s:f>
        <s:v>-1e+99</s:v>
      </s:c>
    </s:row>
    <s:row r="122">
      <s:c r="A122" s="18" t="n">
        <s:v>120</s:v>
      </s:c>
      <s:c r="B122" s="18" t="n">
        <s:v>0</s:v>
      </s:c>
      <s:c r="C122" s="18" t="n">
        <s:v>1</s:v>
      </s:c>
      <s:c r="D122" s="18" t="n">
        <s:v>1</s:v>
      </s:c>
      <s:c r="E122" s="18" t="n">
        <s:v>1</s:v>
      </s:c>
      <s:c r="F122" s="18" t="n">
        <s:v>1</s:v>
      </s:c>
      <s:c r="G122" s="18" t="n">
        <s:v>0</s:v>
      </s:c>
      <s:c r="H122" s="18" t="n">
        <s:v>0</s:v>
      </s:c>
      <s:c r="I122" s="18" t="n">
        <s:v>0</s:v>
      </s:c>
      <s:c r="J122" s="5">
        <s:f>B122*Projects!N2+C122*Projects!N3+D122*Projects!N4+E122*Projects!N5+F122*Projects!N6+G122*Projects!N7+H122*Projects!N8+I122*Projects!N9</s:f>
        <s:v>16400000</s:v>
      </s:c>
      <s:c r="K122" s="2">
        <s:f>B122*Projects!C2+C122*Projects!C3+D122*Projects!C4+E122*Projects!C5+F122*Projects!C6+G122*Projects!C7+H122*Projects!C8+I122*Projects!C9</s:f>
        <s:v>360</s:v>
      </s:c>
      <s:c r="L122" s="2">
        <s:f>B122*Projects!D2+C122*Projects!D3+D122*Projects!D4+E122*Projects!D5+F122*Projects!D6+G122*Projects!D7+H122*Projects!D8+I122*Projects!D9</s:f>
        <s:v>150</s:v>
      </s:c>
      <s:c r="M122" s="5">
        <s:f>B122*Projects!O2+C122*Projects!O3+D122*Projects!O4+E122*Projects!O5+F122*Projects!O6+G122*Projects!O7+H122*Projects!O8+I122*Projects!O9</s:f>
        <s:v>13888642.477474038</s:v>
      </s:c>
      <s:c r="N122" s="2">
        <s:f>B122*(1-Projects!Q2)+C122*(1-Projects!Q3)+D122*(1-Projects!Q4)+E122*(1-Projects!Q5)+F122*(1-Projects!Q6)+G122*(1-Projects!Q7)+H122*(1-Projects!Q8)+I122*(1-Projects!Q9)</s:f>
        <s:v>0</s:v>
      </s:c>
      <s:c r="O122" s="2">
        <s:f>IF(AND(J122&lt;=Inputs!B2,L122&gt;=Inputs!B3,M122&gt;=Inputs!B18,N122=0),1,0)</s:f>
        <s:v>0</s:v>
      </s:c>
      <s:c r="P122" s="2">
        <s:f>IF(O122=1,L122,-1)</s:f>
        <s:v>-1</s:v>
      </s:c>
      <s:c r="Q122" s="2">
        <s:f>IF(AND(O122=1,L122=MAX(P$2:P$257)),M122,-1E+99)</s:f>
        <s:v>-1e+99</s:v>
      </s:c>
    </s:row>
    <s:row r="123">
      <s:c r="A123" s="19" t="n">
        <s:v>121</s:v>
      </s:c>
      <s:c r="B123" s="19" t="n">
        <s:v>0</s:v>
      </s:c>
      <s:c r="C123" s="19" t="n">
        <s:v>1</s:v>
      </s:c>
      <s:c r="D123" s="19" t="n">
        <s:v>1</s:v>
      </s:c>
      <s:c r="E123" s="19" t="n">
        <s:v>1</s:v>
      </s:c>
      <s:c r="F123" s="19" t="n">
        <s:v>1</s:v>
      </s:c>
      <s:c r="G123" s="19" t="n">
        <s:v>0</s:v>
      </s:c>
      <s:c r="H123" s="19" t="n">
        <s:v>0</s:v>
      </s:c>
      <s:c r="I123" s="19" t="n">
        <s:v>1</s:v>
      </s:c>
      <s:c r="J123" s="4">
        <s:f>B123*Projects!N2+C123*Projects!N3+D123*Projects!N4+E123*Projects!N5+F123*Projects!N6+G123*Projects!N7+H123*Projects!N8+I123*Projects!N9</s:f>
        <s:v>20900000</s:v>
      </s:c>
      <s:c r="K123" s="3">
        <s:f>B123*Projects!C2+C123*Projects!C3+D123*Projects!C4+E123*Projects!C5+F123*Projects!C6+G123*Projects!C7+H123*Projects!C8+I123*Projects!C9</s:f>
        <s:v>450</s:v>
      </s:c>
      <s:c r="L123" s="3">
        <s:f>B123*Projects!D2+C123*Projects!D3+D123*Projects!D4+E123*Projects!D5+F123*Projects!D6+G123*Projects!D7+H123*Projects!D8+I123*Projects!D9</s:f>
        <s:v>177</s:v>
      </s:c>
      <s:c r="M123" s="4">
        <s:f>B123*Projects!O2+C123*Projects!O3+D123*Projects!O4+E123*Projects!O5+F123*Projects!O6+G123*Projects!O7+H123*Projects!O8+I123*Projects!O9</s:f>
        <s:v>18345269.903018072</s:v>
      </s:c>
      <s:c r="N123" s="3">
        <s:f>B123*(1-Projects!Q2)+C123*(1-Projects!Q3)+D123*(1-Projects!Q4)+E123*(1-Projects!Q5)+F123*(1-Projects!Q6)+G123*(1-Projects!Q7)+H123*(1-Projects!Q8)+I123*(1-Projects!Q9)</s:f>
        <s:v>0</s:v>
      </s:c>
      <s:c r="O123" s="3">
        <s:f>IF(AND(J123&lt;=Inputs!B2,L123&gt;=Inputs!B3,M123&gt;=Inputs!B18,N123=0),1,0)</s:f>
        <s:v>0</s:v>
      </s:c>
      <s:c r="P123" s="3">
        <s:f>IF(O123=1,L123,-1)</s:f>
        <s:v>-1</s:v>
      </s:c>
      <s:c r="Q123" s="3">
        <s:f>IF(AND(O123=1,L123=MAX(P$2:P$257)),M123,-1E+99)</s:f>
        <s:v>-1e+99</s:v>
      </s:c>
    </s:row>
    <s:row r="124">
      <s:c r="A124" s="18" t="n">
        <s:v>122</s:v>
      </s:c>
      <s:c r="B124" s="18" t="n">
        <s:v>0</s:v>
      </s:c>
      <s:c r="C124" s="18" t="n">
        <s:v>1</s:v>
      </s:c>
      <s:c r="D124" s="18" t="n">
        <s:v>1</s:v>
      </s:c>
      <s:c r="E124" s="18" t="n">
        <s:v>1</s:v>
      </s:c>
      <s:c r="F124" s="18" t="n">
        <s:v>1</s:v>
      </s:c>
      <s:c r="G124" s="18" t="n">
        <s:v>0</s:v>
      </s:c>
      <s:c r="H124" s="18" t="n">
        <s:v>1</s:v>
      </s:c>
      <s:c r="I124" s="18" t="n">
        <s:v>0</s:v>
      </s:c>
      <s:c r="J124" s="5">
        <s:f>B124*Projects!N2+C124*Projects!N3+D124*Projects!N4+E124*Projects!N5+F124*Projects!N6+G124*Projects!N7+H124*Projects!N8+I124*Projects!N9</s:f>
        <s:v>20500000</s:v>
      </s:c>
      <s:c r="K124" s="2">
        <s:f>B124*Projects!C2+C124*Projects!C3+D124*Projects!C4+E124*Projects!C5+F124*Projects!C6+G124*Projects!C7+H124*Projects!C8+I124*Projects!C9</s:f>
        <s:v>470</s:v>
      </s:c>
      <s:c r="L124" s="2">
        <s:f>B124*Projects!D2+C124*Projects!D3+D124*Projects!D4+E124*Projects!D5+F124*Projects!D6+G124*Projects!D7+H124*Projects!D8+I124*Projects!D9</s:f>
        <s:v>216</s:v>
      </s:c>
      <s:c r="M124" s="5">
        <s:f>B124*Projects!O2+C124*Projects!O3+D124*Projects!O4+E124*Projects!O5+F124*Projects!O6+G124*Projects!O7+H124*Projects!O8+I124*Projects!O9</s:f>
        <s:v>16924016.455363344</s:v>
      </s:c>
      <s:c r="N124" s="2">
        <s:f>B124*(1-Projects!Q2)+C124*(1-Projects!Q3)+D124*(1-Projects!Q4)+E124*(1-Projects!Q5)+F124*(1-Projects!Q6)+G124*(1-Projects!Q7)+H124*(1-Projects!Q8)+I124*(1-Projects!Q9)</s:f>
        <s:v>0</s:v>
      </s:c>
      <s:c r="O124" s="2">
        <s:f>IF(AND(J124&lt;=Inputs!B2,L124&gt;=Inputs!B3,M124&gt;=Inputs!B18,N124=0),1,0)</s:f>
        <s:v>0</s:v>
      </s:c>
      <s:c r="P124" s="2">
        <s:f>IF(O124=1,L124,-1)</s:f>
        <s:v>-1</s:v>
      </s:c>
      <s:c r="Q124" s="2">
        <s:f>IF(AND(O124=1,L124=MAX(P$2:P$257)),M124,-1E+99)</s:f>
        <s:v>-1e+99</s:v>
      </s:c>
    </s:row>
    <s:row r="125">
      <s:c r="A125" s="19" t="n">
        <s:v>123</s:v>
      </s:c>
      <s:c r="B125" s="19" t="n">
        <s:v>0</s:v>
      </s:c>
      <s:c r="C125" s="19" t="n">
        <s:v>1</s:v>
      </s:c>
      <s:c r="D125" s="19" t="n">
        <s:v>1</s:v>
      </s:c>
      <s:c r="E125" s="19" t="n">
        <s:v>1</s:v>
      </s:c>
      <s:c r="F125" s="19" t="n">
        <s:v>1</s:v>
      </s:c>
      <s:c r="G125" s="19" t="n">
        <s:v>0</s:v>
      </s:c>
      <s:c r="H125" s="19" t="n">
        <s:v>1</s:v>
      </s:c>
      <s:c r="I125" s="19" t="n">
        <s:v>1</s:v>
      </s:c>
      <s:c r="J125" s="4">
        <s:f>B125*Projects!N2+C125*Projects!N3+D125*Projects!N4+E125*Projects!N5+F125*Projects!N6+G125*Projects!N7+H125*Projects!N8+I125*Projects!N9</s:f>
        <s:v>25000000</s:v>
      </s:c>
      <s:c r="K125" s="3">
        <s:f>B125*Projects!C2+C125*Projects!C3+D125*Projects!C4+E125*Projects!C5+F125*Projects!C6+G125*Projects!C7+H125*Projects!C8+I125*Projects!C9</s:f>
        <s:v>560</s:v>
      </s:c>
      <s:c r="L125" s="3">
        <s:f>B125*Projects!D2+C125*Projects!D3+D125*Projects!D4+E125*Projects!D5+F125*Projects!D6+G125*Projects!D7+H125*Projects!D8+I125*Projects!D9</s:f>
        <s:v>243</s:v>
      </s:c>
      <s:c r="M125" s="4">
        <s:f>B125*Projects!O2+C125*Projects!O3+D125*Projects!O4+E125*Projects!O5+F125*Projects!O6+G125*Projects!O7+H125*Projects!O8+I125*Projects!O9</s:f>
        <s:v>21380643.88090738</s:v>
      </s:c>
      <s:c r="N125" s="3">
        <s:f>B125*(1-Projects!Q2)+C125*(1-Projects!Q3)+D125*(1-Projects!Q4)+E125*(1-Projects!Q5)+F125*(1-Projects!Q6)+G125*(1-Projects!Q7)+H125*(1-Projects!Q8)+I125*(1-Projects!Q9)</s:f>
        <s:v>0</s:v>
      </s:c>
      <s:c r="O125" s="3">
        <s:f>IF(AND(J125&lt;=Inputs!B2,L125&gt;=Inputs!B3,M125&gt;=Inputs!B18,N125=0),1,0)</s:f>
        <s:v>0</s:v>
      </s:c>
      <s:c r="P125" s="3">
        <s:f>IF(O125=1,L125,-1)</s:f>
        <s:v>-1</s:v>
      </s:c>
      <s:c r="Q125" s="3">
        <s:f>IF(AND(O125=1,L125=MAX(P$2:P$257)),M125,-1E+99)</s:f>
        <s:v>-1e+99</s:v>
      </s:c>
    </s:row>
    <s:row r="126">
      <s:c r="A126" s="18" t="n">
        <s:v>124</s:v>
      </s:c>
      <s:c r="B126" s="18" t="n">
        <s:v>0</s:v>
      </s:c>
      <s:c r="C126" s="18" t="n">
        <s:v>1</s:v>
      </s:c>
      <s:c r="D126" s="18" t="n">
        <s:v>1</s:v>
      </s:c>
      <s:c r="E126" s="18" t="n">
        <s:v>1</s:v>
      </s:c>
      <s:c r="F126" s="18" t="n">
        <s:v>1</s:v>
      </s:c>
      <s:c r="G126" s="18" t="n">
        <s:v>1</s:v>
      </s:c>
      <s:c r="H126" s="18" t="n">
        <s:v>0</s:v>
      </s:c>
      <s:c r="I126" s="18" t="n">
        <s:v>0</s:v>
      </s:c>
      <s:c r="J126" s="5">
        <s:f>B126*Projects!N2+C126*Projects!N3+D126*Projects!N4+E126*Projects!N5+F126*Projects!N6+G126*Projects!N7+H126*Projects!N8+I126*Projects!N9</s:f>
        <s:v>19600000</s:v>
      </s:c>
      <s:c r="K126" s="2">
        <s:f>B126*Projects!C2+C126*Projects!C3+D126*Projects!C4+E126*Projects!C5+F126*Projects!C6+G126*Projects!C7+H126*Projects!C8+I126*Projects!C9</s:f>
        <s:v>440</s:v>
      </s:c>
      <s:c r="L126" s="2">
        <s:f>B126*Projects!D2+C126*Projects!D3+D126*Projects!D4+E126*Projects!D5+F126*Projects!D6+G126*Projects!D7+H126*Projects!D8+I126*Projects!D9</s:f>
        <s:v>190</s:v>
      </s:c>
      <s:c r="M126" s="5">
        <s:f>B126*Projects!O2+C126*Projects!O3+D126*Projects!O4+E126*Projects!O5+F126*Projects!O6+G126*Projects!O7+H126*Projects!O8+I126*Projects!O9</s:f>
        <s:v>16398821.09734304</s:v>
      </s:c>
      <s:c r="N126" s="2">
        <s:f>B126*(1-Projects!Q2)+C126*(1-Projects!Q3)+D126*(1-Projects!Q4)+E126*(1-Projects!Q5)+F126*(1-Projects!Q6)+G126*(1-Projects!Q7)+H126*(1-Projects!Q8)+I126*(1-Projects!Q9)</s:f>
        <s:v>0</s:v>
      </s:c>
      <s:c r="O126" s="2">
        <s:f>IF(AND(J126&lt;=Inputs!B2,L126&gt;=Inputs!B3,M126&gt;=Inputs!B18,N126=0),1,0)</s:f>
        <s:v>0</s:v>
      </s:c>
      <s:c r="P126" s="2">
        <s:f>IF(O126=1,L126,-1)</s:f>
        <s:v>-1</s:v>
      </s:c>
      <s:c r="Q126" s="2">
        <s:f>IF(AND(O126=1,L126=MAX(P$2:P$257)),M126,-1E+99)</s:f>
        <s:v>-1e+99</s:v>
      </s:c>
    </s:row>
    <s:row r="127">
      <s:c r="A127" s="19" t="n">
        <s:v>125</s:v>
      </s:c>
      <s:c r="B127" s="19" t="n">
        <s:v>0</s:v>
      </s:c>
      <s:c r="C127" s="19" t="n">
        <s:v>1</s:v>
      </s:c>
      <s:c r="D127" s="19" t="n">
        <s:v>1</s:v>
      </s:c>
      <s:c r="E127" s="19" t="n">
        <s:v>1</s:v>
      </s:c>
      <s:c r="F127" s="19" t="n">
        <s:v>1</s:v>
      </s:c>
      <s:c r="G127" s="19" t="n">
        <s:v>1</s:v>
      </s:c>
      <s:c r="H127" s="19" t="n">
        <s:v>0</s:v>
      </s:c>
      <s:c r="I127" s="19" t="n">
        <s:v>1</s:v>
      </s:c>
      <s:c r="J127" s="4">
        <s:f>B127*Projects!N2+C127*Projects!N3+D127*Projects!N4+E127*Projects!N5+F127*Projects!N6+G127*Projects!N7+H127*Projects!N8+I127*Projects!N9</s:f>
        <s:v>24100000</s:v>
      </s:c>
      <s:c r="K127" s="3">
        <s:f>B127*Projects!C2+C127*Projects!C3+D127*Projects!C4+E127*Projects!C5+F127*Projects!C6+G127*Projects!C7+H127*Projects!C8+I127*Projects!C9</s:f>
        <s:v>530</s:v>
      </s:c>
      <s:c r="L127" s="3">
        <s:f>B127*Projects!D2+C127*Projects!D3+D127*Projects!D4+E127*Projects!D5+F127*Projects!D6+G127*Projects!D7+H127*Projects!D8+I127*Projects!D9</s:f>
        <s:v>217</s:v>
      </s:c>
      <s:c r="M127" s="4">
        <s:f>B127*Projects!O2+C127*Projects!O3+D127*Projects!O4+E127*Projects!O5+F127*Projects!O6+G127*Projects!O7+H127*Projects!O8+I127*Projects!O9</s:f>
        <s:v>20855448.522887077</s:v>
      </s:c>
      <s:c r="N127" s="3">
        <s:f>B127*(1-Projects!Q2)+C127*(1-Projects!Q3)+D127*(1-Projects!Q4)+E127*(1-Projects!Q5)+F127*(1-Projects!Q6)+G127*(1-Projects!Q7)+H127*(1-Projects!Q8)+I127*(1-Projects!Q9)</s:f>
        <s:v>0</s:v>
      </s:c>
      <s:c r="O127" s="3">
        <s:f>IF(AND(J127&lt;=Inputs!B2,L127&gt;=Inputs!B3,M127&gt;=Inputs!B18,N127=0),1,0)</s:f>
        <s:v>0</s:v>
      </s:c>
      <s:c r="P127" s="3">
        <s:f>IF(O127=1,L127,-1)</s:f>
        <s:v>-1</s:v>
      </s:c>
      <s:c r="Q127" s="3">
        <s:f>IF(AND(O127=1,L127=MAX(P$2:P$257)),M127,-1E+99)</s:f>
        <s:v>-1e+99</s:v>
      </s:c>
    </s:row>
    <s:row r="128">
      <s:c r="A128" s="18" t="n">
        <s:v>126</s:v>
      </s:c>
      <s:c r="B128" s="18" t="n">
        <s:v>0</s:v>
      </s:c>
      <s:c r="C128" s="18" t="n">
        <s:v>1</s:v>
      </s:c>
      <s:c r="D128" s="18" t="n">
        <s:v>1</s:v>
      </s:c>
      <s:c r="E128" s="18" t="n">
        <s:v>1</s:v>
      </s:c>
      <s:c r="F128" s="18" t="n">
        <s:v>1</s:v>
      </s:c>
      <s:c r="G128" s="18" t="n">
        <s:v>1</s:v>
      </s:c>
      <s:c r="H128" s="18" t="n">
        <s:v>1</s:v>
      </s:c>
      <s:c r="I128" s="18" t="n">
        <s:v>0</s:v>
      </s:c>
      <s:c r="J128" s="5">
        <s:f>B128*Projects!N2+C128*Projects!N3+D128*Projects!N4+E128*Projects!N5+F128*Projects!N6+G128*Projects!N7+H128*Projects!N8+I128*Projects!N9</s:f>
        <s:v>23700000</s:v>
      </s:c>
      <s:c r="K128" s="2">
        <s:f>B128*Projects!C2+C128*Projects!C3+D128*Projects!C4+E128*Projects!C5+F128*Projects!C6+G128*Projects!C7+H128*Projects!C8+I128*Projects!C9</s:f>
        <s:v>550</s:v>
      </s:c>
      <s:c r="L128" s="2">
        <s:f>B128*Projects!D2+C128*Projects!D3+D128*Projects!D4+E128*Projects!D5+F128*Projects!D6+G128*Projects!D7+H128*Projects!D8+I128*Projects!D9</s:f>
        <s:v>256</s:v>
      </s:c>
      <s:c r="M128" s="5">
        <s:f>B128*Projects!O2+C128*Projects!O3+D128*Projects!O4+E128*Projects!O5+F128*Projects!O6+G128*Projects!O7+H128*Projects!O8+I128*Projects!O9</s:f>
        <s:v>19434195.07523235</s:v>
      </s:c>
      <s:c r="N128" s="2">
        <s:f>B128*(1-Projects!Q2)+C128*(1-Projects!Q3)+D128*(1-Projects!Q4)+E128*(1-Projects!Q5)+F128*(1-Projects!Q6)+G128*(1-Projects!Q7)+H128*(1-Projects!Q8)+I128*(1-Projects!Q9)</s:f>
        <s:v>0</s:v>
      </s:c>
      <s:c r="O128" s="2">
        <s:f>IF(AND(J128&lt;=Inputs!B2,L128&gt;=Inputs!B3,M128&gt;=Inputs!B18,N128=0),1,0)</s:f>
        <s:v>0</s:v>
      </s:c>
      <s:c r="P128" s="2">
        <s:f>IF(O128=1,L128,-1)</s:f>
        <s:v>-1</s:v>
      </s:c>
      <s:c r="Q128" s="2">
        <s:f>IF(AND(O128=1,L128=MAX(P$2:P$257)),M128,-1E+99)</s:f>
        <s:v>-1e+99</s:v>
      </s:c>
    </s:row>
    <s:row r="129">
      <s:c r="A129" s="19" t="n">
        <s:v>127</s:v>
      </s:c>
      <s:c r="B129" s="19" t="n">
        <s:v>0</s:v>
      </s:c>
      <s:c r="C129" s="19" t="n">
        <s:v>1</s:v>
      </s:c>
      <s:c r="D129" s="19" t="n">
        <s:v>1</s:v>
      </s:c>
      <s:c r="E129" s="19" t="n">
        <s:v>1</s:v>
      </s:c>
      <s:c r="F129" s="19" t="n">
        <s:v>1</s:v>
      </s:c>
      <s:c r="G129" s="19" t="n">
        <s:v>1</s:v>
      </s:c>
      <s:c r="H129" s="19" t="n">
        <s:v>1</s:v>
      </s:c>
      <s:c r="I129" s="19" t="n">
        <s:v>1</s:v>
      </s:c>
      <s:c r="J129" s="4">
        <s:f>B129*Projects!N2+C129*Projects!N3+D129*Projects!N4+E129*Projects!N5+F129*Projects!N6+G129*Projects!N7+H129*Projects!N8+I129*Projects!N9</s:f>
        <s:v>28200000</s:v>
      </s:c>
      <s:c r="K129" s="3">
        <s:f>B129*Projects!C2+C129*Projects!C3+D129*Projects!C4+E129*Projects!C5+F129*Projects!C6+G129*Projects!C7+H129*Projects!C8+I129*Projects!C9</s:f>
        <s:v>640</s:v>
      </s:c>
      <s:c r="L129" s="3">
        <s:f>B129*Projects!D2+C129*Projects!D3+D129*Projects!D4+E129*Projects!D5+F129*Projects!D6+G129*Projects!D7+H129*Projects!D8+I129*Projects!D9</s:f>
        <s:v>283</s:v>
      </s:c>
      <s:c r="M129" s="4">
        <s:f>B129*Projects!O2+C129*Projects!O3+D129*Projects!O4+E129*Projects!O5+F129*Projects!O6+G129*Projects!O7+H129*Projects!O8+I129*Projects!O9</s:f>
        <s:v>23890822.500776384</s:v>
      </s:c>
      <s:c r="N129" s="3">
        <s:f>B129*(1-Projects!Q2)+C129*(1-Projects!Q3)+D129*(1-Projects!Q4)+E129*(1-Projects!Q5)+F129*(1-Projects!Q6)+G129*(1-Projects!Q7)+H129*(1-Projects!Q8)+I129*(1-Projects!Q9)</s:f>
        <s:v>0</s:v>
      </s:c>
      <s:c r="O129" s="3">
        <s:f>IF(AND(J129&lt;=Inputs!B2,L129&gt;=Inputs!B3,M129&gt;=Inputs!B18,N129=0),1,0)</s:f>
        <s:v>0</s:v>
      </s:c>
      <s:c r="P129" s="3">
        <s:f>IF(O129=1,L129,-1)</s:f>
        <s:v>-1</s:v>
      </s:c>
      <s:c r="Q129" s="3">
        <s:f>IF(AND(O129=1,L129=MAX(P$2:P$257)),M129,-1E+99)</s:f>
        <s:v>-1e+99</s:v>
      </s:c>
    </s:row>
    <s:row r="130">
      <s:c r="A130" s="18" t="n">
        <s:v>128</s:v>
      </s:c>
      <s:c r="B130" s="18" t="n">
        <s:v>1</s:v>
      </s:c>
      <s:c r="C130" s="18" t="n">
        <s:v>0</s:v>
      </s:c>
      <s:c r="D130" s="18" t="n">
        <s:v>0</s:v>
      </s:c>
      <s:c r="E130" s="18" t="n">
        <s:v>0</s:v>
      </s:c>
      <s:c r="F130" s="18" t="n">
        <s:v>0</s:v>
      </s:c>
      <s:c r="G130" s="18" t="n">
        <s:v>0</s:v>
      </s:c>
      <s:c r="H130" s="18" t="n">
        <s:v>0</s:v>
      </s:c>
      <s:c r="I130" s="18" t="n">
        <s:v>0</s:v>
      </s:c>
      <s:c r="J130" s="5">
        <s:f>B130*Projects!N2+C130*Projects!N3+D130*Projects!N4+E130*Projects!N5+F130*Projects!N6+G130*Projects!N7+H130*Projects!N8+I130*Projects!N9</s:f>
        <s:v>4800000</s:v>
      </s:c>
      <s:c r="K130" s="2">
        <s:f>B130*Projects!C2+C130*Projects!C3+D130*Projects!C4+E130*Projects!C5+F130*Projects!C6+G130*Projects!C7+H130*Projects!C8+I130*Projects!C9</s:f>
        <s:v>100</s:v>
      </s:c>
      <s:c r="L130" s="2">
        <s:f>B130*Projects!D2+C130*Projects!D3+D130*Projects!D4+E130*Projects!D5+F130*Projects!D6+G130*Projects!D7+H130*Projects!D8+I130*Projects!D9</s:f>
        <s:v>40</s:v>
      </s:c>
      <s:c r="M130" s="5">
        <s:f>B130*Projects!O2+C130*Projects!O3+D130*Projects!O4+E130*Projects!O5+F130*Projects!O6+G130*Projects!O7+H130*Projects!O8+I130*Projects!O9</s:f>
        <s:v>3996773.3724906584</s:v>
      </s:c>
      <s:c r="N130" s="2">
        <s:f>B130*(1-Projects!Q2)+C130*(1-Projects!Q3)+D130*(1-Projects!Q4)+E130*(1-Projects!Q5)+F130*(1-Projects!Q6)+G130*(1-Projects!Q7)+H130*(1-Projects!Q8)+I130*(1-Projects!Q9)</s:f>
        <s:v>0</s:v>
      </s:c>
      <s:c r="O130" s="2">
        <s:f>IF(AND(J130&lt;=Inputs!B2,L130&gt;=Inputs!B3,M130&gt;=Inputs!B18,N130=0),1,0)</s:f>
        <s:v>0</s:v>
      </s:c>
      <s:c r="P130" s="2">
        <s:f>IF(O130=1,L130,-1)</s:f>
        <s:v>-1</s:v>
      </s:c>
      <s:c r="Q130" s="2">
        <s:f>IF(AND(O130=1,L130=MAX(P$2:P$257)),M130,-1E+99)</s:f>
        <s:v>-1e+99</s:v>
      </s:c>
    </s:row>
    <s:row r="131">
      <s:c r="A131" s="19" t="n">
        <s:v>129</s:v>
      </s:c>
      <s:c r="B131" s="19" t="n">
        <s:v>1</s:v>
      </s:c>
      <s:c r="C131" s="19" t="n">
        <s:v>0</s:v>
      </s:c>
      <s:c r="D131" s="19" t="n">
        <s:v>0</s:v>
      </s:c>
      <s:c r="E131" s="19" t="n">
        <s:v>0</s:v>
      </s:c>
      <s:c r="F131" s="19" t="n">
        <s:v>0</s:v>
      </s:c>
      <s:c r="G131" s="19" t="n">
        <s:v>0</s:v>
      </s:c>
      <s:c r="H131" s="19" t="n">
        <s:v>0</s:v>
      </s:c>
      <s:c r="I131" s="19" t="n">
        <s:v>1</s:v>
      </s:c>
      <s:c r="J131" s="4">
        <s:f>B131*Projects!N2+C131*Projects!N3+D131*Projects!N4+E131*Projects!N5+F131*Projects!N6+G131*Projects!N7+H131*Projects!N8+I131*Projects!N9</s:f>
        <s:v>9300000</s:v>
      </s:c>
      <s:c r="K131" s="3">
        <s:f>B131*Projects!C2+C131*Projects!C3+D131*Projects!C4+E131*Projects!C5+F131*Projects!C6+G131*Projects!C7+H131*Projects!C8+I131*Projects!C9</s:f>
        <s:v>190</s:v>
      </s:c>
      <s:c r="L131" s="3">
        <s:f>B131*Projects!D2+C131*Projects!D3+D131*Projects!D4+E131*Projects!D5+F131*Projects!D6+G131*Projects!D7+H131*Projects!D8+I131*Projects!D9</s:f>
        <s:v>67</s:v>
      </s:c>
      <s:c r="M131" s="4">
        <s:f>B131*Projects!O2+C131*Projects!O3+D131*Projects!O4+E131*Projects!O5+F131*Projects!O6+G131*Projects!O7+H131*Projects!O8+I131*Projects!O9</s:f>
        <s:v>8453400.798034694</s:v>
      </s:c>
      <s:c r="N131" s="3">
        <s:f>B131*(1-Projects!Q2)+C131*(1-Projects!Q3)+D131*(1-Projects!Q4)+E131*(1-Projects!Q5)+F131*(1-Projects!Q6)+G131*(1-Projects!Q7)+H131*(1-Projects!Q8)+I131*(1-Projects!Q9)</s:f>
        <s:v>0</s:v>
      </s:c>
      <s:c r="O131" s="3">
        <s:f>IF(AND(J131&lt;=Inputs!B2,L131&gt;=Inputs!B3,M131&gt;=Inputs!B18,N131=0),1,0)</s:f>
        <s:v>0</s:v>
      </s:c>
      <s:c r="P131" s="3">
        <s:f>IF(O131=1,L131,-1)</s:f>
        <s:v>-1</s:v>
      </s:c>
      <s:c r="Q131" s="3">
        <s:f>IF(AND(O131=1,L131=MAX(P$2:P$257)),M131,-1E+99)</s:f>
        <s:v>-1e+99</s:v>
      </s:c>
    </s:row>
    <s:row r="132">
      <s:c r="A132" s="18" t="n">
        <s:v>130</s:v>
      </s:c>
      <s:c r="B132" s="18" t="n">
        <s:v>1</s:v>
      </s:c>
      <s:c r="C132" s="18" t="n">
        <s:v>0</s:v>
      </s:c>
      <s:c r="D132" s="18" t="n">
        <s:v>0</s:v>
      </s:c>
      <s:c r="E132" s="18" t="n">
        <s:v>0</s:v>
      </s:c>
      <s:c r="F132" s="18" t="n">
        <s:v>0</s:v>
      </s:c>
      <s:c r="G132" s="18" t="n">
        <s:v>0</s:v>
      </s:c>
      <s:c r="H132" s="18" t="n">
        <s:v>1</s:v>
      </s:c>
      <s:c r="I132" s="18" t="n">
        <s:v>0</s:v>
      </s:c>
      <s:c r="J132" s="5">
        <s:f>B132*Projects!N2+C132*Projects!N3+D132*Projects!N4+E132*Projects!N5+F132*Projects!N6+G132*Projects!N7+H132*Projects!N8+I132*Projects!N9</s:f>
        <s:v>8900000</s:v>
      </s:c>
      <s:c r="K132" s="2">
        <s:f>B132*Projects!C2+C132*Projects!C3+D132*Projects!C4+E132*Projects!C5+F132*Projects!C6+G132*Projects!C7+H132*Projects!C8+I132*Projects!C9</s:f>
        <s:v>210</s:v>
      </s:c>
      <s:c r="L132" s="2">
        <s:f>B132*Projects!D2+C132*Projects!D3+D132*Projects!D4+E132*Projects!D5+F132*Projects!D6+G132*Projects!D7+H132*Projects!D8+I132*Projects!D9</s:f>
        <s:v>106</s:v>
      </s:c>
      <s:c r="M132" s="5">
        <s:f>B132*Projects!O2+C132*Projects!O3+D132*Projects!O4+E132*Projects!O5+F132*Projects!O6+G132*Projects!O7+H132*Projects!O8+I132*Projects!O9</s:f>
        <s:v>7032147.350379966</s:v>
      </s:c>
      <s:c r="N132" s="2">
        <s:f>B132*(1-Projects!Q2)+C132*(1-Projects!Q3)+D132*(1-Projects!Q4)+E132*(1-Projects!Q5)+F132*(1-Projects!Q6)+G132*(1-Projects!Q7)+H132*(1-Projects!Q8)+I132*(1-Projects!Q9)</s:f>
        <s:v>0</s:v>
      </s:c>
      <s:c r="O132" s="2">
        <s:f>IF(AND(J132&lt;=Inputs!B2,L132&gt;=Inputs!B3,M132&gt;=Inputs!B18,N132=0),1,0)</s:f>
        <s:v>1</s:v>
      </s:c>
      <s:c r="P132" s="2">
        <s:f>IF(O132=1,L132,-1)</s:f>
        <s:v>106</s:v>
      </s:c>
      <s:c r="Q132" s="2">
        <s:f>IF(AND(O132=1,L132=MAX(P$2:P$257)),M132,-1E+99)</s:f>
        <s:v>-1e+99</s:v>
      </s:c>
    </s:row>
    <s:row r="133">
      <s:c r="A133" s="19" t="n">
        <s:v>131</s:v>
      </s:c>
      <s:c r="B133" s="19" t="n">
        <s:v>1</s:v>
      </s:c>
      <s:c r="C133" s="19" t="n">
        <s:v>0</s:v>
      </s:c>
      <s:c r="D133" s="19" t="n">
        <s:v>0</s:v>
      </s:c>
      <s:c r="E133" s="19" t="n">
        <s:v>0</s:v>
      </s:c>
      <s:c r="F133" s="19" t="n">
        <s:v>0</s:v>
      </s:c>
      <s:c r="G133" s="19" t="n">
        <s:v>0</s:v>
      </s:c>
      <s:c r="H133" s="19" t="n">
        <s:v>1</s:v>
      </s:c>
      <s:c r="I133" s="19" t="n">
        <s:v>1</s:v>
      </s:c>
      <s:c r="J133" s="4">
        <s:f>B133*Projects!N2+C133*Projects!N3+D133*Projects!N4+E133*Projects!N5+F133*Projects!N6+G133*Projects!N7+H133*Projects!N8+I133*Projects!N9</s:f>
        <s:v>13400000</s:v>
      </s:c>
      <s:c r="K133" s="3">
        <s:f>B133*Projects!C2+C133*Projects!C3+D133*Projects!C4+E133*Projects!C5+F133*Projects!C6+G133*Projects!C7+H133*Projects!C8+I133*Projects!C9</s:f>
        <s:v>300</s:v>
      </s:c>
      <s:c r="L133" s="3">
        <s:f>B133*Projects!D2+C133*Projects!D3+D133*Projects!D4+E133*Projects!D5+F133*Projects!D6+G133*Projects!D7+H133*Projects!D8+I133*Projects!D9</s:f>
        <s:v>133</s:v>
      </s:c>
      <s:c r="M133" s="4">
        <s:f>B133*Projects!O2+C133*Projects!O3+D133*Projects!O4+E133*Projects!O5+F133*Projects!O6+G133*Projects!O7+H133*Projects!O8+I133*Projects!O9</s:f>
        <s:v>11488774.775924</s:v>
      </s:c>
      <s:c r="N133" s="3">
        <s:f>B133*(1-Projects!Q2)+C133*(1-Projects!Q3)+D133*(1-Projects!Q4)+E133*(1-Projects!Q5)+F133*(1-Projects!Q6)+G133*(1-Projects!Q7)+H133*(1-Projects!Q8)+I133*(1-Projects!Q9)</s:f>
        <s:v>0</s:v>
      </s:c>
      <s:c r="O133" s="3">
        <s:f>IF(AND(J133&lt;=Inputs!B2,L133&gt;=Inputs!B3,M133&gt;=Inputs!B18,N133=0),1,0)</s:f>
        <s:v>1</s:v>
      </s:c>
      <s:c r="P133" s="3">
        <s:f>IF(O133=1,L133,-1)</s:f>
        <s:v>133</s:v>
      </s:c>
      <s:c r="Q133" s="3">
        <s:f>IF(AND(O133=1,L133=MAX(P$2:P$257)),M133,-1E+99)</s:f>
        <s:v>-1e+99</s:v>
      </s:c>
    </s:row>
    <s:row r="134">
      <s:c r="A134" s="18" t="n">
        <s:v>132</s:v>
      </s:c>
      <s:c r="B134" s="18" t="n">
        <s:v>1</s:v>
      </s:c>
      <s:c r="C134" s="18" t="n">
        <s:v>0</s:v>
      </s:c>
      <s:c r="D134" s="18" t="n">
        <s:v>0</s:v>
      </s:c>
      <s:c r="E134" s="18" t="n">
        <s:v>0</s:v>
      </s:c>
      <s:c r="F134" s="18" t="n">
        <s:v>0</s:v>
      </s:c>
      <s:c r="G134" s="18" t="n">
        <s:v>1</s:v>
      </s:c>
      <s:c r="H134" s="18" t="n">
        <s:v>0</s:v>
      </s:c>
      <s:c r="I134" s="18" t="n">
        <s:v>0</s:v>
      </s:c>
      <s:c r="J134" s="5">
        <s:f>B134*Projects!N2+C134*Projects!N3+D134*Projects!N4+E134*Projects!N5+F134*Projects!N6+G134*Projects!N7+H134*Projects!N8+I134*Projects!N9</s:f>
        <s:v>8000000</s:v>
      </s:c>
      <s:c r="K134" s="2">
        <s:f>B134*Projects!C2+C134*Projects!C3+D134*Projects!C4+E134*Projects!C5+F134*Projects!C6+G134*Projects!C7+H134*Projects!C8+I134*Projects!C9</s:f>
        <s:v>180</s:v>
      </s:c>
      <s:c r="L134" s="2">
        <s:f>B134*Projects!D2+C134*Projects!D3+D134*Projects!D4+E134*Projects!D5+F134*Projects!D6+G134*Projects!D7+H134*Projects!D8+I134*Projects!D9</s:f>
        <s:v>80</s:v>
      </s:c>
      <s:c r="M134" s="5">
        <s:f>B134*Projects!O2+C134*Projects!O3+D134*Projects!O4+E134*Projects!O5+F134*Projects!O6+G134*Projects!O7+H134*Projects!O8+I134*Projects!O9</s:f>
        <s:v>6506951.9923596615</s:v>
      </s:c>
      <s:c r="N134" s="2">
        <s:f>B134*(1-Projects!Q2)+C134*(1-Projects!Q3)+D134*(1-Projects!Q4)+E134*(1-Projects!Q5)+F134*(1-Projects!Q6)+G134*(1-Projects!Q7)+H134*(1-Projects!Q8)+I134*(1-Projects!Q9)</s:f>
        <s:v>0</s:v>
      </s:c>
      <s:c r="O134" s="2">
        <s:f>IF(AND(J134&lt;=Inputs!B2,L134&gt;=Inputs!B3,M134&gt;=Inputs!B18,N134=0),1,0)</s:f>
        <s:v>1</s:v>
      </s:c>
      <s:c r="P134" s="2">
        <s:f>IF(O134=1,L134,-1)</s:f>
        <s:v>80</s:v>
      </s:c>
      <s:c r="Q134" s="2">
        <s:f>IF(AND(O134=1,L134=MAX(P$2:P$257)),M134,-1E+99)</s:f>
        <s:v>-1e+99</s:v>
      </s:c>
    </s:row>
    <s:row r="135">
      <s:c r="A135" s="19" t="n">
        <s:v>133</s:v>
      </s:c>
      <s:c r="B135" s="19" t="n">
        <s:v>1</s:v>
      </s:c>
      <s:c r="C135" s="19" t="n">
        <s:v>0</s:v>
      </s:c>
      <s:c r="D135" s="19" t="n">
        <s:v>0</s:v>
      </s:c>
      <s:c r="E135" s="19" t="n">
        <s:v>0</s:v>
      </s:c>
      <s:c r="F135" s="19" t="n">
        <s:v>0</s:v>
      </s:c>
      <s:c r="G135" s="19" t="n">
        <s:v>1</s:v>
      </s:c>
      <s:c r="H135" s="19" t="n">
        <s:v>0</s:v>
      </s:c>
      <s:c r="I135" s="19" t="n">
        <s:v>1</s:v>
      </s:c>
      <s:c r="J135" s="4">
        <s:f>B135*Projects!N2+C135*Projects!N3+D135*Projects!N4+E135*Projects!N5+F135*Projects!N6+G135*Projects!N7+H135*Projects!N8+I135*Projects!N9</s:f>
        <s:v>12500000</s:v>
      </s:c>
      <s:c r="K135" s="3">
        <s:f>B135*Projects!C2+C135*Projects!C3+D135*Projects!C4+E135*Projects!C5+F135*Projects!C6+G135*Projects!C7+H135*Projects!C8+I135*Projects!C9</s:f>
        <s:v>270</s:v>
      </s:c>
      <s:c r="L135" s="3">
        <s:f>B135*Projects!D2+C135*Projects!D3+D135*Projects!D4+E135*Projects!D5+F135*Projects!D6+G135*Projects!D7+H135*Projects!D8+I135*Projects!D9</s:f>
        <s:v>107</s:v>
      </s:c>
      <s:c r="M135" s="4">
        <s:f>B135*Projects!O2+C135*Projects!O3+D135*Projects!O4+E135*Projects!O5+F135*Projects!O6+G135*Projects!O7+H135*Projects!O8+I135*Projects!O9</s:f>
        <s:v>10963579.417903697</s:v>
      </s:c>
      <s:c r="N135" s="3">
        <s:f>B135*(1-Projects!Q2)+C135*(1-Projects!Q3)+D135*(1-Projects!Q4)+E135*(1-Projects!Q5)+F135*(1-Projects!Q6)+G135*(1-Projects!Q7)+H135*(1-Projects!Q8)+I135*(1-Projects!Q9)</s:f>
        <s:v>0</s:v>
      </s:c>
      <s:c r="O135" s="3">
        <s:f>IF(AND(J135&lt;=Inputs!B2,L135&gt;=Inputs!B3,M135&gt;=Inputs!B18,N135=0),1,0)</s:f>
        <s:v>1</s:v>
      </s:c>
      <s:c r="P135" s="3">
        <s:f>IF(O135=1,L135,-1)</s:f>
        <s:v>107</s:v>
      </s:c>
      <s:c r="Q135" s="3">
        <s:f>IF(AND(O135=1,L135=MAX(P$2:P$257)),M135,-1E+99)</s:f>
        <s:v>-1e+99</s:v>
      </s:c>
    </s:row>
    <s:row r="136">
      <s:c r="A136" s="18" t="n">
        <s:v>134</s:v>
      </s:c>
      <s:c r="B136" s="18" t="n">
        <s:v>1</s:v>
      </s:c>
      <s:c r="C136" s="18" t="n">
        <s:v>0</s:v>
      </s:c>
      <s:c r="D136" s="18" t="n">
        <s:v>0</s:v>
      </s:c>
      <s:c r="E136" s="18" t="n">
        <s:v>0</s:v>
      </s:c>
      <s:c r="F136" s="18" t="n">
        <s:v>0</s:v>
      </s:c>
      <s:c r="G136" s="18" t="n">
        <s:v>1</s:v>
      </s:c>
      <s:c r="H136" s="18" t="n">
        <s:v>1</s:v>
      </s:c>
      <s:c r="I136" s="18" t="n">
        <s:v>0</s:v>
      </s:c>
      <s:c r="J136" s="5">
        <s:f>B136*Projects!N2+C136*Projects!N3+D136*Projects!N4+E136*Projects!N5+F136*Projects!N6+G136*Projects!N7+H136*Projects!N8+I136*Projects!N9</s:f>
        <s:v>12100000</s:v>
      </s:c>
      <s:c r="K136" s="2">
        <s:f>B136*Projects!C2+C136*Projects!C3+D136*Projects!C4+E136*Projects!C5+F136*Projects!C6+G136*Projects!C7+H136*Projects!C8+I136*Projects!C9</s:f>
        <s:v>290</s:v>
      </s:c>
      <s:c r="L136" s="2">
        <s:f>B136*Projects!D2+C136*Projects!D3+D136*Projects!D4+E136*Projects!D5+F136*Projects!D6+G136*Projects!D7+H136*Projects!D8+I136*Projects!D9</s:f>
        <s:v>146</s:v>
      </s:c>
      <s:c r="M136" s="5">
        <s:f>B136*Projects!O2+C136*Projects!O3+D136*Projects!O4+E136*Projects!O5+F136*Projects!O6+G136*Projects!O7+H136*Projects!O8+I136*Projects!O9</s:f>
        <s:v>9542325.97024897</s:v>
      </s:c>
      <s:c r="N136" s="2">
        <s:f>B136*(1-Projects!Q2)+C136*(1-Projects!Q3)+D136*(1-Projects!Q4)+E136*(1-Projects!Q5)+F136*(1-Projects!Q6)+G136*(1-Projects!Q7)+H136*(1-Projects!Q8)+I136*(1-Projects!Q9)</s:f>
        <s:v>0</s:v>
      </s:c>
      <s:c r="O136" s="2">
        <s:f>IF(AND(J136&lt;=Inputs!B2,L136&gt;=Inputs!B3,M136&gt;=Inputs!B18,N136=0),1,0)</s:f>
        <s:v>1</s:v>
      </s:c>
      <s:c r="P136" s="2">
        <s:f>IF(O136=1,L136,-1)</s:f>
        <s:v>146</s:v>
      </s:c>
      <s:c r="Q136" s="2">
        <s:f>IF(AND(O136=1,L136=MAX(P$2:P$257)),M136,-1E+99)</s:f>
        <s:v>-1e+99</s:v>
      </s:c>
    </s:row>
    <s:row r="137">
      <s:c r="A137" s="19" t="n">
        <s:v>135</s:v>
      </s:c>
      <s:c r="B137" s="19" t="n">
        <s:v>1</s:v>
      </s:c>
      <s:c r="C137" s="19" t="n">
        <s:v>0</s:v>
      </s:c>
      <s:c r="D137" s="19" t="n">
        <s:v>0</s:v>
      </s:c>
      <s:c r="E137" s="19" t="n">
        <s:v>0</s:v>
      </s:c>
      <s:c r="F137" s="19" t="n">
        <s:v>0</s:v>
      </s:c>
      <s:c r="G137" s="19" t="n">
        <s:v>1</s:v>
      </s:c>
      <s:c r="H137" s="19" t="n">
        <s:v>1</s:v>
      </s:c>
      <s:c r="I137" s="19" t="n">
        <s:v>1</s:v>
      </s:c>
      <s:c r="J137" s="4">
        <s:f>B137*Projects!N2+C137*Projects!N3+D137*Projects!N4+E137*Projects!N5+F137*Projects!N6+G137*Projects!N7+H137*Projects!N8+I137*Projects!N9</s:f>
        <s:v>16600000</s:v>
      </s:c>
      <s:c r="K137" s="3">
        <s:f>B137*Projects!C2+C137*Projects!C3+D137*Projects!C4+E137*Projects!C5+F137*Projects!C6+G137*Projects!C7+H137*Projects!C8+I137*Projects!C9</s:f>
        <s:v>380</s:v>
      </s:c>
      <s:c r="L137" s="3">
        <s:f>B137*Projects!D2+C137*Projects!D3+D137*Projects!D4+E137*Projects!D5+F137*Projects!D6+G137*Projects!D7+H137*Projects!D8+I137*Projects!D9</s:f>
        <s:v>173</s:v>
      </s:c>
      <s:c r="M137" s="4">
        <s:f>B137*Projects!O2+C137*Projects!O3+D137*Projects!O4+E137*Projects!O5+F137*Projects!O6+G137*Projects!O7+H137*Projects!O8+I137*Projects!O9</s:f>
        <s:v>13998953.395793006</s:v>
      </s:c>
      <s:c r="N137" s="3">
        <s:f>B137*(1-Projects!Q2)+C137*(1-Projects!Q3)+D137*(1-Projects!Q4)+E137*(1-Projects!Q5)+F137*(1-Projects!Q6)+G137*(1-Projects!Q7)+H137*(1-Projects!Q8)+I137*(1-Projects!Q9)</s:f>
        <s:v>0</s:v>
      </s:c>
      <s:c r="O137" s="3">
        <s:f>IF(AND(J137&lt;=Inputs!B2,L137&gt;=Inputs!B3,M137&gt;=Inputs!B18,N137=0),1,0)</s:f>
        <s:v>0</s:v>
      </s:c>
      <s:c r="P137" s="3">
        <s:f>IF(O137=1,L137,-1)</s:f>
        <s:v>-1</s:v>
      </s:c>
      <s:c r="Q137" s="3">
        <s:f>IF(AND(O137=1,L137=MAX(P$2:P$257)),M137,-1E+99)</s:f>
        <s:v>-1e+99</s:v>
      </s:c>
    </s:row>
    <s:row r="138">
      <s:c r="A138" s="18" t="n">
        <s:v>136</s:v>
      </s:c>
      <s:c r="B138" s="18" t="n">
        <s:v>1</s:v>
      </s:c>
      <s:c r="C138" s="18" t="n">
        <s:v>0</s:v>
      </s:c>
      <s:c r="D138" s="18" t="n">
        <s:v>0</s:v>
      </s:c>
      <s:c r="E138" s="18" t="n">
        <s:v>0</s:v>
      </s:c>
      <s:c r="F138" s="18" t="n">
        <s:v>1</s:v>
      </s:c>
      <s:c r="G138" s="18" t="n">
        <s:v>0</s:v>
      </s:c>
      <s:c r="H138" s="18" t="n">
        <s:v>0</s:v>
      </s:c>
      <s:c r="I138" s="18" t="n">
        <s:v>0</s:v>
      </s:c>
      <s:c r="J138" s="5">
        <s:f>B138*Projects!N2+C138*Projects!N3+D138*Projects!N4+E138*Projects!N5+F138*Projects!N6+G138*Projects!N7+H138*Projects!N8+I138*Projects!N9</s:f>
        <s:v>8600000</s:v>
      </s:c>
      <s:c r="K138" s="2">
        <s:f>B138*Projects!C2+C138*Projects!C3+D138*Projects!C4+E138*Projects!C5+F138*Projects!C6+G138*Projects!C7+H138*Projects!C8+I138*Projects!C9</s:f>
        <s:v>190</s:v>
      </s:c>
      <s:c r="L138" s="2">
        <s:f>B138*Projects!D2+C138*Projects!D3+D138*Projects!D4+E138*Projects!D5+F138*Projects!D6+G138*Projects!D7+H138*Projects!D8+I138*Projects!D9</s:f>
        <s:v>85</s:v>
      </s:c>
      <s:c r="M138" s="5">
        <s:f>B138*Projects!O2+C138*Projects!O3+D138*Projects!O4+E138*Projects!O5+F138*Projects!O6+G138*Projects!O7+H138*Projects!O8+I138*Projects!O9</s:f>
        <s:v>6998735.734498721</s:v>
      </s:c>
      <s:c r="N138" s="2">
        <s:f>B138*(1-Projects!Q2)+C138*(1-Projects!Q3)+D138*(1-Projects!Q4)+E138*(1-Projects!Q5)+F138*(1-Projects!Q6)+G138*(1-Projects!Q7)+H138*(1-Projects!Q8)+I138*(1-Projects!Q9)</s:f>
        <s:v>0</s:v>
      </s:c>
      <s:c r="O138" s="2">
        <s:f>IF(AND(J138&lt;=Inputs!B2,L138&gt;=Inputs!B3,M138&gt;=Inputs!B18,N138=0),1,0)</s:f>
        <s:v>1</s:v>
      </s:c>
      <s:c r="P138" s="2">
        <s:f>IF(O138=1,L138,-1)</s:f>
        <s:v>85</s:v>
      </s:c>
      <s:c r="Q138" s="2">
        <s:f>IF(AND(O138=1,L138=MAX(P$2:P$257)),M138,-1E+99)</s:f>
        <s:v>-1e+99</s:v>
      </s:c>
    </s:row>
    <s:row r="139">
      <s:c r="A139" s="19" t="n">
        <s:v>137</s:v>
      </s:c>
      <s:c r="B139" s="19" t="n">
        <s:v>1</s:v>
      </s:c>
      <s:c r="C139" s="19" t="n">
        <s:v>0</s:v>
      </s:c>
      <s:c r="D139" s="19" t="n">
        <s:v>0</s:v>
      </s:c>
      <s:c r="E139" s="19" t="n">
        <s:v>0</s:v>
      </s:c>
      <s:c r="F139" s="19" t="n">
        <s:v>1</s:v>
      </s:c>
      <s:c r="G139" s="19" t="n">
        <s:v>0</s:v>
      </s:c>
      <s:c r="H139" s="19" t="n">
        <s:v>0</s:v>
      </s:c>
      <s:c r="I139" s="19" t="n">
        <s:v>1</s:v>
      </s:c>
      <s:c r="J139" s="4">
        <s:f>B139*Projects!N2+C139*Projects!N3+D139*Projects!N4+E139*Projects!N5+F139*Projects!N6+G139*Projects!N7+H139*Projects!N8+I139*Projects!N9</s:f>
        <s:v>13100000</s:v>
      </s:c>
      <s:c r="K139" s="3">
        <s:f>B139*Projects!C2+C139*Projects!C3+D139*Projects!C4+E139*Projects!C5+F139*Projects!C6+G139*Projects!C7+H139*Projects!C8+I139*Projects!C9</s:f>
        <s:v>280</s:v>
      </s:c>
      <s:c r="L139" s="3">
        <s:f>B139*Projects!D2+C139*Projects!D3+D139*Projects!D4+E139*Projects!D5+F139*Projects!D6+G139*Projects!D7+H139*Projects!D8+I139*Projects!D9</s:f>
        <s:v>112</s:v>
      </s:c>
      <s:c r="M139" s="4">
        <s:f>B139*Projects!O2+C139*Projects!O3+D139*Projects!O4+E139*Projects!O5+F139*Projects!O6+G139*Projects!O7+H139*Projects!O8+I139*Projects!O9</s:f>
        <s:v>11455363.160042755</s:v>
      </s:c>
      <s:c r="N139" s="3">
        <s:f>B139*(1-Projects!Q2)+C139*(1-Projects!Q3)+D139*(1-Projects!Q4)+E139*(1-Projects!Q5)+F139*(1-Projects!Q6)+G139*(1-Projects!Q7)+H139*(1-Projects!Q8)+I139*(1-Projects!Q9)</s:f>
        <s:v>0</s:v>
      </s:c>
      <s:c r="O139" s="3">
        <s:f>IF(AND(J139&lt;=Inputs!B2,L139&gt;=Inputs!B3,M139&gt;=Inputs!B18,N139=0),1,0)</s:f>
        <s:v>1</s:v>
      </s:c>
      <s:c r="P139" s="3">
        <s:f>IF(O139=1,L139,-1)</s:f>
        <s:v>112</s:v>
      </s:c>
      <s:c r="Q139" s="3">
        <s:f>IF(AND(O139=1,L139=MAX(P$2:P$257)),M139,-1E+99)</s:f>
        <s:v>-1e+99</s:v>
      </s:c>
    </s:row>
    <s:row r="140">
      <s:c r="A140" s="18" t="n">
        <s:v>138</s:v>
      </s:c>
      <s:c r="B140" s="18" t="n">
        <s:v>1</s:v>
      </s:c>
      <s:c r="C140" s="18" t="n">
        <s:v>0</s:v>
      </s:c>
      <s:c r="D140" s="18" t="n">
        <s:v>0</s:v>
      </s:c>
      <s:c r="E140" s="18" t="n">
        <s:v>0</s:v>
      </s:c>
      <s:c r="F140" s="18" t="n">
        <s:v>1</s:v>
      </s:c>
      <s:c r="G140" s="18" t="n">
        <s:v>0</s:v>
      </s:c>
      <s:c r="H140" s="18" t="n">
        <s:v>1</s:v>
      </s:c>
      <s:c r="I140" s="18" t="n">
        <s:v>0</s:v>
      </s:c>
      <s:c r="J140" s="5">
        <s:f>B140*Projects!N2+C140*Projects!N3+D140*Projects!N4+E140*Projects!N5+F140*Projects!N6+G140*Projects!N7+H140*Projects!N8+I140*Projects!N9</s:f>
        <s:v>12700000</s:v>
      </s:c>
      <s:c r="K140" s="2">
        <s:f>B140*Projects!C2+C140*Projects!C3+D140*Projects!C4+E140*Projects!C5+F140*Projects!C6+G140*Projects!C7+H140*Projects!C8+I140*Projects!C9</s:f>
        <s:v>300</s:v>
      </s:c>
      <s:c r="L140" s="2">
        <s:f>B140*Projects!D2+C140*Projects!D3+D140*Projects!D4+E140*Projects!D5+F140*Projects!D6+G140*Projects!D7+H140*Projects!D8+I140*Projects!D9</s:f>
        <s:v>151</s:v>
      </s:c>
      <s:c r="M140" s="5">
        <s:f>B140*Projects!O2+C140*Projects!O3+D140*Projects!O4+E140*Projects!O5+F140*Projects!O6+G140*Projects!O7+H140*Projects!O8+I140*Projects!O9</s:f>
        <s:v>10034109.712388027</s:v>
      </s:c>
      <s:c r="N140" s="2">
        <s:f>B140*(1-Projects!Q2)+C140*(1-Projects!Q3)+D140*(1-Projects!Q4)+E140*(1-Projects!Q5)+F140*(1-Projects!Q6)+G140*(1-Projects!Q7)+H140*(1-Projects!Q8)+I140*(1-Projects!Q9)</s:f>
        <s:v>0</s:v>
      </s:c>
      <s:c r="O140" s="2">
        <s:f>IF(AND(J140&lt;=Inputs!B2,L140&gt;=Inputs!B3,M140&gt;=Inputs!B18,N140=0),1,0)</s:f>
        <s:v>1</s:v>
      </s:c>
      <s:c r="P140" s="2">
        <s:f>IF(O140=1,L140,-1)</s:f>
        <s:v>151</s:v>
      </s:c>
      <s:c r="Q140" s="2">
        <s:f>IF(AND(O140=1,L140=MAX(P$2:P$257)),M140,-1E+99)</s:f>
        <s:v>-1e+99</s:v>
      </s:c>
    </s:row>
    <s:row r="141">
      <s:c r="A141" s="19" t="n">
        <s:v>139</s:v>
      </s:c>
      <s:c r="B141" s="19" t="n">
        <s:v>1</s:v>
      </s:c>
      <s:c r="C141" s="19" t="n">
        <s:v>0</s:v>
      </s:c>
      <s:c r="D141" s="19" t="n">
        <s:v>0</s:v>
      </s:c>
      <s:c r="E141" s="19" t="n">
        <s:v>0</s:v>
      </s:c>
      <s:c r="F141" s="19" t="n">
        <s:v>1</s:v>
      </s:c>
      <s:c r="G141" s="19" t="n">
        <s:v>0</s:v>
      </s:c>
      <s:c r="H141" s="19" t="n">
        <s:v>1</s:v>
      </s:c>
      <s:c r="I141" s="19" t="n">
        <s:v>1</s:v>
      </s:c>
      <s:c r="J141" s="4">
        <s:f>B141*Projects!N2+C141*Projects!N3+D141*Projects!N4+E141*Projects!N5+F141*Projects!N6+G141*Projects!N7+H141*Projects!N8+I141*Projects!N9</s:f>
        <s:v>17200000</s:v>
      </s:c>
      <s:c r="K141" s="3">
        <s:f>B141*Projects!C2+C141*Projects!C3+D141*Projects!C4+E141*Projects!C5+F141*Projects!C6+G141*Projects!C7+H141*Projects!C8+I141*Projects!C9</s:f>
        <s:v>390</s:v>
      </s:c>
      <s:c r="L141" s="3">
        <s:f>B141*Projects!D2+C141*Projects!D3+D141*Projects!D4+E141*Projects!D5+F141*Projects!D6+G141*Projects!D7+H141*Projects!D8+I141*Projects!D9</s:f>
        <s:v>178</s:v>
      </s:c>
      <s:c r="M141" s="4">
        <s:f>B141*Projects!O2+C141*Projects!O3+D141*Projects!O4+E141*Projects!O5+F141*Projects!O6+G141*Projects!O7+H141*Projects!O8+I141*Projects!O9</s:f>
        <s:v>14490737.137932062</s:v>
      </s:c>
      <s:c r="N141" s="3">
        <s:f>B141*(1-Projects!Q2)+C141*(1-Projects!Q3)+D141*(1-Projects!Q4)+E141*(1-Projects!Q5)+F141*(1-Projects!Q6)+G141*(1-Projects!Q7)+H141*(1-Projects!Q8)+I141*(1-Projects!Q9)</s:f>
        <s:v>0</s:v>
      </s:c>
      <s:c r="O141" s="3">
        <s:f>IF(AND(J141&lt;=Inputs!B2,L141&gt;=Inputs!B3,M141&gt;=Inputs!B18,N141=0),1,0)</s:f>
        <s:v>0</s:v>
      </s:c>
      <s:c r="P141" s="3">
        <s:f>IF(O141=1,L141,-1)</s:f>
        <s:v>-1</s:v>
      </s:c>
      <s:c r="Q141" s="3">
        <s:f>IF(AND(O141=1,L141=MAX(P$2:P$257)),M141,-1E+99)</s:f>
        <s:v>-1e+99</s:v>
      </s:c>
    </s:row>
    <s:row r="142">
      <s:c r="A142" s="18" t="n">
        <s:v>140</s:v>
      </s:c>
      <s:c r="B142" s="18" t="n">
        <s:v>1</s:v>
      </s:c>
      <s:c r="C142" s="18" t="n">
        <s:v>0</s:v>
      </s:c>
      <s:c r="D142" s="18" t="n">
        <s:v>0</s:v>
      </s:c>
      <s:c r="E142" s="18" t="n">
        <s:v>0</s:v>
      </s:c>
      <s:c r="F142" s="18" t="n">
        <s:v>1</s:v>
      </s:c>
      <s:c r="G142" s="18" t="n">
        <s:v>1</s:v>
      </s:c>
      <s:c r="H142" s="18" t="n">
        <s:v>0</s:v>
      </s:c>
      <s:c r="I142" s="18" t="n">
        <s:v>0</s:v>
      </s:c>
      <s:c r="J142" s="5">
        <s:f>B142*Projects!N2+C142*Projects!N3+D142*Projects!N4+E142*Projects!N5+F142*Projects!N6+G142*Projects!N7+H142*Projects!N8+I142*Projects!N9</s:f>
        <s:v>11800000</s:v>
      </s:c>
      <s:c r="K142" s="2">
        <s:f>B142*Projects!C2+C142*Projects!C3+D142*Projects!C4+E142*Projects!C5+F142*Projects!C6+G142*Projects!C7+H142*Projects!C8+I142*Projects!C9</s:f>
        <s:v>270</s:v>
      </s:c>
      <s:c r="L142" s="2">
        <s:f>B142*Projects!D2+C142*Projects!D3+D142*Projects!D4+E142*Projects!D5+F142*Projects!D6+G142*Projects!D7+H142*Projects!D8+I142*Projects!D9</s:f>
        <s:v>125</s:v>
      </s:c>
      <s:c r="M142" s="5">
        <s:f>B142*Projects!O2+C142*Projects!O3+D142*Projects!O4+E142*Projects!O5+F142*Projects!O6+G142*Projects!O7+H142*Projects!O8+I142*Projects!O9</s:f>
        <s:v>9508914.354367724</s:v>
      </s:c>
      <s:c r="N142" s="2">
        <s:f>B142*(1-Projects!Q2)+C142*(1-Projects!Q3)+D142*(1-Projects!Q4)+E142*(1-Projects!Q5)+F142*(1-Projects!Q6)+G142*(1-Projects!Q7)+H142*(1-Projects!Q8)+I142*(1-Projects!Q9)</s:f>
        <s:v>0</s:v>
      </s:c>
      <s:c r="O142" s="2">
        <s:f>IF(AND(J142&lt;=Inputs!B2,L142&gt;=Inputs!B3,M142&gt;=Inputs!B18,N142=0),1,0)</s:f>
        <s:v>1</s:v>
      </s:c>
      <s:c r="P142" s="2">
        <s:f>IF(O142=1,L142,-1)</s:f>
        <s:v>125</s:v>
      </s:c>
      <s:c r="Q142" s="2">
        <s:f>IF(AND(O142=1,L142=MAX(P$2:P$257)),M142,-1E+99)</s:f>
        <s:v>-1e+99</s:v>
      </s:c>
    </s:row>
    <s:row r="143">
      <s:c r="A143" s="19" t="n">
        <s:v>141</s:v>
      </s:c>
      <s:c r="B143" s="19" t="n">
        <s:v>1</s:v>
      </s:c>
      <s:c r="C143" s="19" t="n">
        <s:v>0</s:v>
      </s:c>
      <s:c r="D143" s="19" t="n">
        <s:v>0</s:v>
      </s:c>
      <s:c r="E143" s="19" t="n">
        <s:v>0</s:v>
      </s:c>
      <s:c r="F143" s="19" t="n">
        <s:v>1</s:v>
      </s:c>
      <s:c r="G143" s="19" t="n">
        <s:v>1</s:v>
      </s:c>
      <s:c r="H143" s="19" t="n">
        <s:v>0</s:v>
      </s:c>
      <s:c r="I143" s="19" t="n">
        <s:v>1</s:v>
      </s:c>
      <s:c r="J143" s="4">
        <s:f>B143*Projects!N2+C143*Projects!N3+D143*Projects!N4+E143*Projects!N5+F143*Projects!N6+G143*Projects!N7+H143*Projects!N8+I143*Projects!N9</s:f>
        <s:v>16300000</s:v>
      </s:c>
      <s:c r="K143" s="3">
        <s:f>B143*Projects!C2+C143*Projects!C3+D143*Projects!C4+E143*Projects!C5+F143*Projects!C6+G143*Projects!C7+H143*Projects!C8+I143*Projects!C9</s:f>
        <s:v>360</s:v>
      </s:c>
      <s:c r="L143" s="3">
        <s:f>B143*Projects!D2+C143*Projects!D3+D143*Projects!D4+E143*Projects!D5+F143*Projects!D6+G143*Projects!D7+H143*Projects!D8+I143*Projects!D9</s:f>
        <s:v>152</s:v>
      </s:c>
      <s:c r="M143" s="4">
        <s:f>B143*Projects!O2+C143*Projects!O3+D143*Projects!O4+E143*Projects!O5+F143*Projects!O6+G143*Projects!O7+H143*Projects!O8+I143*Projects!O9</s:f>
        <s:v>13965541.77991176</s:v>
      </s:c>
      <s:c r="N143" s="3">
        <s:f>B143*(1-Projects!Q2)+C143*(1-Projects!Q3)+D143*(1-Projects!Q4)+E143*(1-Projects!Q5)+F143*(1-Projects!Q6)+G143*(1-Projects!Q7)+H143*(1-Projects!Q8)+I143*(1-Projects!Q9)</s:f>
        <s:v>0</s:v>
      </s:c>
      <s:c r="O143" s="3">
        <s:f>IF(AND(J143&lt;=Inputs!B2,L143&gt;=Inputs!B3,M143&gt;=Inputs!B18,N143=0),1,0)</s:f>
        <s:v>0</s:v>
      </s:c>
      <s:c r="P143" s="3">
        <s:f>IF(O143=1,L143,-1)</s:f>
        <s:v>-1</s:v>
      </s:c>
      <s:c r="Q143" s="3">
        <s:f>IF(AND(O143=1,L143=MAX(P$2:P$257)),M143,-1E+99)</s:f>
        <s:v>-1e+99</s:v>
      </s:c>
    </s:row>
    <s:row r="144">
      <s:c r="A144" s="18" t="n">
        <s:v>142</s:v>
      </s:c>
      <s:c r="B144" s="18" t="n">
        <s:v>1</s:v>
      </s:c>
      <s:c r="C144" s="18" t="n">
        <s:v>0</s:v>
      </s:c>
      <s:c r="D144" s="18" t="n">
        <s:v>0</s:v>
      </s:c>
      <s:c r="E144" s="18" t="n">
        <s:v>0</s:v>
      </s:c>
      <s:c r="F144" s="18" t="n">
        <s:v>1</s:v>
      </s:c>
      <s:c r="G144" s="18" t="n">
        <s:v>1</s:v>
      </s:c>
      <s:c r="H144" s="18" t="n">
        <s:v>1</s:v>
      </s:c>
      <s:c r="I144" s="18" t="n">
        <s:v>0</s:v>
      </s:c>
      <s:c r="J144" s="5">
        <s:f>B144*Projects!N2+C144*Projects!N3+D144*Projects!N4+E144*Projects!N5+F144*Projects!N6+G144*Projects!N7+H144*Projects!N8+I144*Projects!N9</s:f>
        <s:v>15900000</s:v>
      </s:c>
      <s:c r="K144" s="2">
        <s:f>B144*Projects!C2+C144*Projects!C3+D144*Projects!C4+E144*Projects!C5+F144*Projects!C6+G144*Projects!C7+H144*Projects!C8+I144*Projects!C9</s:f>
        <s:v>380</s:v>
      </s:c>
      <s:c r="L144" s="2">
        <s:f>B144*Projects!D2+C144*Projects!D3+D144*Projects!D4+E144*Projects!D5+F144*Projects!D6+G144*Projects!D7+H144*Projects!D8+I144*Projects!D9</s:f>
        <s:v>191</s:v>
      </s:c>
      <s:c r="M144" s="5">
        <s:f>B144*Projects!O2+C144*Projects!O3+D144*Projects!O4+E144*Projects!O5+F144*Projects!O6+G144*Projects!O7+H144*Projects!O8+I144*Projects!O9</s:f>
        <s:v>12544288.33225703</s:v>
      </s:c>
      <s:c r="N144" s="2">
        <s:f>B144*(1-Projects!Q2)+C144*(1-Projects!Q3)+D144*(1-Projects!Q4)+E144*(1-Projects!Q5)+F144*(1-Projects!Q6)+G144*(1-Projects!Q7)+H144*(1-Projects!Q8)+I144*(1-Projects!Q9)</s:f>
        <s:v>0</s:v>
      </s:c>
      <s:c r="O144" s="2">
        <s:f>IF(AND(J144&lt;=Inputs!B2,L144&gt;=Inputs!B3,M144&gt;=Inputs!B18,N144=0),1,0)</s:f>
        <s:v>0</s:v>
      </s:c>
      <s:c r="P144" s="2">
        <s:f>IF(O144=1,L144,-1)</s:f>
        <s:v>-1</s:v>
      </s:c>
      <s:c r="Q144" s="2">
        <s:f>IF(AND(O144=1,L144=MAX(P$2:P$257)),M144,-1E+99)</s:f>
        <s:v>-1e+99</s:v>
      </s:c>
    </s:row>
    <s:row r="145">
      <s:c r="A145" s="19" t="n">
        <s:v>143</s:v>
      </s:c>
      <s:c r="B145" s="19" t="n">
        <s:v>1</s:v>
      </s:c>
      <s:c r="C145" s="19" t="n">
        <s:v>0</s:v>
      </s:c>
      <s:c r="D145" s="19" t="n">
        <s:v>0</s:v>
      </s:c>
      <s:c r="E145" s="19" t="n">
        <s:v>0</s:v>
      </s:c>
      <s:c r="F145" s="19" t="n">
        <s:v>1</s:v>
      </s:c>
      <s:c r="G145" s="19" t="n">
        <s:v>1</s:v>
      </s:c>
      <s:c r="H145" s="19" t="n">
        <s:v>1</s:v>
      </s:c>
      <s:c r="I145" s="19" t="n">
        <s:v>1</s:v>
      </s:c>
      <s:c r="J145" s="4">
        <s:f>B145*Projects!N2+C145*Projects!N3+D145*Projects!N4+E145*Projects!N5+F145*Projects!N6+G145*Projects!N7+H145*Projects!N8+I145*Projects!N9</s:f>
        <s:v>20400000</s:v>
      </s:c>
      <s:c r="K145" s="3">
        <s:f>B145*Projects!C2+C145*Projects!C3+D145*Projects!C4+E145*Projects!C5+F145*Projects!C6+G145*Projects!C7+H145*Projects!C8+I145*Projects!C9</s:f>
        <s:v>470</s:v>
      </s:c>
      <s:c r="L145" s="3">
        <s:f>B145*Projects!D2+C145*Projects!D3+D145*Projects!D4+E145*Projects!D5+F145*Projects!D6+G145*Projects!D7+H145*Projects!D8+I145*Projects!D9</s:f>
        <s:v>218</s:v>
      </s:c>
      <s:c r="M145" s="4">
        <s:f>B145*Projects!O2+C145*Projects!O3+D145*Projects!O4+E145*Projects!O5+F145*Projects!O6+G145*Projects!O7+H145*Projects!O8+I145*Projects!O9</s:f>
        <s:v>17000915.757801067</s:v>
      </s:c>
      <s:c r="N145" s="3">
        <s:f>B145*(1-Projects!Q2)+C145*(1-Projects!Q3)+D145*(1-Projects!Q4)+E145*(1-Projects!Q5)+F145*(1-Projects!Q6)+G145*(1-Projects!Q7)+H145*(1-Projects!Q8)+I145*(1-Projects!Q9)</s:f>
        <s:v>0</s:v>
      </s:c>
      <s:c r="O145" s="3">
        <s:f>IF(AND(J145&lt;=Inputs!B2,L145&gt;=Inputs!B3,M145&gt;=Inputs!B18,N145=0),1,0)</s:f>
        <s:v>0</s:v>
      </s:c>
      <s:c r="P145" s="3">
        <s:f>IF(O145=1,L145,-1)</s:f>
        <s:v>-1</s:v>
      </s:c>
      <s:c r="Q145" s="3">
        <s:f>IF(AND(O145=1,L145=MAX(P$2:P$257)),M145,-1E+99)</s:f>
        <s:v>-1e+99</s:v>
      </s:c>
    </s:row>
    <s:row r="146">
      <s:c r="A146" s="18" t="n">
        <s:v>144</s:v>
      </s:c>
      <s:c r="B146" s="18" t="n">
        <s:v>1</s:v>
      </s:c>
      <s:c r="C146" s="18" t="n">
        <s:v>0</s:v>
      </s:c>
      <s:c r="D146" s="18" t="n">
        <s:v>0</s:v>
      </s:c>
      <s:c r="E146" s="18" t="n">
        <s:v>1</s:v>
      </s:c>
      <s:c r="F146" s="18" t="n">
        <s:v>0</s:v>
      </s:c>
      <s:c r="G146" s="18" t="n">
        <s:v>0</s:v>
      </s:c>
      <s:c r="H146" s="18" t="n">
        <s:v>0</s:v>
      </s:c>
      <s:c r="I146" s="18" t="n">
        <s:v>0</s:v>
      </s:c>
      <s:c r="J146" s="5">
        <s:f>B146*Projects!N2+C146*Projects!N3+D146*Projects!N4+E146*Projects!N5+F146*Projects!N6+G146*Projects!N7+H146*Projects!N8+I146*Projects!N9</s:f>
        <s:v>8200000</s:v>
      </s:c>
      <s:c r="K146" s="2">
        <s:f>B146*Projects!C2+C146*Projects!C3+D146*Projects!C4+E146*Projects!C5+F146*Projects!C6+G146*Projects!C7+H146*Projects!C8+I146*Projects!C9</s:f>
        <s:v>170</s:v>
      </s:c>
      <s:c r="L146" s="2">
        <s:f>B146*Projects!D2+C146*Projects!D3+D146*Projects!D4+E146*Projects!D5+F146*Projects!D6+G146*Projects!D7+H146*Projects!D8+I146*Projects!D9</s:f>
        <s:v>61</s:v>
      </s:c>
      <s:c r="M146" s="5">
        <s:f>B146*Projects!O2+C146*Projects!O3+D146*Projects!O4+E146*Projects!O5+F146*Projects!O6+G146*Projects!O7+H146*Projects!O8+I146*Projects!O9</s:f>
        <s:v>7313131.601558261</s:v>
      </s:c>
      <s:c r="N146" s="2">
        <s:f>B146*(1-Projects!Q2)+C146*(1-Projects!Q3)+D146*(1-Projects!Q4)+E146*(1-Projects!Q5)+F146*(1-Projects!Q6)+G146*(1-Projects!Q7)+H146*(1-Projects!Q8)+I146*(1-Projects!Q9)</s:f>
        <s:v>0</s:v>
      </s:c>
      <s:c r="O146" s="2">
        <s:f>IF(AND(J146&lt;=Inputs!B2,L146&gt;=Inputs!B3,M146&gt;=Inputs!B18,N146=0),1,0)</s:f>
        <s:v>0</s:v>
      </s:c>
      <s:c r="P146" s="2">
        <s:f>IF(O146=1,L146,-1)</s:f>
        <s:v>-1</s:v>
      </s:c>
      <s:c r="Q146" s="2">
        <s:f>IF(AND(O146=1,L146=MAX(P$2:P$257)),M146,-1E+99)</s:f>
        <s:v>-1e+99</s:v>
      </s:c>
    </s:row>
    <s:row r="147">
      <s:c r="A147" s="19" t="n">
        <s:v>145</s:v>
      </s:c>
      <s:c r="B147" s="19" t="n">
        <s:v>1</s:v>
      </s:c>
      <s:c r="C147" s="19" t="n">
        <s:v>0</s:v>
      </s:c>
      <s:c r="D147" s="19" t="n">
        <s:v>0</s:v>
      </s:c>
      <s:c r="E147" s="19" t="n">
        <s:v>1</s:v>
      </s:c>
      <s:c r="F147" s="19" t="n">
        <s:v>0</s:v>
      </s:c>
      <s:c r="G147" s="19" t="n">
        <s:v>0</s:v>
      </s:c>
      <s:c r="H147" s="19" t="n">
        <s:v>0</s:v>
      </s:c>
      <s:c r="I147" s="19" t="n">
        <s:v>1</s:v>
      </s:c>
      <s:c r="J147" s="4">
        <s:f>B147*Projects!N2+C147*Projects!N3+D147*Projects!N4+E147*Projects!N5+F147*Projects!N6+G147*Projects!N7+H147*Projects!N8+I147*Projects!N9</s:f>
        <s:v>12700000</s:v>
      </s:c>
      <s:c r="K147" s="3">
        <s:f>B147*Projects!C2+C147*Projects!C3+D147*Projects!C4+E147*Projects!C5+F147*Projects!C6+G147*Projects!C7+H147*Projects!C8+I147*Projects!C9</s:f>
        <s:v>260</s:v>
      </s:c>
      <s:c r="L147" s="3">
        <s:f>B147*Projects!D2+C147*Projects!D3+D147*Projects!D4+E147*Projects!D5+F147*Projects!D6+G147*Projects!D7+H147*Projects!D8+I147*Projects!D9</s:f>
        <s:v>88</s:v>
      </s:c>
      <s:c r="M147" s="4">
        <s:f>B147*Projects!O2+C147*Projects!O3+D147*Projects!O4+E147*Projects!O5+F147*Projects!O6+G147*Projects!O7+H147*Projects!O8+I147*Projects!O9</s:f>
        <s:v>11769759.027102295</s:v>
      </s:c>
      <s:c r="N147" s="3">
        <s:f>B147*(1-Projects!Q2)+C147*(1-Projects!Q3)+D147*(1-Projects!Q4)+E147*(1-Projects!Q5)+F147*(1-Projects!Q6)+G147*(1-Projects!Q7)+H147*(1-Projects!Q8)+I147*(1-Projects!Q9)</s:f>
        <s:v>0</s:v>
      </s:c>
      <s:c r="O147" s="3">
        <s:f>IF(AND(J147&lt;=Inputs!B2,L147&gt;=Inputs!B3,M147&gt;=Inputs!B18,N147=0),1,0)</s:f>
        <s:v>1</s:v>
      </s:c>
      <s:c r="P147" s="3">
        <s:f>IF(O147=1,L147,-1)</s:f>
        <s:v>88</s:v>
      </s:c>
      <s:c r="Q147" s="3">
        <s:f>IF(AND(O147=1,L147=MAX(P$2:P$257)),M147,-1E+99)</s:f>
        <s:v>-1e+99</s:v>
      </s:c>
    </s:row>
    <s:row r="148">
      <s:c r="A148" s="18" t="n">
        <s:v>146</s:v>
      </s:c>
      <s:c r="B148" s="18" t="n">
        <s:v>1</s:v>
      </s:c>
      <s:c r="C148" s="18" t="n">
        <s:v>0</s:v>
      </s:c>
      <s:c r="D148" s="18" t="n">
        <s:v>0</s:v>
      </s:c>
      <s:c r="E148" s="18" t="n">
        <s:v>1</s:v>
      </s:c>
      <s:c r="F148" s="18" t="n">
        <s:v>0</s:v>
      </s:c>
      <s:c r="G148" s="18" t="n">
        <s:v>0</s:v>
      </s:c>
      <s:c r="H148" s="18" t="n">
        <s:v>1</s:v>
      </s:c>
      <s:c r="I148" s="18" t="n">
        <s:v>0</s:v>
      </s:c>
      <s:c r="J148" s="5">
        <s:f>B148*Projects!N2+C148*Projects!N3+D148*Projects!N4+E148*Projects!N5+F148*Projects!N6+G148*Projects!N7+H148*Projects!N8+I148*Projects!N9</s:f>
        <s:v>12300000</s:v>
      </s:c>
      <s:c r="K148" s="2">
        <s:f>B148*Projects!C2+C148*Projects!C3+D148*Projects!C4+E148*Projects!C5+F148*Projects!C6+G148*Projects!C7+H148*Projects!C8+I148*Projects!C9</s:f>
        <s:v>280</s:v>
      </s:c>
      <s:c r="L148" s="2">
        <s:f>B148*Projects!D2+C148*Projects!D3+D148*Projects!D4+E148*Projects!D5+F148*Projects!D6+G148*Projects!D7+H148*Projects!D8+I148*Projects!D9</s:f>
        <s:v>127</s:v>
      </s:c>
      <s:c r="M148" s="5">
        <s:f>B148*Projects!O2+C148*Projects!O3+D148*Projects!O4+E148*Projects!O5+F148*Projects!O6+G148*Projects!O7+H148*Projects!O8+I148*Projects!O9</s:f>
        <s:v>10348505.579447567</s:v>
      </s:c>
      <s:c r="N148" s="2">
        <s:f>B148*(1-Projects!Q2)+C148*(1-Projects!Q3)+D148*(1-Projects!Q4)+E148*(1-Projects!Q5)+F148*(1-Projects!Q6)+G148*(1-Projects!Q7)+H148*(1-Projects!Q8)+I148*(1-Projects!Q9)</s:f>
        <s:v>0</s:v>
      </s:c>
      <s:c r="O148" s="2">
        <s:f>IF(AND(J148&lt;=Inputs!B2,L148&gt;=Inputs!B3,M148&gt;=Inputs!B18,N148=0),1,0)</s:f>
        <s:v>1</s:v>
      </s:c>
      <s:c r="P148" s="2">
        <s:f>IF(O148=1,L148,-1)</s:f>
        <s:v>127</s:v>
      </s:c>
      <s:c r="Q148" s="2">
        <s:f>IF(AND(O148=1,L148=MAX(P$2:P$257)),M148,-1E+99)</s:f>
        <s:v>-1e+99</s:v>
      </s:c>
    </s:row>
    <s:row r="149">
      <s:c r="A149" s="19" t="n">
        <s:v>147</s:v>
      </s:c>
      <s:c r="B149" s="19" t="n">
        <s:v>1</s:v>
      </s:c>
      <s:c r="C149" s="19" t="n">
        <s:v>0</s:v>
      </s:c>
      <s:c r="D149" s="19" t="n">
        <s:v>0</s:v>
      </s:c>
      <s:c r="E149" s="19" t="n">
        <s:v>1</s:v>
      </s:c>
      <s:c r="F149" s="19" t="n">
        <s:v>0</s:v>
      </s:c>
      <s:c r="G149" s="19" t="n">
        <s:v>0</s:v>
      </s:c>
      <s:c r="H149" s="19" t="n">
        <s:v>1</s:v>
      </s:c>
      <s:c r="I149" s="19" t="n">
        <s:v>1</s:v>
      </s:c>
      <s:c r="J149" s="4">
        <s:f>B149*Projects!N2+C149*Projects!N3+D149*Projects!N4+E149*Projects!N5+F149*Projects!N6+G149*Projects!N7+H149*Projects!N8+I149*Projects!N9</s:f>
        <s:v>16800000</s:v>
      </s:c>
      <s:c r="K149" s="3">
        <s:f>B149*Projects!C2+C149*Projects!C3+D149*Projects!C4+E149*Projects!C5+F149*Projects!C6+G149*Projects!C7+H149*Projects!C8+I149*Projects!C9</s:f>
        <s:v>370</s:v>
      </s:c>
      <s:c r="L149" s="3">
        <s:f>B149*Projects!D2+C149*Projects!D3+D149*Projects!D4+E149*Projects!D5+F149*Projects!D6+G149*Projects!D7+H149*Projects!D8+I149*Projects!D9</s:f>
        <s:v>154</s:v>
      </s:c>
      <s:c r="M149" s="4">
        <s:f>B149*Projects!O2+C149*Projects!O3+D149*Projects!O4+E149*Projects!O5+F149*Projects!O6+G149*Projects!O7+H149*Projects!O8+I149*Projects!O9</s:f>
        <s:v>14805133.004991602</s:v>
      </s:c>
      <s:c r="N149" s="3">
        <s:f>B149*(1-Projects!Q2)+C149*(1-Projects!Q3)+D149*(1-Projects!Q4)+E149*(1-Projects!Q5)+F149*(1-Projects!Q6)+G149*(1-Projects!Q7)+H149*(1-Projects!Q8)+I149*(1-Projects!Q9)</s:f>
        <s:v>0</s:v>
      </s:c>
      <s:c r="O149" s="3">
        <s:f>IF(AND(J149&lt;=Inputs!B2,L149&gt;=Inputs!B3,M149&gt;=Inputs!B18,N149=0),1,0)</s:f>
        <s:v>0</s:v>
      </s:c>
      <s:c r="P149" s="3">
        <s:f>IF(O149=1,L149,-1)</s:f>
        <s:v>-1</s:v>
      </s:c>
      <s:c r="Q149" s="3">
        <s:f>IF(AND(O149=1,L149=MAX(P$2:P$257)),M149,-1E+99)</s:f>
        <s:v>-1e+99</s:v>
      </s:c>
    </s:row>
    <s:row r="150">
      <s:c r="A150" s="18" t="n">
        <s:v>148</s:v>
      </s:c>
      <s:c r="B150" s="18" t="n">
        <s:v>1</s:v>
      </s:c>
      <s:c r="C150" s="18" t="n">
        <s:v>0</s:v>
      </s:c>
      <s:c r="D150" s="18" t="n">
        <s:v>0</s:v>
      </s:c>
      <s:c r="E150" s="18" t="n">
        <s:v>1</s:v>
      </s:c>
      <s:c r="F150" s="18" t="n">
        <s:v>0</s:v>
      </s:c>
      <s:c r="G150" s="18" t="n">
        <s:v>1</s:v>
      </s:c>
      <s:c r="H150" s="18" t="n">
        <s:v>0</s:v>
      </s:c>
      <s:c r="I150" s="18" t="n">
        <s:v>0</s:v>
      </s:c>
      <s:c r="J150" s="5">
        <s:f>B150*Projects!N2+C150*Projects!N3+D150*Projects!N4+E150*Projects!N5+F150*Projects!N6+G150*Projects!N7+H150*Projects!N8+I150*Projects!N9</s:f>
        <s:v>11400000</s:v>
      </s:c>
      <s:c r="K150" s="2">
        <s:f>B150*Projects!C2+C150*Projects!C3+D150*Projects!C4+E150*Projects!C5+F150*Projects!C6+G150*Projects!C7+H150*Projects!C8+I150*Projects!C9</s:f>
        <s:v>250</s:v>
      </s:c>
      <s:c r="L150" s="2">
        <s:f>B150*Projects!D2+C150*Projects!D3+D150*Projects!D4+E150*Projects!D5+F150*Projects!D6+G150*Projects!D7+H150*Projects!D8+I150*Projects!D9</s:f>
        <s:v>101</s:v>
      </s:c>
      <s:c r="M150" s="5">
        <s:f>B150*Projects!O2+C150*Projects!O3+D150*Projects!O4+E150*Projects!O5+F150*Projects!O6+G150*Projects!O7+H150*Projects!O8+I150*Projects!O9</s:f>
        <s:v>9823310.221427264</s:v>
      </s:c>
      <s:c r="N150" s="2">
        <s:f>B150*(1-Projects!Q2)+C150*(1-Projects!Q3)+D150*(1-Projects!Q4)+E150*(1-Projects!Q5)+F150*(1-Projects!Q6)+G150*(1-Projects!Q7)+H150*(1-Projects!Q8)+I150*(1-Projects!Q9)</s:f>
        <s:v>0</s:v>
      </s:c>
      <s:c r="O150" s="2">
        <s:f>IF(AND(J150&lt;=Inputs!B2,L150&gt;=Inputs!B3,M150&gt;=Inputs!B18,N150=0),1,0)</s:f>
        <s:v>1</s:v>
      </s:c>
      <s:c r="P150" s="2">
        <s:f>IF(O150=1,L150,-1)</s:f>
        <s:v>101</s:v>
      </s:c>
      <s:c r="Q150" s="2">
        <s:f>IF(AND(O150=1,L150=MAX(P$2:P$257)),M150,-1E+99)</s:f>
        <s:v>-1e+99</s:v>
      </s:c>
    </s:row>
    <s:row r="151">
      <s:c r="A151" s="19" t="n">
        <s:v>149</s:v>
      </s:c>
      <s:c r="B151" s="19" t="n">
        <s:v>1</s:v>
      </s:c>
      <s:c r="C151" s="19" t="n">
        <s:v>0</s:v>
      </s:c>
      <s:c r="D151" s="19" t="n">
        <s:v>0</s:v>
      </s:c>
      <s:c r="E151" s="19" t="n">
        <s:v>1</s:v>
      </s:c>
      <s:c r="F151" s="19" t="n">
        <s:v>0</s:v>
      </s:c>
      <s:c r="G151" s="19" t="n">
        <s:v>1</s:v>
      </s:c>
      <s:c r="H151" s="19" t="n">
        <s:v>0</s:v>
      </s:c>
      <s:c r="I151" s="19" t="n">
        <s:v>1</s:v>
      </s:c>
      <s:c r="J151" s="4">
        <s:f>B151*Projects!N2+C151*Projects!N3+D151*Projects!N4+E151*Projects!N5+F151*Projects!N6+G151*Projects!N7+H151*Projects!N8+I151*Projects!N9</s:f>
        <s:v>15900000</s:v>
      </s:c>
      <s:c r="K151" s="3">
        <s:f>B151*Projects!C2+C151*Projects!C3+D151*Projects!C4+E151*Projects!C5+F151*Projects!C6+G151*Projects!C7+H151*Projects!C8+I151*Projects!C9</s:f>
        <s:v>340</s:v>
      </s:c>
      <s:c r="L151" s="3">
        <s:f>B151*Projects!D2+C151*Projects!D3+D151*Projects!D4+E151*Projects!D5+F151*Projects!D6+G151*Projects!D7+H151*Projects!D8+I151*Projects!D9</s:f>
        <s:v>128</s:v>
      </s:c>
      <s:c r="M151" s="4">
        <s:f>B151*Projects!O2+C151*Projects!O3+D151*Projects!O4+E151*Projects!O5+F151*Projects!O6+G151*Projects!O7+H151*Projects!O8+I151*Projects!O9</s:f>
        <s:v>14279937.6469713</s:v>
      </s:c>
      <s:c r="N151" s="3">
        <s:f>B151*(1-Projects!Q2)+C151*(1-Projects!Q3)+D151*(1-Projects!Q4)+E151*(1-Projects!Q5)+F151*(1-Projects!Q6)+G151*(1-Projects!Q7)+H151*(1-Projects!Q8)+I151*(1-Projects!Q9)</s:f>
        <s:v>0</s:v>
      </s:c>
      <s:c r="O151" s="3">
        <s:f>IF(AND(J151&lt;=Inputs!B2,L151&gt;=Inputs!B3,M151&gt;=Inputs!B18,N151=0),1,0)</s:f>
        <s:v>0</s:v>
      </s:c>
      <s:c r="P151" s="3">
        <s:f>IF(O151=1,L151,-1)</s:f>
        <s:v>-1</s:v>
      </s:c>
      <s:c r="Q151" s="3">
        <s:f>IF(AND(O151=1,L151=MAX(P$2:P$257)),M151,-1E+99)</s:f>
        <s:v>-1e+99</s:v>
      </s:c>
    </s:row>
    <s:row r="152">
      <s:c r="A152" s="18" t="n">
        <s:v>150</s:v>
      </s:c>
      <s:c r="B152" s="18" t="n">
        <s:v>1</s:v>
      </s:c>
      <s:c r="C152" s="18" t="n">
        <s:v>0</s:v>
      </s:c>
      <s:c r="D152" s="18" t="n">
        <s:v>0</s:v>
      </s:c>
      <s:c r="E152" s="18" t="n">
        <s:v>1</s:v>
      </s:c>
      <s:c r="F152" s="18" t="n">
        <s:v>0</s:v>
      </s:c>
      <s:c r="G152" s="18" t="n">
        <s:v>1</s:v>
      </s:c>
      <s:c r="H152" s="18" t="n">
        <s:v>1</s:v>
      </s:c>
      <s:c r="I152" s="18" t="n">
        <s:v>0</s:v>
      </s:c>
      <s:c r="J152" s="5">
        <s:f>B152*Projects!N2+C152*Projects!N3+D152*Projects!N4+E152*Projects!N5+F152*Projects!N6+G152*Projects!N7+H152*Projects!N8+I152*Projects!N9</s:f>
        <s:v>15500000</s:v>
      </s:c>
      <s:c r="K152" s="2">
        <s:f>B152*Projects!C2+C152*Projects!C3+D152*Projects!C4+E152*Projects!C5+F152*Projects!C6+G152*Projects!C7+H152*Projects!C8+I152*Projects!C9</s:f>
        <s:v>360</s:v>
      </s:c>
      <s:c r="L152" s="2">
        <s:f>B152*Projects!D2+C152*Projects!D3+D152*Projects!D4+E152*Projects!D5+F152*Projects!D6+G152*Projects!D7+H152*Projects!D8+I152*Projects!D9</s:f>
        <s:v>167</s:v>
      </s:c>
      <s:c r="M152" s="5">
        <s:f>B152*Projects!O2+C152*Projects!O3+D152*Projects!O4+E152*Projects!O5+F152*Projects!O6+G152*Projects!O7+H152*Projects!O8+I152*Projects!O9</s:f>
        <s:v>12858684.19931657</s:v>
      </s:c>
      <s:c r="N152" s="2">
        <s:f>B152*(1-Projects!Q2)+C152*(1-Projects!Q3)+D152*(1-Projects!Q4)+E152*(1-Projects!Q5)+F152*(1-Projects!Q6)+G152*(1-Projects!Q7)+H152*(1-Projects!Q8)+I152*(1-Projects!Q9)</s:f>
        <s:v>0</s:v>
      </s:c>
      <s:c r="O152" s="2">
        <s:f>IF(AND(J152&lt;=Inputs!B2,L152&gt;=Inputs!B3,M152&gt;=Inputs!B18,N152=0),1,0)</s:f>
        <s:v>0</s:v>
      </s:c>
      <s:c r="P152" s="2">
        <s:f>IF(O152=1,L152,-1)</s:f>
        <s:v>-1</s:v>
      </s:c>
      <s:c r="Q152" s="2">
        <s:f>IF(AND(O152=1,L152=MAX(P$2:P$257)),M152,-1E+99)</s:f>
        <s:v>-1e+99</s:v>
      </s:c>
    </s:row>
    <s:row r="153">
      <s:c r="A153" s="19" t="n">
        <s:v>151</s:v>
      </s:c>
      <s:c r="B153" s="19" t="n">
        <s:v>1</s:v>
      </s:c>
      <s:c r="C153" s="19" t="n">
        <s:v>0</s:v>
      </s:c>
      <s:c r="D153" s="19" t="n">
        <s:v>0</s:v>
      </s:c>
      <s:c r="E153" s="19" t="n">
        <s:v>1</s:v>
      </s:c>
      <s:c r="F153" s="19" t="n">
        <s:v>0</s:v>
      </s:c>
      <s:c r="G153" s="19" t="n">
        <s:v>1</s:v>
      </s:c>
      <s:c r="H153" s="19" t="n">
        <s:v>1</s:v>
      </s:c>
      <s:c r="I153" s="19" t="n">
        <s:v>1</s:v>
      </s:c>
      <s:c r="J153" s="4">
        <s:f>B153*Projects!N2+C153*Projects!N3+D153*Projects!N4+E153*Projects!N5+F153*Projects!N6+G153*Projects!N7+H153*Projects!N8+I153*Projects!N9</s:f>
        <s:v>20000000</s:v>
      </s:c>
      <s:c r="K153" s="3">
        <s:f>B153*Projects!C2+C153*Projects!C3+D153*Projects!C4+E153*Projects!C5+F153*Projects!C6+G153*Projects!C7+H153*Projects!C8+I153*Projects!C9</s:f>
        <s:v>450</s:v>
      </s:c>
      <s:c r="L153" s="3">
        <s:f>B153*Projects!D2+C153*Projects!D3+D153*Projects!D4+E153*Projects!D5+F153*Projects!D6+G153*Projects!D7+H153*Projects!D8+I153*Projects!D9</s:f>
        <s:v>194</s:v>
      </s:c>
      <s:c r="M153" s="4">
        <s:f>B153*Projects!O2+C153*Projects!O3+D153*Projects!O4+E153*Projects!O5+F153*Projects!O6+G153*Projects!O7+H153*Projects!O8+I153*Projects!O9</s:f>
        <s:v>17315311.624860607</s:v>
      </s:c>
      <s:c r="N153" s="3">
        <s:f>B153*(1-Projects!Q2)+C153*(1-Projects!Q3)+D153*(1-Projects!Q4)+E153*(1-Projects!Q5)+F153*(1-Projects!Q6)+G153*(1-Projects!Q7)+H153*(1-Projects!Q8)+I153*(1-Projects!Q9)</s:f>
        <s:v>0</s:v>
      </s:c>
      <s:c r="O153" s="3">
        <s:f>IF(AND(J153&lt;=Inputs!B2,L153&gt;=Inputs!B3,M153&gt;=Inputs!B18,N153=0),1,0)</s:f>
        <s:v>0</s:v>
      </s:c>
      <s:c r="P153" s="3">
        <s:f>IF(O153=1,L153,-1)</s:f>
        <s:v>-1</s:v>
      </s:c>
      <s:c r="Q153" s="3">
        <s:f>IF(AND(O153=1,L153=MAX(P$2:P$257)),M153,-1E+99)</s:f>
        <s:v>-1e+99</s:v>
      </s:c>
    </s:row>
    <s:row r="154">
      <s:c r="A154" s="18" t="n">
        <s:v>152</s:v>
      </s:c>
      <s:c r="B154" s="18" t="n">
        <s:v>1</s:v>
      </s:c>
      <s:c r="C154" s="18" t="n">
        <s:v>0</s:v>
      </s:c>
      <s:c r="D154" s="18" t="n">
        <s:v>0</s:v>
      </s:c>
      <s:c r="E154" s="18" t="n">
        <s:v>1</s:v>
      </s:c>
      <s:c r="F154" s="18" t="n">
        <s:v>1</s:v>
      </s:c>
      <s:c r="G154" s="18" t="n">
        <s:v>0</s:v>
      </s:c>
      <s:c r="H154" s="18" t="n">
        <s:v>0</s:v>
      </s:c>
      <s:c r="I154" s="18" t="n">
        <s:v>0</s:v>
      </s:c>
      <s:c r="J154" s="5">
        <s:f>B154*Projects!N2+C154*Projects!N3+D154*Projects!N4+E154*Projects!N5+F154*Projects!N6+G154*Projects!N7+H154*Projects!N8+I154*Projects!N9</s:f>
        <s:v>12000000</s:v>
      </s:c>
      <s:c r="K154" s="2">
        <s:f>B154*Projects!C2+C154*Projects!C3+D154*Projects!C4+E154*Projects!C5+F154*Projects!C6+G154*Projects!C7+H154*Projects!C8+I154*Projects!C9</s:f>
        <s:v>260</s:v>
      </s:c>
      <s:c r="L154" s="2">
        <s:f>B154*Projects!D2+C154*Projects!D3+D154*Projects!D4+E154*Projects!D5+F154*Projects!D6+G154*Projects!D7+H154*Projects!D8+I154*Projects!D9</s:f>
        <s:v>106</s:v>
      </s:c>
      <s:c r="M154" s="5">
        <s:f>B154*Projects!O2+C154*Projects!O3+D154*Projects!O4+E154*Projects!O5+F154*Projects!O6+G154*Projects!O7+H154*Projects!O8+I154*Projects!O9</s:f>
        <s:v>10315093.963566324</s:v>
      </s:c>
      <s:c r="N154" s="2">
        <s:f>B154*(1-Projects!Q2)+C154*(1-Projects!Q3)+D154*(1-Projects!Q4)+E154*(1-Projects!Q5)+F154*(1-Projects!Q6)+G154*(1-Projects!Q7)+H154*(1-Projects!Q8)+I154*(1-Projects!Q9)</s:f>
        <s:v>0</s:v>
      </s:c>
      <s:c r="O154" s="2">
        <s:f>IF(AND(J154&lt;=Inputs!B2,L154&gt;=Inputs!B3,M154&gt;=Inputs!B18,N154=0),1,0)</s:f>
        <s:v>1</s:v>
      </s:c>
      <s:c r="P154" s="2">
        <s:f>IF(O154=1,L154,-1)</s:f>
        <s:v>106</s:v>
      </s:c>
      <s:c r="Q154" s="2">
        <s:f>IF(AND(O154=1,L154=MAX(P$2:P$257)),M154,-1E+99)</s:f>
        <s:v>-1e+99</s:v>
      </s:c>
    </s:row>
    <s:row r="155">
      <s:c r="A155" s="19" t="n">
        <s:v>153</s:v>
      </s:c>
      <s:c r="B155" s="19" t="n">
        <s:v>1</s:v>
      </s:c>
      <s:c r="C155" s="19" t="n">
        <s:v>0</s:v>
      </s:c>
      <s:c r="D155" s="19" t="n">
        <s:v>0</s:v>
      </s:c>
      <s:c r="E155" s="19" t="n">
        <s:v>1</s:v>
      </s:c>
      <s:c r="F155" s="19" t="n">
        <s:v>1</s:v>
      </s:c>
      <s:c r="G155" s="19" t="n">
        <s:v>0</s:v>
      </s:c>
      <s:c r="H155" s="19" t="n">
        <s:v>0</s:v>
      </s:c>
      <s:c r="I155" s="19" t="n">
        <s:v>1</s:v>
      </s:c>
      <s:c r="J155" s="4">
        <s:f>B155*Projects!N2+C155*Projects!N3+D155*Projects!N4+E155*Projects!N5+F155*Projects!N6+G155*Projects!N7+H155*Projects!N8+I155*Projects!N9</s:f>
        <s:v>16500000</s:v>
      </s:c>
      <s:c r="K155" s="3">
        <s:f>B155*Projects!C2+C155*Projects!C3+D155*Projects!C4+E155*Projects!C5+F155*Projects!C6+G155*Projects!C7+H155*Projects!C8+I155*Projects!C9</s:f>
        <s:v>350</s:v>
      </s:c>
      <s:c r="L155" s="3">
        <s:f>B155*Projects!D2+C155*Projects!D3+D155*Projects!D4+E155*Projects!D5+F155*Projects!D6+G155*Projects!D7+H155*Projects!D8+I155*Projects!D9</s:f>
        <s:v>133</s:v>
      </s:c>
      <s:c r="M155" s="4">
        <s:f>B155*Projects!O2+C155*Projects!O3+D155*Projects!O4+E155*Projects!O5+F155*Projects!O6+G155*Projects!O7+H155*Projects!O8+I155*Projects!O9</s:f>
        <s:v>14771721.38911036</s:v>
      </s:c>
      <s:c r="N155" s="3">
        <s:f>B155*(1-Projects!Q2)+C155*(1-Projects!Q3)+D155*(1-Projects!Q4)+E155*(1-Projects!Q5)+F155*(1-Projects!Q6)+G155*(1-Projects!Q7)+H155*(1-Projects!Q8)+I155*(1-Projects!Q9)</s:f>
        <s:v>0</s:v>
      </s:c>
      <s:c r="O155" s="3">
        <s:f>IF(AND(J155&lt;=Inputs!B2,L155&gt;=Inputs!B3,M155&gt;=Inputs!B18,N155=0),1,0)</s:f>
        <s:v>0</s:v>
      </s:c>
      <s:c r="P155" s="3">
        <s:f>IF(O155=1,L155,-1)</s:f>
        <s:v>-1</s:v>
      </s:c>
      <s:c r="Q155" s="3">
        <s:f>IF(AND(O155=1,L155=MAX(P$2:P$257)),M155,-1E+99)</s:f>
        <s:v>-1e+99</s:v>
      </s:c>
    </s:row>
    <s:row r="156">
      <s:c r="A156" s="18" t="n">
        <s:v>154</s:v>
      </s:c>
      <s:c r="B156" s="18" t="n">
        <s:v>1</s:v>
      </s:c>
      <s:c r="C156" s="18" t="n">
        <s:v>0</s:v>
      </s:c>
      <s:c r="D156" s="18" t="n">
        <s:v>0</s:v>
      </s:c>
      <s:c r="E156" s="18" t="n">
        <s:v>1</s:v>
      </s:c>
      <s:c r="F156" s="18" t="n">
        <s:v>1</s:v>
      </s:c>
      <s:c r="G156" s="18" t="n">
        <s:v>0</s:v>
      </s:c>
      <s:c r="H156" s="18" t="n">
        <s:v>1</s:v>
      </s:c>
      <s:c r="I156" s="18" t="n">
        <s:v>0</s:v>
      </s:c>
      <s:c r="J156" s="5">
        <s:f>B156*Projects!N2+C156*Projects!N3+D156*Projects!N4+E156*Projects!N5+F156*Projects!N6+G156*Projects!N7+H156*Projects!N8+I156*Projects!N9</s:f>
        <s:v>16100000</s:v>
      </s:c>
      <s:c r="K156" s="2">
        <s:f>B156*Projects!C2+C156*Projects!C3+D156*Projects!C4+E156*Projects!C5+F156*Projects!C6+G156*Projects!C7+H156*Projects!C8+I156*Projects!C9</s:f>
        <s:v>370</s:v>
      </s:c>
      <s:c r="L156" s="2">
        <s:f>B156*Projects!D2+C156*Projects!D3+D156*Projects!D4+E156*Projects!D5+F156*Projects!D6+G156*Projects!D7+H156*Projects!D8+I156*Projects!D9</s:f>
        <s:v>172</s:v>
      </s:c>
      <s:c r="M156" s="5">
        <s:f>B156*Projects!O2+C156*Projects!O3+D156*Projects!O4+E156*Projects!O5+F156*Projects!O6+G156*Projects!O7+H156*Projects!O8+I156*Projects!O9</s:f>
        <s:v>13350467.94145563</s:v>
      </s:c>
      <s:c r="N156" s="2">
        <s:f>B156*(1-Projects!Q2)+C156*(1-Projects!Q3)+D156*(1-Projects!Q4)+E156*(1-Projects!Q5)+F156*(1-Projects!Q6)+G156*(1-Projects!Q7)+H156*(1-Projects!Q8)+I156*(1-Projects!Q9)</s:f>
        <s:v>0</s:v>
      </s:c>
      <s:c r="O156" s="2">
        <s:f>IF(AND(J156&lt;=Inputs!B2,L156&gt;=Inputs!B3,M156&gt;=Inputs!B18,N156=0),1,0)</s:f>
        <s:v>0</s:v>
      </s:c>
      <s:c r="P156" s="2">
        <s:f>IF(O156=1,L156,-1)</s:f>
        <s:v>-1</s:v>
      </s:c>
      <s:c r="Q156" s="2">
        <s:f>IF(AND(O156=1,L156=MAX(P$2:P$257)),M156,-1E+99)</s:f>
        <s:v>-1e+99</s:v>
      </s:c>
    </s:row>
    <s:row r="157">
      <s:c r="A157" s="19" t="n">
        <s:v>155</s:v>
      </s:c>
      <s:c r="B157" s="19" t="n">
        <s:v>1</s:v>
      </s:c>
      <s:c r="C157" s="19" t="n">
        <s:v>0</s:v>
      </s:c>
      <s:c r="D157" s="19" t="n">
        <s:v>0</s:v>
      </s:c>
      <s:c r="E157" s="19" t="n">
        <s:v>1</s:v>
      </s:c>
      <s:c r="F157" s="19" t="n">
        <s:v>1</s:v>
      </s:c>
      <s:c r="G157" s="19" t="n">
        <s:v>0</s:v>
      </s:c>
      <s:c r="H157" s="19" t="n">
        <s:v>1</s:v>
      </s:c>
      <s:c r="I157" s="19" t="n">
        <s:v>1</s:v>
      </s:c>
      <s:c r="J157" s="4">
        <s:f>B157*Projects!N2+C157*Projects!N3+D157*Projects!N4+E157*Projects!N5+F157*Projects!N6+G157*Projects!N7+H157*Projects!N8+I157*Projects!N9</s:f>
        <s:v>20600000</s:v>
      </s:c>
      <s:c r="K157" s="3">
        <s:f>B157*Projects!C2+C157*Projects!C3+D157*Projects!C4+E157*Projects!C5+F157*Projects!C6+G157*Projects!C7+H157*Projects!C8+I157*Projects!C9</s:f>
        <s:v>460</s:v>
      </s:c>
      <s:c r="L157" s="3">
        <s:f>B157*Projects!D2+C157*Projects!D3+D157*Projects!D4+E157*Projects!D5+F157*Projects!D6+G157*Projects!D7+H157*Projects!D8+I157*Projects!D9</s:f>
        <s:v>199</s:v>
      </s:c>
      <s:c r="M157" s="4">
        <s:f>B157*Projects!O2+C157*Projects!O3+D157*Projects!O4+E157*Projects!O5+F157*Projects!O6+G157*Projects!O7+H157*Projects!O8+I157*Projects!O9</s:f>
        <s:v>17807095.366999667</s:v>
      </s:c>
      <s:c r="N157" s="3">
        <s:f>B157*(1-Projects!Q2)+C157*(1-Projects!Q3)+D157*(1-Projects!Q4)+E157*(1-Projects!Q5)+F157*(1-Projects!Q6)+G157*(1-Projects!Q7)+H157*(1-Projects!Q8)+I157*(1-Projects!Q9)</s:f>
        <s:v>0</s:v>
      </s:c>
      <s:c r="O157" s="3">
        <s:f>IF(AND(J157&lt;=Inputs!B2,L157&gt;=Inputs!B3,M157&gt;=Inputs!B18,N157=0),1,0)</s:f>
        <s:v>0</s:v>
      </s:c>
      <s:c r="P157" s="3">
        <s:f>IF(O157=1,L157,-1)</s:f>
        <s:v>-1</s:v>
      </s:c>
      <s:c r="Q157" s="3">
        <s:f>IF(AND(O157=1,L157=MAX(P$2:P$257)),M157,-1E+99)</s:f>
        <s:v>-1e+99</s:v>
      </s:c>
    </s:row>
    <s:row r="158">
      <s:c r="A158" s="18" t="n">
        <s:v>156</s:v>
      </s:c>
      <s:c r="B158" s="18" t="n">
        <s:v>1</s:v>
      </s:c>
      <s:c r="C158" s="18" t="n">
        <s:v>0</s:v>
      </s:c>
      <s:c r="D158" s="18" t="n">
        <s:v>0</s:v>
      </s:c>
      <s:c r="E158" s="18" t="n">
        <s:v>1</s:v>
      </s:c>
      <s:c r="F158" s="18" t="n">
        <s:v>1</s:v>
      </s:c>
      <s:c r="G158" s="18" t="n">
        <s:v>1</s:v>
      </s:c>
      <s:c r="H158" s="18" t="n">
        <s:v>0</s:v>
      </s:c>
      <s:c r="I158" s="18" t="n">
        <s:v>0</s:v>
      </s:c>
      <s:c r="J158" s="5">
        <s:f>B158*Projects!N2+C158*Projects!N3+D158*Projects!N4+E158*Projects!N5+F158*Projects!N6+G158*Projects!N7+H158*Projects!N8+I158*Projects!N9</s:f>
        <s:v>15200000</s:v>
      </s:c>
      <s:c r="K158" s="2">
        <s:f>B158*Projects!C2+C158*Projects!C3+D158*Projects!C4+E158*Projects!C5+F158*Projects!C6+G158*Projects!C7+H158*Projects!C8+I158*Projects!C9</s:f>
        <s:v>340</s:v>
      </s:c>
      <s:c r="L158" s="2">
        <s:f>B158*Projects!D2+C158*Projects!D3+D158*Projects!D4+E158*Projects!D5+F158*Projects!D6+G158*Projects!D7+H158*Projects!D8+I158*Projects!D9</s:f>
        <s:v>146</s:v>
      </s:c>
      <s:c r="M158" s="5">
        <s:f>B158*Projects!O2+C158*Projects!O3+D158*Projects!O4+E158*Projects!O5+F158*Projects!O6+G158*Projects!O7+H158*Projects!O8+I158*Projects!O9</s:f>
        <s:v>12825272.583435327</s:v>
      </s:c>
      <s:c r="N158" s="2">
        <s:f>B158*(1-Projects!Q2)+C158*(1-Projects!Q3)+D158*(1-Projects!Q4)+E158*(1-Projects!Q5)+F158*(1-Projects!Q6)+G158*(1-Projects!Q7)+H158*(1-Projects!Q8)+I158*(1-Projects!Q9)</s:f>
        <s:v>0</s:v>
      </s:c>
      <s:c r="O158" s="2">
        <s:f>IF(AND(J158&lt;=Inputs!B2,L158&gt;=Inputs!B3,M158&gt;=Inputs!B18,N158=0),1,0)</s:f>
        <s:v>0</s:v>
      </s:c>
      <s:c r="P158" s="2">
        <s:f>IF(O158=1,L158,-1)</s:f>
        <s:v>-1</s:v>
      </s:c>
      <s:c r="Q158" s="2">
        <s:f>IF(AND(O158=1,L158=MAX(P$2:P$257)),M158,-1E+99)</s:f>
        <s:v>-1e+99</s:v>
      </s:c>
    </s:row>
    <s:row r="159">
      <s:c r="A159" s="19" t="n">
        <s:v>157</s:v>
      </s:c>
      <s:c r="B159" s="19" t="n">
        <s:v>1</s:v>
      </s:c>
      <s:c r="C159" s="19" t="n">
        <s:v>0</s:v>
      </s:c>
      <s:c r="D159" s="19" t="n">
        <s:v>0</s:v>
      </s:c>
      <s:c r="E159" s="19" t="n">
        <s:v>1</s:v>
      </s:c>
      <s:c r="F159" s="19" t="n">
        <s:v>1</s:v>
      </s:c>
      <s:c r="G159" s="19" t="n">
        <s:v>1</s:v>
      </s:c>
      <s:c r="H159" s="19" t="n">
        <s:v>0</s:v>
      </s:c>
      <s:c r="I159" s="19" t="n">
        <s:v>1</s:v>
      </s:c>
      <s:c r="J159" s="4">
        <s:f>B159*Projects!N2+C159*Projects!N3+D159*Projects!N4+E159*Projects!N5+F159*Projects!N6+G159*Projects!N7+H159*Projects!N8+I159*Projects!N9</s:f>
        <s:v>19700000</s:v>
      </s:c>
      <s:c r="K159" s="3">
        <s:f>B159*Projects!C2+C159*Projects!C3+D159*Projects!C4+E159*Projects!C5+F159*Projects!C6+G159*Projects!C7+H159*Projects!C8+I159*Projects!C9</s:f>
        <s:v>430</s:v>
      </s:c>
      <s:c r="L159" s="3">
        <s:f>B159*Projects!D2+C159*Projects!D3+D159*Projects!D4+E159*Projects!D5+F159*Projects!D6+G159*Projects!D7+H159*Projects!D8+I159*Projects!D9</s:f>
        <s:v>173</s:v>
      </s:c>
      <s:c r="M159" s="4">
        <s:f>B159*Projects!O2+C159*Projects!O3+D159*Projects!O4+E159*Projects!O5+F159*Projects!O6+G159*Projects!O7+H159*Projects!O8+I159*Projects!O9</s:f>
        <s:v>17281900.00897936</s:v>
      </s:c>
      <s:c r="N159" s="3">
        <s:f>B159*(1-Projects!Q2)+C159*(1-Projects!Q3)+D159*(1-Projects!Q4)+E159*(1-Projects!Q5)+F159*(1-Projects!Q6)+G159*(1-Projects!Q7)+H159*(1-Projects!Q8)+I159*(1-Projects!Q9)</s:f>
        <s:v>0</s:v>
      </s:c>
      <s:c r="O159" s="3">
        <s:f>IF(AND(J159&lt;=Inputs!B2,L159&gt;=Inputs!B3,M159&gt;=Inputs!B18,N159=0),1,0)</s:f>
        <s:v>0</s:v>
      </s:c>
      <s:c r="P159" s="3">
        <s:f>IF(O159=1,L159,-1)</s:f>
        <s:v>-1</s:v>
      </s:c>
      <s:c r="Q159" s="3">
        <s:f>IF(AND(O159=1,L159=MAX(P$2:P$257)),M159,-1E+99)</s:f>
        <s:v>-1e+99</s:v>
      </s:c>
    </s:row>
    <s:row r="160">
      <s:c r="A160" s="18" t="n">
        <s:v>158</s:v>
      </s:c>
      <s:c r="B160" s="18" t="n">
        <s:v>1</s:v>
      </s:c>
      <s:c r="C160" s="18" t="n">
        <s:v>0</s:v>
      </s:c>
      <s:c r="D160" s="18" t="n">
        <s:v>0</s:v>
      </s:c>
      <s:c r="E160" s="18" t="n">
        <s:v>1</s:v>
      </s:c>
      <s:c r="F160" s="18" t="n">
        <s:v>1</s:v>
      </s:c>
      <s:c r="G160" s="18" t="n">
        <s:v>1</s:v>
      </s:c>
      <s:c r="H160" s="18" t="n">
        <s:v>1</s:v>
      </s:c>
      <s:c r="I160" s="18" t="n">
        <s:v>0</s:v>
      </s:c>
      <s:c r="J160" s="5">
        <s:f>B160*Projects!N2+C160*Projects!N3+D160*Projects!N4+E160*Projects!N5+F160*Projects!N6+G160*Projects!N7+H160*Projects!N8+I160*Projects!N9</s:f>
        <s:v>19300000</s:v>
      </s:c>
      <s:c r="K160" s="2">
        <s:f>B160*Projects!C2+C160*Projects!C3+D160*Projects!C4+E160*Projects!C5+F160*Projects!C6+G160*Projects!C7+H160*Projects!C8+I160*Projects!C9</s:f>
        <s:v>450</s:v>
      </s:c>
      <s:c r="L160" s="2">
        <s:f>B160*Projects!D2+C160*Projects!D3+D160*Projects!D4+E160*Projects!D5+F160*Projects!D6+G160*Projects!D7+H160*Projects!D8+I160*Projects!D9</s:f>
        <s:v>212</s:v>
      </s:c>
      <s:c r="M160" s="5">
        <s:f>B160*Projects!O2+C160*Projects!O3+D160*Projects!O4+E160*Projects!O5+F160*Projects!O6+G160*Projects!O7+H160*Projects!O8+I160*Projects!O9</s:f>
        <s:v>15860646.561324634</s:v>
      </s:c>
      <s:c r="N160" s="2">
        <s:f>B160*(1-Projects!Q2)+C160*(1-Projects!Q3)+D160*(1-Projects!Q4)+E160*(1-Projects!Q5)+F160*(1-Projects!Q6)+G160*(1-Projects!Q7)+H160*(1-Projects!Q8)+I160*(1-Projects!Q9)</s:f>
        <s:v>0</s:v>
      </s:c>
      <s:c r="O160" s="2">
        <s:f>IF(AND(J160&lt;=Inputs!B2,L160&gt;=Inputs!B3,M160&gt;=Inputs!B18,N160=0),1,0)</s:f>
        <s:v>0</s:v>
      </s:c>
      <s:c r="P160" s="2">
        <s:f>IF(O160=1,L160,-1)</s:f>
        <s:v>-1</s:v>
      </s:c>
      <s:c r="Q160" s="2">
        <s:f>IF(AND(O160=1,L160=MAX(P$2:P$257)),M160,-1E+99)</s:f>
        <s:v>-1e+99</s:v>
      </s:c>
    </s:row>
    <s:row r="161">
      <s:c r="A161" s="19" t="n">
        <s:v>159</s:v>
      </s:c>
      <s:c r="B161" s="19" t="n">
        <s:v>1</s:v>
      </s:c>
      <s:c r="C161" s="19" t="n">
        <s:v>0</s:v>
      </s:c>
      <s:c r="D161" s="19" t="n">
        <s:v>0</s:v>
      </s:c>
      <s:c r="E161" s="19" t="n">
        <s:v>1</s:v>
      </s:c>
      <s:c r="F161" s="19" t="n">
        <s:v>1</s:v>
      </s:c>
      <s:c r="G161" s="19" t="n">
        <s:v>1</s:v>
      </s:c>
      <s:c r="H161" s="19" t="n">
        <s:v>1</s:v>
      </s:c>
      <s:c r="I161" s="19" t="n">
        <s:v>1</s:v>
      </s:c>
      <s:c r="J161" s="4">
        <s:f>B161*Projects!N2+C161*Projects!N3+D161*Projects!N4+E161*Projects!N5+F161*Projects!N6+G161*Projects!N7+H161*Projects!N8+I161*Projects!N9</s:f>
        <s:v>23800000</s:v>
      </s:c>
      <s:c r="K161" s="3">
        <s:f>B161*Projects!C2+C161*Projects!C3+D161*Projects!C4+E161*Projects!C5+F161*Projects!C6+G161*Projects!C7+H161*Projects!C8+I161*Projects!C9</s:f>
        <s:v>540</s:v>
      </s:c>
      <s:c r="L161" s="3">
        <s:f>B161*Projects!D2+C161*Projects!D3+D161*Projects!D4+E161*Projects!D5+F161*Projects!D6+G161*Projects!D7+H161*Projects!D8+I161*Projects!D9</s:f>
        <s:v>239</s:v>
      </s:c>
      <s:c r="M161" s="4">
        <s:f>B161*Projects!O2+C161*Projects!O3+D161*Projects!O4+E161*Projects!O5+F161*Projects!O6+G161*Projects!O7+H161*Projects!O8+I161*Projects!O9</s:f>
        <s:v>20317273.98686867</s:v>
      </s:c>
      <s:c r="N161" s="3">
        <s:f>B161*(1-Projects!Q2)+C161*(1-Projects!Q3)+D161*(1-Projects!Q4)+E161*(1-Projects!Q5)+F161*(1-Projects!Q6)+G161*(1-Projects!Q7)+H161*(1-Projects!Q8)+I161*(1-Projects!Q9)</s:f>
        <s:v>0</s:v>
      </s:c>
      <s:c r="O161" s="3">
        <s:f>IF(AND(J161&lt;=Inputs!B2,L161&gt;=Inputs!B3,M161&gt;=Inputs!B18,N161=0),1,0)</s:f>
        <s:v>0</s:v>
      </s:c>
      <s:c r="P161" s="3">
        <s:f>IF(O161=1,L161,-1)</s:f>
        <s:v>-1</s:v>
      </s:c>
      <s:c r="Q161" s="3">
        <s:f>IF(AND(O161=1,L161=MAX(P$2:P$257)),M161,-1E+99)</s:f>
        <s:v>-1e+99</s:v>
      </s:c>
    </s:row>
    <s:row r="162">
      <s:c r="A162" s="18" t="n">
        <s:v>160</s:v>
      </s:c>
      <s:c r="B162" s="18" t="n">
        <s:v>1</s:v>
      </s:c>
      <s:c r="C162" s="18" t="n">
        <s:v>0</s:v>
      </s:c>
      <s:c r="D162" s="18" t="n">
        <s:v>1</s:v>
      </s:c>
      <s:c r="E162" s="18" t="n">
        <s:v>0</s:v>
      </s:c>
      <s:c r="F162" s="18" t="n">
        <s:v>0</s:v>
      </s:c>
      <s:c r="G162" s="18" t="n">
        <s:v>0</s:v>
      </s:c>
      <s:c r="H162" s="18" t="n">
        <s:v>0</s:v>
      </s:c>
      <s:c r="I162" s="18" t="n">
        <s:v>0</s:v>
      </s:c>
      <s:c r="J162" s="5">
        <s:f>B162*Projects!N2+C162*Projects!N3+D162*Projects!N4+E162*Projects!N5+F162*Projects!N6+G162*Projects!N7+H162*Projects!N8+I162*Projects!N9</s:f>
        <s:v>9700000</s:v>
      </s:c>
      <s:c r="K162" s="2">
        <s:f>B162*Projects!C2+C162*Projects!C3+D162*Projects!C4+E162*Projects!C5+F162*Projects!C6+G162*Projects!C7+H162*Projects!C8+I162*Projects!C9</s:f>
        <s:v>220</s:v>
      </s:c>
      <s:c r="L162" s="2">
        <s:f>B162*Projects!D2+C162*Projects!D3+D162*Projects!D4+E162*Projects!D5+F162*Projects!D6+G162*Projects!D7+H162*Projects!D8+I162*Projects!D9</s:f>
        <s:v>100</s:v>
      </s:c>
      <s:c r="M162" s="5">
        <s:f>B162*Projects!O2+C162*Projects!O3+D162*Projects!O4+E162*Projects!O5+F162*Projects!O6+G162*Projects!O7+H162*Projects!O8+I162*Projects!O9</s:f>
        <s:v>7788045.107179308</s:v>
      </s:c>
      <s:c r="N162" s="2">
        <s:f>B162*(1-Projects!Q2)+C162*(1-Projects!Q3)+D162*(1-Projects!Q4)+E162*(1-Projects!Q5)+F162*(1-Projects!Q6)+G162*(1-Projects!Q7)+H162*(1-Projects!Q8)+I162*(1-Projects!Q9)</s:f>
        <s:v>0</s:v>
      </s:c>
      <s:c r="O162" s="2">
        <s:f>IF(AND(J162&lt;=Inputs!B2,L162&gt;=Inputs!B3,M162&gt;=Inputs!B18,N162=0),1,0)</s:f>
        <s:v>1</s:v>
      </s:c>
      <s:c r="P162" s="2">
        <s:f>IF(O162=1,L162,-1)</s:f>
        <s:v>100</s:v>
      </s:c>
      <s:c r="Q162" s="2">
        <s:f>IF(AND(O162=1,L162=MAX(P$2:P$257)),M162,-1E+99)</s:f>
        <s:v>-1e+99</s:v>
      </s:c>
    </s:row>
    <s:row r="163">
      <s:c r="A163" s="19" t="n">
        <s:v>161</s:v>
      </s:c>
      <s:c r="B163" s="19" t="n">
        <s:v>1</s:v>
      </s:c>
      <s:c r="C163" s="19" t="n">
        <s:v>0</s:v>
      </s:c>
      <s:c r="D163" s="19" t="n">
        <s:v>1</s:v>
      </s:c>
      <s:c r="E163" s="19" t="n">
        <s:v>0</s:v>
      </s:c>
      <s:c r="F163" s="19" t="n">
        <s:v>0</s:v>
      </s:c>
      <s:c r="G163" s="19" t="n">
        <s:v>0</s:v>
      </s:c>
      <s:c r="H163" s="19" t="n">
        <s:v>0</s:v>
      </s:c>
      <s:c r="I163" s="19" t="n">
        <s:v>1</s:v>
      </s:c>
      <s:c r="J163" s="4">
        <s:f>B163*Projects!N2+C163*Projects!N3+D163*Projects!N4+E163*Projects!N5+F163*Projects!N6+G163*Projects!N7+H163*Projects!N8+I163*Projects!N9</s:f>
        <s:v>14200000</s:v>
      </s:c>
      <s:c r="K163" s="3">
        <s:f>B163*Projects!C2+C163*Projects!C3+D163*Projects!C4+E163*Projects!C5+F163*Projects!C6+G163*Projects!C7+H163*Projects!C8+I163*Projects!C9</s:f>
        <s:v>310</s:v>
      </s:c>
      <s:c r="L163" s="3">
        <s:f>B163*Projects!D2+C163*Projects!D3+D163*Projects!D4+E163*Projects!D5+F163*Projects!D6+G163*Projects!D7+H163*Projects!D8+I163*Projects!D9</s:f>
        <s:v>127</s:v>
      </s:c>
      <s:c r="M163" s="4">
        <s:f>B163*Projects!O2+C163*Projects!O3+D163*Projects!O4+E163*Projects!O5+F163*Projects!O6+G163*Projects!O7+H163*Projects!O8+I163*Projects!O9</s:f>
        <s:v>12244672.532723345</s:v>
      </s:c>
      <s:c r="N163" s="3">
        <s:f>B163*(1-Projects!Q2)+C163*(1-Projects!Q3)+D163*(1-Projects!Q4)+E163*(1-Projects!Q5)+F163*(1-Projects!Q6)+G163*(1-Projects!Q7)+H163*(1-Projects!Q8)+I163*(1-Projects!Q9)</s:f>
        <s:v>0</s:v>
      </s:c>
      <s:c r="O163" s="3">
        <s:f>IF(AND(J163&lt;=Inputs!B2,L163&gt;=Inputs!B3,M163&gt;=Inputs!B18,N163=0),1,0)</s:f>
        <s:v>1</s:v>
      </s:c>
      <s:c r="P163" s="3">
        <s:f>IF(O163=1,L163,-1)</s:f>
        <s:v>127</s:v>
      </s:c>
      <s:c r="Q163" s="3">
        <s:f>IF(AND(O163=1,L163=MAX(P$2:P$257)),M163,-1E+99)</s:f>
        <s:v>-1e+99</s:v>
      </s:c>
    </s:row>
    <s:row r="164">
      <s:c r="A164" s="18" t="n">
        <s:v>162</s:v>
      </s:c>
      <s:c r="B164" s="18" t="n">
        <s:v>1</s:v>
      </s:c>
      <s:c r="C164" s="18" t="n">
        <s:v>0</s:v>
      </s:c>
      <s:c r="D164" s="18" t="n">
        <s:v>1</s:v>
      </s:c>
      <s:c r="E164" s="18" t="n">
        <s:v>0</s:v>
      </s:c>
      <s:c r="F164" s="18" t="n">
        <s:v>0</s:v>
      </s:c>
      <s:c r="G164" s="18" t="n">
        <s:v>0</s:v>
      </s:c>
      <s:c r="H164" s="18" t="n">
        <s:v>1</s:v>
      </s:c>
      <s:c r="I164" s="18" t="n">
        <s:v>0</s:v>
      </s:c>
      <s:c r="J164" s="5">
        <s:f>B164*Projects!N2+C164*Projects!N3+D164*Projects!N4+E164*Projects!N5+F164*Projects!N6+G164*Projects!N7+H164*Projects!N8+I164*Projects!N9</s:f>
        <s:v>13800000</s:v>
      </s:c>
      <s:c r="K164" s="2">
        <s:f>B164*Projects!C2+C164*Projects!C3+D164*Projects!C4+E164*Projects!C5+F164*Projects!C6+G164*Projects!C7+H164*Projects!C8+I164*Projects!C9</s:f>
        <s:v>330</s:v>
      </s:c>
      <s:c r="L164" s="2">
        <s:f>B164*Projects!D2+C164*Projects!D3+D164*Projects!D4+E164*Projects!D5+F164*Projects!D6+G164*Projects!D7+H164*Projects!D8+I164*Projects!D9</s:f>
        <s:v>166</s:v>
      </s:c>
      <s:c r="M164" s="5">
        <s:f>B164*Projects!O2+C164*Projects!O3+D164*Projects!O4+E164*Projects!O5+F164*Projects!O6+G164*Projects!O7+H164*Projects!O8+I164*Projects!O9</s:f>
        <s:v>10823419.085068615</s:v>
      </s:c>
      <s:c r="N164" s="2">
        <s:f>B164*(1-Projects!Q2)+C164*(1-Projects!Q3)+D164*(1-Projects!Q4)+E164*(1-Projects!Q5)+F164*(1-Projects!Q6)+G164*(1-Projects!Q7)+H164*(1-Projects!Q8)+I164*(1-Projects!Q9)</s:f>
        <s:v>0</s:v>
      </s:c>
      <s:c r="O164" s="2">
        <s:f>IF(AND(J164&lt;=Inputs!B2,L164&gt;=Inputs!B3,M164&gt;=Inputs!B18,N164=0),1,0)</s:f>
        <s:v>1</s:v>
      </s:c>
      <s:c r="P164" s="2">
        <s:f>IF(O164=1,L164,-1)</s:f>
        <s:v>166</s:v>
      </s:c>
      <s:c r="Q164" s="2">
        <s:f>IF(AND(O164=1,L164=MAX(P$2:P$257)),M164,-1E+99)</s:f>
        <s:v>-1e+99</s:v>
      </s:c>
    </s:row>
    <s:row r="165">
      <s:c r="A165" s="19" t="n">
        <s:v>163</s:v>
      </s:c>
      <s:c r="B165" s="19" t="n">
        <s:v>1</s:v>
      </s:c>
      <s:c r="C165" s="19" t="n">
        <s:v>0</s:v>
      </s:c>
      <s:c r="D165" s="19" t="n">
        <s:v>1</s:v>
      </s:c>
      <s:c r="E165" s="19" t="n">
        <s:v>0</s:v>
      </s:c>
      <s:c r="F165" s="19" t="n">
        <s:v>0</s:v>
      </s:c>
      <s:c r="G165" s="19" t="n">
        <s:v>0</s:v>
      </s:c>
      <s:c r="H165" s="19" t="n">
        <s:v>1</s:v>
      </s:c>
      <s:c r="I165" s="19" t="n">
        <s:v>1</s:v>
      </s:c>
      <s:c r="J165" s="4">
        <s:f>B165*Projects!N2+C165*Projects!N3+D165*Projects!N4+E165*Projects!N5+F165*Projects!N6+G165*Projects!N7+H165*Projects!N8+I165*Projects!N9</s:f>
        <s:v>18300000</s:v>
      </s:c>
      <s:c r="K165" s="3">
        <s:f>B165*Projects!C2+C165*Projects!C3+D165*Projects!C4+E165*Projects!C5+F165*Projects!C6+G165*Projects!C7+H165*Projects!C8+I165*Projects!C9</s:f>
        <s:v>420</s:v>
      </s:c>
      <s:c r="L165" s="3">
        <s:f>B165*Projects!D2+C165*Projects!D3+D165*Projects!D4+E165*Projects!D5+F165*Projects!D6+G165*Projects!D7+H165*Projects!D8+I165*Projects!D9</s:f>
        <s:v>193</s:v>
      </s:c>
      <s:c r="M165" s="4">
        <s:f>B165*Projects!O2+C165*Projects!O3+D165*Projects!O4+E165*Projects!O5+F165*Projects!O6+G165*Projects!O7+H165*Projects!O8+I165*Projects!O9</s:f>
        <s:v>15280046.510612652</s:v>
      </s:c>
      <s:c r="N165" s="3">
        <s:f>B165*(1-Projects!Q2)+C165*(1-Projects!Q3)+D165*(1-Projects!Q4)+E165*(1-Projects!Q5)+F165*(1-Projects!Q6)+G165*(1-Projects!Q7)+H165*(1-Projects!Q8)+I165*(1-Projects!Q9)</s:f>
        <s:v>0</s:v>
      </s:c>
      <s:c r="O165" s="3">
        <s:f>IF(AND(J165&lt;=Inputs!B2,L165&gt;=Inputs!B3,M165&gt;=Inputs!B18,N165=0),1,0)</s:f>
        <s:v>0</s:v>
      </s:c>
      <s:c r="P165" s="3">
        <s:f>IF(O165=1,L165,-1)</s:f>
        <s:v>-1</s:v>
      </s:c>
      <s:c r="Q165" s="3">
        <s:f>IF(AND(O165=1,L165=MAX(P$2:P$257)),M165,-1E+99)</s:f>
        <s:v>-1e+99</s:v>
      </s:c>
    </s:row>
    <s:row r="166">
      <s:c r="A166" s="18" t="n">
        <s:v>164</s:v>
      </s:c>
      <s:c r="B166" s="18" t="n">
        <s:v>1</s:v>
      </s:c>
      <s:c r="C166" s="18" t="n">
        <s:v>0</s:v>
      </s:c>
      <s:c r="D166" s="18" t="n">
        <s:v>1</s:v>
      </s:c>
      <s:c r="E166" s="18" t="n">
        <s:v>0</s:v>
      </s:c>
      <s:c r="F166" s="18" t="n">
        <s:v>0</s:v>
      </s:c>
      <s:c r="G166" s="18" t="n">
        <s:v>1</s:v>
      </s:c>
      <s:c r="H166" s="18" t="n">
        <s:v>0</s:v>
      </s:c>
      <s:c r="I166" s="18" t="n">
        <s:v>0</s:v>
      </s:c>
      <s:c r="J166" s="5">
        <s:f>B166*Projects!N2+C166*Projects!N3+D166*Projects!N4+E166*Projects!N5+F166*Projects!N6+G166*Projects!N7+H166*Projects!N8+I166*Projects!N9</s:f>
        <s:v>12900000</s:v>
      </s:c>
      <s:c r="K166" s="2">
        <s:f>B166*Projects!C2+C166*Projects!C3+D166*Projects!C4+E166*Projects!C5+F166*Projects!C6+G166*Projects!C7+H166*Projects!C8+I166*Projects!C9</s:f>
        <s:v>300</s:v>
      </s:c>
      <s:c r="L166" s="2">
        <s:f>B166*Projects!D2+C166*Projects!D3+D166*Projects!D4+E166*Projects!D5+F166*Projects!D6+G166*Projects!D7+H166*Projects!D8+I166*Projects!D9</s:f>
        <s:v>140</s:v>
      </s:c>
      <s:c r="M166" s="5">
        <s:f>B166*Projects!O2+C166*Projects!O3+D166*Projects!O4+E166*Projects!O5+F166*Projects!O6+G166*Projects!O7+H166*Projects!O8+I166*Projects!O9</s:f>
        <s:v>10298223.727048311</s:v>
      </s:c>
      <s:c r="N166" s="2">
        <s:f>B166*(1-Projects!Q2)+C166*(1-Projects!Q3)+D166*(1-Projects!Q4)+E166*(1-Projects!Q5)+F166*(1-Projects!Q6)+G166*(1-Projects!Q7)+H166*(1-Projects!Q8)+I166*(1-Projects!Q9)</s:f>
        <s:v>0</s:v>
      </s:c>
      <s:c r="O166" s="2">
        <s:f>IF(AND(J166&lt;=Inputs!B2,L166&gt;=Inputs!B3,M166&gt;=Inputs!B18,N166=0),1,0)</s:f>
        <s:v>1</s:v>
      </s:c>
      <s:c r="P166" s="2">
        <s:f>IF(O166=1,L166,-1)</s:f>
        <s:v>140</s:v>
      </s:c>
      <s:c r="Q166" s="2">
        <s:f>IF(AND(O166=1,L166=MAX(P$2:P$257)),M166,-1E+99)</s:f>
        <s:v>-1e+99</s:v>
      </s:c>
    </s:row>
    <s:row r="167">
      <s:c r="A167" s="19" t="n">
        <s:v>165</s:v>
      </s:c>
      <s:c r="B167" s="19" t="n">
        <s:v>1</s:v>
      </s:c>
      <s:c r="C167" s="19" t="n">
        <s:v>0</s:v>
      </s:c>
      <s:c r="D167" s="19" t="n">
        <s:v>1</s:v>
      </s:c>
      <s:c r="E167" s="19" t="n">
        <s:v>0</s:v>
      </s:c>
      <s:c r="F167" s="19" t="n">
        <s:v>0</s:v>
      </s:c>
      <s:c r="G167" s="19" t="n">
        <s:v>1</s:v>
      </s:c>
      <s:c r="H167" s="19" t="n">
        <s:v>0</s:v>
      </s:c>
      <s:c r="I167" s="19" t="n">
        <s:v>1</s:v>
      </s:c>
      <s:c r="J167" s="4">
        <s:f>B167*Projects!N2+C167*Projects!N3+D167*Projects!N4+E167*Projects!N5+F167*Projects!N6+G167*Projects!N7+H167*Projects!N8+I167*Projects!N9</s:f>
        <s:v>17400000</s:v>
      </s:c>
      <s:c r="K167" s="3">
        <s:f>B167*Projects!C2+C167*Projects!C3+D167*Projects!C4+E167*Projects!C5+F167*Projects!C6+G167*Projects!C7+H167*Projects!C8+I167*Projects!C9</s:f>
        <s:v>390</s:v>
      </s:c>
      <s:c r="L167" s="3">
        <s:f>B167*Projects!D2+C167*Projects!D3+D167*Projects!D4+E167*Projects!D5+F167*Projects!D6+G167*Projects!D7+H167*Projects!D8+I167*Projects!D9</s:f>
        <s:v>167</s:v>
      </s:c>
      <s:c r="M167" s="4">
        <s:f>B167*Projects!O2+C167*Projects!O3+D167*Projects!O4+E167*Projects!O5+F167*Projects!O6+G167*Projects!O7+H167*Projects!O8+I167*Projects!O9</s:f>
        <s:v>14754851.152592346</s:v>
      </s:c>
      <s:c r="N167" s="3">
        <s:f>B167*(1-Projects!Q2)+C167*(1-Projects!Q3)+D167*(1-Projects!Q4)+E167*(1-Projects!Q5)+F167*(1-Projects!Q6)+G167*(1-Projects!Q7)+H167*(1-Projects!Q8)+I167*(1-Projects!Q9)</s:f>
        <s:v>0</s:v>
      </s:c>
      <s:c r="O167" s="3">
        <s:f>IF(AND(J167&lt;=Inputs!B2,L167&gt;=Inputs!B3,M167&gt;=Inputs!B18,N167=0),1,0)</s:f>
        <s:v>0</s:v>
      </s:c>
      <s:c r="P167" s="3">
        <s:f>IF(O167=1,L167,-1)</s:f>
        <s:v>-1</s:v>
      </s:c>
      <s:c r="Q167" s="3">
        <s:f>IF(AND(O167=1,L167=MAX(P$2:P$257)),M167,-1E+99)</s:f>
        <s:v>-1e+99</s:v>
      </s:c>
    </s:row>
    <s:row r="168">
      <s:c r="A168" s="18" t="n">
        <s:v>166</s:v>
      </s:c>
      <s:c r="B168" s="18" t="n">
        <s:v>1</s:v>
      </s:c>
      <s:c r="C168" s="18" t="n">
        <s:v>0</s:v>
      </s:c>
      <s:c r="D168" s="18" t="n">
        <s:v>1</s:v>
      </s:c>
      <s:c r="E168" s="18" t="n">
        <s:v>0</s:v>
      </s:c>
      <s:c r="F168" s="18" t="n">
        <s:v>0</s:v>
      </s:c>
      <s:c r="G168" s="18" t="n">
        <s:v>1</s:v>
      </s:c>
      <s:c r="H168" s="18" t="n">
        <s:v>1</s:v>
      </s:c>
      <s:c r="I168" s="18" t="n">
        <s:v>0</s:v>
      </s:c>
      <s:c r="J168" s="5">
        <s:f>B168*Projects!N2+C168*Projects!N3+D168*Projects!N4+E168*Projects!N5+F168*Projects!N6+G168*Projects!N7+H168*Projects!N8+I168*Projects!N9</s:f>
        <s:v>17000000</s:v>
      </s:c>
      <s:c r="K168" s="2">
        <s:f>B168*Projects!C2+C168*Projects!C3+D168*Projects!C4+E168*Projects!C5+F168*Projects!C6+G168*Projects!C7+H168*Projects!C8+I168*Projects!C9</s:f>
        <s:v>410</s:v>
      </s:c>
      <s:c r="L168" s="2">
        <s:f>B168*Projects!D2+C168*Projects!D3+D168*Projects!D4+E168*Projects!D5+F168*Projects!D6+G168*Projects!D7+H168*Projects!D8+I168*Projects!D9</s:f>
        <s:v>206</s:v>
      </s:c>
      <s:c r="M168" s="5">
        <s:f>B168*Projects!O2+C168*Projects!O3+D168*Projects!O4+E168*Projects!O5+F168*Projects!O6+G168*Projects!O7+H168*Projects!O8+I168*Projects!O9</s:f>
        <s:v>13333597.704937618</s:v>
      </s:c>
      <s:c r="N168" s="2">
        <s:f>B168*(1-Projects!Q2)+C168*(1-Projects!Q3)+D168*(1-Projects!Q4)+E168*(1-Projects!Q5)+F168*(1-Projects!Q6)+G168*(1-Projects!Q7)+H168*(1-Projects!Q8)+I168*(1-Projects!Q9)</s:f>
        <s:v>0</s:v>
      </s:c>
      <s:c r="O168" s="2">
        <s:f>IF(AND(J168&lt;=Inputs!B2,L168&gt;=Inputs!B3,M168&gt;=Inputs!B18,N168=0),1,0)</s:f>
        <s:v>0</s:v>
      </s:c>
      <s:c r="P168" s="2">
        <s:f>IF(O168=1,L168,-1)</s:f>
        <s:v>-1</s:v>
      </s:c>
      <s:c r="Q168" s="2">
        <s:f>IF(AND(O168=1,L168=MAX(P$2:P$257)),M168,-1E+99)</s:f>
        <s:v>-1e+99</s:v>
      </s:c>
    </s:row>
    <s:row r="169">
      <s:c r="A169" s="19" t="n">
        <s:v>167</s:v>
      </s:c>
      <s:c r="B169" s="19" t="n">
        <s:v>1</s:v>
      </s:c>
      <s:c r="C169" s="19" t="n">
        <s:v>0</s:v>
      </s:c>
      <s:c r="D169" s="19" t="n">
        <s:v>1</s:v>
      </s:c>
      <s:c r="E169" s="19" t="n">
        <s:v>0</s:v>
      </s:c>
      <s:c r="F169" s="19" t="n">
        <s:v>0</s:v>
      </s:c>
      <s:c r="G169" s="19" t="n">
        <s:v>1</s:v>
      </s:c>
      <s:c r="H169" s="19" t="n">
        <s:v>1</s:v>
      </s:c>
      <s:c r="I169" s="19" t="n">
        <s:v>1</s:v>
      </s:c>
      <s:c r="J169" s="4">
        <s:f>B169*Projects!N2+C169*Projects!N3+D169*Projects!N4+E169*Projects!N5+F169*Projects!N6+G169*Projects!N7+H169*Projects!N8+I169*Projects!N9</s:f>
        <s:v>21500000</s:v>
      </s:c>
      <s:c r="K169" s="3">
        <s:f>B169*Projects!C2+C169*Projects!C3+D169*Projects!C4+E169*Projects!C5+F169*Projects!C6+G169*Projects!C7+H169*Projects!C8+I169*Projects!C9</s:f>
        <s:v>500</s:v>
      </s:c>
      <s:c r="L169" s="3">
        <s:f>B169*Projects!D2+C169*Projects!D3+D169*Projects!D4+E169*Projects!D5+F169*Projects!D6+G169*Projects!D7+H169*Projects!D8+I169*Projects!D9</s:f>
        <s:v>233</s:v>
      </s:c>
      <s:c r="M169" s="4">
        <s:f>B169*Projects!O2+C169*Projects!O3+D169*Projects!O4+E169*Projects!O5+F169*Projects!O6+G169*Projects!O7+H169*Projects!O8+I169*Projects!O9</s:f>
        <s:v>17790225.130481653</s:v>
      </s:c>
      <s:c r="N169" s="3">
        <s:f>B169*(1-Projects!Q2)+C169*(1-Projects!Q3)+D169*(1-Projects!Q4)+E169*(1-Projects!Q5)+F169*(1-Projects!Q6)+G169*(1-Projects!Q7)+H169*(1-Projects!Q8)+I169*(1-Projects!Q9)</s:f>
        <s:v>0</s:v>
      </s:c>
      <s:c r="O169" s="3">
        <s:f>IF(AND(J169&lt;=Inputs!B2,L169&gt;=Inputs!B3,M169&gt;=Inputs!B18,N169=0),1,0)</s:f>
        <s:v>0</s:v>
      </s:c>
      <s:c r="P169" s="3">
        <s:f>IF(O169=1,L169,-1)</s:f>
        <s:v>-1</s:v>
      </s:c>
      <s:c r="Q169" s="3">
        <s:f>IF(AND(O169=1,L169=MAX(P$2:P$257)),M169,-1E+99)</s:f>
        <s:v>-1e+99</s:v>
      </s:c>
    </s:row>
    <s:row r="170">
      <s:c r="A170" s="18" t="n">
        <s:v>168</s:v>
      </s:c>
      <s:c r="B170" s="18" t="n">
        <s:v>1</s:v>
      </s:c>
      <s:c r="C170" s="18" t="n">
        <s:v>0</s:v>
      </s:c>
      <s:c r="D170" s="18" t="n">
        <s:v>1</s:v>
      </s:c>
      <s:c r="E170" s="18" t="n">
        <s:v>0</s:v>
      </s:c>
      <s:c r="F170" s="18" t="n">
        <s:v>1</s:v>
      </s:c>
      <s:c r="G170" s="18" t="n">
        <s:v>0</s:v>
      </s:c>
      <s:c r="H170" s="18" t="n">
        <s:v>0</s:v>
      </s:c>
      <s:c r="I170" s="18" t="n">
        <s:v>0</s:v>
      </s:c>
      <s:c r="J170" s="5">
        <s:f>B170*Projects!N2+C170*Projects!N3+D170*Projects!N4+E170*Projects!N5+F170*Projects!N6+G170*Projects!N7+H170*Projects!N8+I170*Projects!N9</s:f>
        <s:v>13500000</s:v>
      </s:c>
      <s:c r="K170" s="2">
        <s:f>B170*Projects!C2+C170*Projects!C3+D170*Projects!C4+E170*Projects!C5+F170*Projects!C6+G170*Projects!C7+H170*Projects!C8+I170*Projects!C9</s:f>
        <s:v>310</s:v>
      </s:c>
      <s:c r="L170" s="2">
        <s:f>B170*Projects!D2+C170*Projects!D3+D170*Projects!D4+E170*Projects!D5+F170*Projects!D6+G170*Projects!D7+H170*Projects!D8+I170*Projects!D9</s:f>
        <s:v>145</s:v>
      </s:c>
      <s:c r="M170" s="5">
        <s:f>B170*Projects!O2+C170*Projects!O3+D170*Projects!O4+E170*Projects!O5+F170*Projects!O6+G170*Projects!O7+H170*Projects!O8+I170*Projects!O9</s:f>
        <s:v>10790007.469187371</s:v>
      </s:c>
      <s:c r="N170" s="2">
        <s:f>B170*(1-Projects!Q2)+C170*(1-Projects!Q3)+D170*(1-Projects!Q4)+E170*(1-Projects!Q5)+F170*(1-Projects!Q6)+G170*(1-Projects!Q7)+H170*(1-Projects!Q8)+I170*(1-Projects!Q9)</s:f>
        <s:v>0</s:v>
      </s:c>
      <s:c r="O170" s="2">
        <s:f>IF(AND(J170&lt;=Inputs!B2,L170&gt;=Inputs!B3,M170&gt;=Inputs!B18,N170=0),1,0)</s:f>
        <s:v>1</s:v>
      </s:c>
      <s:c r="P170" s="2">
        <s:f>IF(O170=1,L170,-1)</s:f>
        <s:v>145</s:v>
      </s:c>
      <s:c r="Q170" s="2">
        <s:f>IF(AND(O170=1,L170=MAX(P$2:P$257)),M170,-1E+99)</s:f>
        <s:v>-1e+99</s:v>
      </s:c>
    </s:row>
    <s:row r="171">
      <s:c r="A171" s="19" t="n">
        <s:v>169</s:v>
      </s:c>
      <s:c r="B171" s="19" t="n">
        <s:v>1</s:v>
      </s:c>
      <s:c r="C171" s="19" t="n">
        <s:v>0</s:v>
      </s:c>
      <s:c r="D171" s="19" t="n">
        <s:v>1</s:v>
      </s:c>
      <s:c r="E171" s="19" t="n">
        <s:v>0</s:v>
      </s:c>
      <s:c r="F171" s="19" t="n">
        <s:v>1</s:v>
      </s:c>
      <s:c r="G171" s="19" t="n">
        <s:v>0</s:v>
      </s:c>
      <s:c r="H171" s="19" t="n">
        <s:v>0</s:v>
      </s:c>
      <s:c r="I171" s="19" t="n">
        <s:v>1</s:v>
      </s:c>
      <s:c r="J171" s="4">
        <s:f>B171*Projects!N2+C171*Projects!N3+D171*Projects!N4+E171*Projects!N5+F171*Projects!N6+G171*Projects!N7+H171*Projects!N8+I171*Projects!N9</s:f>
        <s:v>18000000</s:v>
      </s:c>
      <s:c r="K171" s="3">
        <s:f>B171*Projects!C2+C171*Projects!C3+D171*Projects!C4+E171*Projects!C5+F171*Projects!C6+G171*Projects!C7+H171*Projects!C8+I171*Projects!C9</s:f>
        <s:v>400</s:v>
      </s:c>
      <s:c r="L171" s="3">
        <s:f>B171*Projects!D2+C171*Projects!D3+D171*Projects!D4+E171*Projects!D5+F171*Projects!D6+G171*Projects!D7+H171*Projects!D8+I171*Projects!D9</s:f>
        <s:v>172</s:v>
      </s:c>
      <s:c r="M171" s="4">
        <s:f>B171*Projects!O2+C171*Projects!O3+D171*Projects!O4+E171*Projects!O5+F171*Projects!O6+G171*Projects!O7+H171*Projects!O8+I171*Projects!O9</s:f>
        <s:v>15246634.894731406</s:v>
      </s:c>
      <s:c r="N171" s="3">
        <s:f>B171*(1-Projects!Q2)+C171*(1-Projects!Q3)+D171*(1-Projects!Q4)+E171*(1-Projects!Q5)+F171*(1-Projects!Q6)+G171*(1-Projects!Q7)+H171*(1-Projects!Q8)+I171*(1-Projects!Q9)</s:f>
        <s:v>0</s:v>
      </s:c>
      <s:c r="O171" s="3">
        <s:f>IF(AND(J171&lt;=Inputs!B2,L171&gt;=Inputs!B3,M171&gt;=Inputs!B18,N171=0),1,0)</s:f>
        <s:v>0</s:v>
      </s:c>
      <s:c r="P171" s="3">
        <s:f>IF(O171=1,L171,-1)</s:f>
        <s:v>-1</s:v>
      </s:c>
      <s:c r="Q171" s="3">
        <s:f>IF(AND(O171=1,L171=MAX(P$2:P$257)),M171,-1E+99)</s:f>
        <s:v>-1e+99</s:v>
      </s:c>
    </s:row>
    <s:row r="172">
      <s:c r="A172" s="18" t="n">
        <s:v>170</s:v>
      </s:c>
      <s:c r="B172" s="18" t="n">
        <s:v>1</s:v>
      </s:c>
      <s:c r="C172" s="18" t="n">
        <s:v>0</s:v>
      </s:c>
      <s:c r="D172" s="18" t="n">
        <s:v>1</s:v>
      </s:c>
      <s:c r="E172" s="18" t="n">
        <s:v>0</s:v>
      </s:c>
      <s:c r="F172" s="18" t="n">
        <s:v>1</s:v>
      </s:c>
      <s:c r="G172" s="18" t="n">
        <s:v>0</s:v>
      </s:c>
      <s:c r="H172" s="18" t="n">
        <s:v>1</s:v>
      </s:c>
      <s:c r="I172" s="18" t="n">
        <s:v>0</s:v>
      </s:c>
      <s:c r="J172" s="5">
        <s:f>B172*Projects!N2+C172*Projects!N3+D172*Projects!N4+E172*Projects!N5+F172*Projects!N6+G172*Projects!N7+H172*Projects!N8+I172*Projects!N9</s:f>
        <s:v>17600000</s:v>
      </s:c>
      <s:c r="K172" s="2">
        <s:f>B172*Projects!C2+C172*Projects!C3+D172*Projects!C4+E172*Projects!C5+F172*Projects!C6+G172*Projects!C7+H172*Projects!C8+I172*Projects!C9</s:f>
        <s:v>420</s:v>
      </s:c>
      <s:c r="L172" s="2">
        <s:f>B172*Projects!D2+C172*Projects!D3+D172*Projects!D4+E172*Projects!D5+F172*Projects!D6+G172*Projects!D7+H172*Projects!D8+I172*Projects!D9</s:f>
        <s:v>211</s:v>
      </s:c>
      <s:c r="M172" s="5">
        <s:f>B172*Projects!O2+C172*Projects!O3+D172*Projects!O4+E172*Projects!O5+F172*Projects!O6+G172*Projects!O7+H172*Projects!O8+I172*Projects!O9</s:f>
        <s:v>13825381.447076678</s:v>
      </s:c>
      <s:c r="N172" s="2">
        <s:f>B172*(1-Projects!Q2)+C172*(1-Projects!Q3)+D172*(1-Projects!Q4)+E172*(1-Projects!Q5)+F172*(1-Projects!Q6)+G172*(1-Projects!Q7)+H172*(1-Projects!Q8)+I172*(1-Projects!Q9)</s:f>
        <s:v>0</s:v>
      </s:c>
      <s:c r="O172" s="2">
        <s:f>IF(AND(J172&lt;=Inputs!B2,L172&gt;=Inputs!B3,M172&gt;=Inputs!B18,N172=0),1,0)</s:f>
        <s:v>0</s:v>
      </s:c>
      <s:c r="P172" s="2">
        <s:f>IF(O172=1,L172,-1)</s:f>
        <s:v>-1</s:v>
      </s:c>
      <s:c r="Q172" s="2">
        <s:f>IF(AND(O172=1,L172=MAX(P$2:P$257)),M172,-1E+99)</s:f>
        <s:v>-1e+99</s:v>
      </s:c>
    </s:row>
    <s:row r="173">
      <s:c r="A173" s="19" t="n">
        <s:v>171</s:v>
      </s:c>
      <s:c r="B173" s="19" t="n">
        <s:v>1</s:v>
      </s:c>
      <s:c r="C173" s="19" t="n">
        <s:v>0</s:v>
      </s:c>
      <s:c r="D173" s="19" t="n">
        <s:v>1</s:v>
      </s:c>
      <s:c r="E173" s="19" t="n">
        <s:v>0</s:v>
      </s:c>
      <s:c r="F173" s="19" t="n">
        <s:v>1</s:v>
      </s:c>
      <s:c r="G173" s="19" t="n">
        <s:v>0</s:v>
      </s:c>
      <s:c r="H173" s="19" t="n">
        <s:v>1</s:v>
      </s:c>
      <s:c r="I173" s="19" t="n">
        <s:v>1</s:v>
      </s:c>
      <s:c r="J173" s="4">
        <s:f>B173*Projects!N2+C173*Projects!N3+D173*Projects!N4+E173*Projects!N5+F173*Projects!N6+G173*Projects!N7+H173*Projects!N8+I173*Projects!N9</s:f>
        <s:v>22100000</s:v>
      </s:c>
      <s:c r="K173" s="3">
        <s:f>B173*Projects!C2+C173*Projects!C3+D173*Projects!C4+E173*Projects!C5+F173*Projects!C6+G173*Projects!C7+H173*Projects!C8+I173*Projects!C9</s:f>
        <s:v>510</s:v>
      </s:c>
      <s:c r="L173" s="3">
        <s:f>B173*Projects!D2+C173*Projects!D3+D173*Projects!D4+E173*Projects!D5+F173*Projects!D6+G173*Projects!D7+H173*Projects!D8+I173*Projects!D9</s:f>
        <s:v>238</s:v>
      </s:c>
      <s:c r="M173" s="4">
        <s:f>B173*Projects!O2+C173*Projects!O3+D173*Projects!O4+E173*Projects!O5+F173*Projects!O6+G173*Projects!O7+H173*Projects!O8+I173*Projects!O9</s:f>
        <s:v>18282008.872620713</s:v>
      </s:c>
      <s:c r="N173" s="3">
        <s:f>B173*(1-Projects!Q2)+C173*(1-Projects!Q3)+D173*(1-Projects!Q4)+E173*(1-Projects!Q5)+F173*(1-Projects!Q6)+G173*(1-Projects!Q7)+H173*(1-Projects!Q8)+I173*(1-Projects!Q9)</s:f>
        <s:v>0</s:v>
      </s:c>
      <s:c r="O173" s="3">
        <s:f>IF(AND(J173&lt;=Inputs!B2,L173&gt;=Inputs!B3,M173&gt;=Inputs!B18,N173=0),1,0)</s:f>
        <s:v>0</s:v>
      </s:c>
      <s:c r="P173" s="3">
        <s:f>IF(O173=1,L173,-1)</s:f>
        <s:v>-1</s:v>
      </s:c>
      <s:c r="Q173" s="3">
        <s:f>IF(AND(O173=1,L173=MAX(P$2:P$257)),M173,-1E+99)</s:f>
        <s:v>-1e+99</s:v>
      </s:c>
    </s:row>
    <s:row r="174">
      <s:c r="A174" s="18" t="n">
        <s:v>172</s:v>
      </s:c>
      <s:c r="B174" s="18" t="n">
        <s:v>1</s:v>
      </s:c>
      <s:c r="C174" s="18" t="n">
        <s:v>0</s:v>
      </s:c>
      <s:c r="D174" s="18" t="n">
        <s:v>1</s:v>
      </s:c>
      <s:c r="E174" s="18" t="n">
        <s:v>0</s:v>
      </s:c>
      <s:c r="F174" s="18" t="n">
        <s:v>1</s:v>
      </s:c>
      <s:c r="G174" s="18" t="n">
        <s:v>1</s:v>
      </s:c>
      <s:c r="H174" s="18" t="n">
        <s:v>0</s:v>
      </s:c>
      <s:c r="I174" s="18" t="n">
        <s:v>0</s:v>
      </s:c>
      <s:c r="J174" s="5">
        <s:f>B174*Projects!N2+C174*Projects!N3+D174*Projects!N4+E174*Projects!N5+F174*Projects!N6+G174*Projects!N7+H174*Projects!N8+I174*Projects!N9</s:f>
        <s:v>16700000</s:v>
      </s:c>
      <s:c r="K174" s="2">
        <s:f>B174*Projects!C2+C174*Projects!C3+D174*Projects!C4+E174*Projects!C5+F174*Projects!C6+G174*Projects!C7+H174*Projects!C8+I174*Projects!C9</s:f>
        <s:v>390</s:v>
      </s:c>
      <s:c r="L174" s="2">
        <s:f>B174*Projects!D2+C174*Projects!D3+D174*Projects!D4+E174*Projects!D5+F174*Projects!D6+G174*Projects!D7+H174*Projects!D8+I174*Projects!D9</s:f>
        <s:v>185</s:v>
      </s:c>
      <s:c r="M174" s="5">
        <s:f>B174*Projects!O2+C174*Projects!O3+D174*Projects!O4+E174*Projects!O5+F174*Projects!O6+G174*Projects!O7+H174*Projects!O8+I174*Projects!O9</s:f>
        <s:v>13300186.089056375</s:v>
      </s:c>
      <s:c r="N174" s="2">
        <s:f>B174*(1-Projects!Q2)+C174*(1-Projects!Q3)+D174*(1-Projects!Q4)+E174*(1-Projects!Q5)+F174*(1-Projects!Q6)+G174*(1-Projects!Q7)+H174*(1-Projects!Q8)+I174*(1-Projects!Q9)</s:f>
        <s:v>0</s:v>
      </s:c>
      <s:c r="O174" s="2">
        <s:f>IF(AND(J174&lt;=Inputs!B2,L174&gt;=Inputs!B3,M174&gt;=Inputs!B18,N174=0),1,0)</s:f>
        <s:v>0</s:v>
      </s:c>
      <s:c r="P174" s="2">
        <s:f>IF(O174=1,L174,-1)</s:f>
        <s:v>-1</s:v>
      </s:c>
      <s:c r="Q174" s="2">
        <s:f>IF(AND(O174=1,L174=MAX(P$2:P$257)),M174,-1E+99)</s:f>
        <s:v>-1e+99</s:v>
      </s:c>
    </s:row>
    <s:row r="175">
      <s:c r="A175" s="19" t="n">
        <s:v>173</s:v>
      </s:c>
      <s:c r="B175" s="19" t="n">
        <s:v>1</s:v>
      </s:c>
      <s:c r="C175" s="19" t="n">
        <s:v>0</s:v>
      </s:c>
      <s:c r="D175" s="19" t="n">
        <s:v>1</s:v>
      </s:c>
      <s:c r="E175" s="19" t="n">
        <s:v>0</s:v>
      </s:c>
      <s:c r="F175" s="19" t="n">
        <s:v>1</s:v>
      </s:c>
      <s:c r="G175" s="19" t="n">
        <s:v>1</s:v>
      </s:c>
      <s:c r="H175" s="19" t="n">
        <s:v>0</s:v>
      </s:c>
      <s:c r="I175" s="19" t="n">
        <s:v>1</s:v>
      </s:c>
      <s:c r="J175" s="4">
        <s:f>B175*Projects!N2+C175*Projects!N3+D175*Projects!N4+E175*Projects!N5+F175*Projects!N6+G175*Projects!N7+H175*Projects!N8+I175*Projects!N9</s:f>
        <s:v>21200000</s:v>
      </s:c>
      <s:c r="K175" s="3">
        <s:f>B175*Projects!C2+C175*Projects!C3+D175*Projects!C4+E175*Projects!C5+F175*Projects!C6+G175*Projects!C7+H175*Projects!C8+I175*Projects!C9</s:f>
        <s:v>480</s:v>
      </s:c>
      <s:c r="L175" s="3">
        <s:f>B175*Projects!D2+C175*Projects!D3+D175*Projects!D4+E175*Projects!D5+F175*Projects!D6+G175*Projects!D7+H175*Projects!D8+I175*Projects!D9</s:f>
        <s:v>212</s:v>
      </s:c>
      <s:c r="M175" s="4">
        <s:f>B175*Projects!O2+C175*Projects!O3+D175*Projects!O4+E175*Projects!O5+F175*Projects!O6+G175*Projects!O7+H175*Projects!O8+I175*Projects!O9</s:f>
        <s:v>17756813.51460041</s:v>
      </s:c>
      <s:c r="N175" s="3">
        <s:f>B175*(1-Projects!Q2)+C175*(1-Projects!Q3)+D175*(1-Projects!Q4)+E175*(1-Projects!Q5)+F175*(1-Projects!Q6)+G175*(1-Projects!Q7)+H175*(1-Projects!Q8)+I175*(1-Projects!Q9)</s:f>
        <s:v>0</s:v>
      </s:c>
      <s:c r="O175" s="3">
        <s:f>IF(AND(J175&lt;=Inputs!B2,L175&gt;=Inputs!B3,M175&gt;=Inputs!B18,N175=0),1,0)</s:f>
        <s:v>0</s:v>
      </s:c>
      <s:c r="P175" s="3">
        <s:f>IF(O175=1,L175,-1)</s:f>
        <s:v>-1</s:v>
      </s:c>
      <s:c r="Q175" s="3">
        <s:f>IF(AND(O175=1,L175=MAX(P$2:P$257)),M175,-1E+99)</s:f>
        <s:v>-1e+99</s:v>
      </s:c>
    </s:row>
    <s:row r="176">
      <s:c r="A176" s="18" t="n">
        <s:v>174</s:v>
      </s:c>
      <s:c r="B176" s="18" t="n">
        <s:v>1</s:v>
      </s:c>
      <s:c r="C176" s="18" t="n">
        <s:v>0</s:v>
      </s:c>
      <s:c r="D176" s="18" t="n">
        <s:v>1</s:v>
      </s:c>
      <s:c r="E176" s="18" t="n">
        <s:v>0</s:v>
      </s:c>
      <s:c r="F176" s="18" t="n">
        <s:v>1</s:v>
      </s:c>
      <s:c r="G176" s="18" t="n">
        <s:v>1</s:v>
      </s:c>
      <s:c r="H176" s="18" t="n">
        <s:v>1</s:v>
      </s:c>
      <s:c r="I176" s="18" t="n">
        <s:v>0</s:v>
      </s:c>
      <s:c r="J176" s="5">
        <s:f>B176*Projects!N2+C176*Projects!N3+D176*Projects!N4+E176*Projects!N5+F176*Projects!N6+G176*Projects!N7+H176*Projects!N8+I176*Projects!N9</s:f>
        <s:v>20800000</s:v>
      </s:c>
      <s:c r="K176" s="2">
        <s:f>B176*Projects!C2+C176*Projects!C3+D176*Projects!C4+E176*Projects!C5+F176*Projects!C6+G176*Projects!C7+H176*Projects!C8+I176*Projects!C9</s:f>
        <s:v>500</s:v>
      </s:c>
      <s:c r="L176" s="2">
        <s:f>B176*Projects!D2+C176*Projects!D3+D176*Projects!D4+E176*Projects!D5+F176*Projects!D6+G176*Projects!D7+H176*Projects!D8+I176*Projects!D9</s:f>
        <s:v>251</s:v>
      </s:c>
      <s:c r="M176" s="5">
        <s:f>B176*Projects!O2+C176*Projects!O3+D176*Projects!O4+E176*Projects!O5+F176*Projects!O6+G176*Projects!O7+H176*Projects!O8+I176*Projects!O9</s:f>
        <s:v>16335560.066945681</s:v>
      </s:c>
      <s:c r="N176" s="2">
        <s:f>B176*(1-Projects!Q2)+C176*(1-Projects!Q3)+D176*(1-Projects!Q4)+E176*(1-Projects!Q5)+F176*(1-Projects!Q6)+G176*(1-Projects!Q7)+H176*(1-Projects!Q8)+I176*(1-Projects!Q9)</s:f>
        <s:v>0</s:v>
      </s:c>
      <s:c r="O176" s="2">
        <s:f>IF(AND(J176&lt;=Inputs!B2,L176&gt;=Inputs!B3,M176&gt;=Inputs!B18,N176=0),1,0)</s:f>
        <s:v>0</s:v>
      </s:c>
      <s:c r="P176" s="2">
        <s:f>IF(O176=1,L176,-1)</s:f>
        <s:v>-1</s:v>
      </s:c>
      <s:c r="Q176" s="2">
        <s:f>IF(AND(O176=1,L176=MAX(P$2:P$257)),M176,-1E+99)</s:f>
        <s:v>-1e+99</s:v>
      </s:c>
    </s:row>
    <s:row r="177">
      <s:c r="A177" s="19" t="n">
        <s:v>175</s:v>
      </s:c>
      <s:c r="B177" s="19" t="n">
        <s:v>1</s:v>
      </s:c>
      <s:c r="C177" s="19" t="n">
        <s:v>0</s:v>
      </s:c>
      <s:c r="D177" s="19" t="n">
        <s:v>1</s:v>
      </s:c>
      <s:c r="E177" s="19" t="n">
        <s:v>0</s:v>
      </s:c>
      <s:c r="F177" s="19" t="n">
        <s:v>1</s:v>
      </s:c>
      <s:c r="G177" s="19" t="n">
        <s:v>1</s:v>
      </s:c>
      <s:c r="H177" s="19" t="n">
        <s:v>1</s:v>
      </s:c>
      <s:c r="I177" s="19" t="n">
        <s:v>1</s:v>
      </s:c>
      <s:c r="J177" s="4">
        <s:f>B177*Projects!N2+C177*Projects!N3+D177*Projects!N4+E177*Projects!N5+F177*Projects!N6+G177*Projects!N7+H177*Projects!N8+I177*Projects!N9</s:f>
        <s:v>25300000</s:v>
      </s:c>
      <s:c r="K177" s="3">
        <s:f>B177*Projects!C2+C177*Projects!C3+D177*Projects!C4+E177*Projects!C5+F177*Projects!C6+G177*Projects!C7+H177*Projects!C8+I177*Projects!C9</s:f>
        <s:v>590</s:v>
      </s:c>
      <s:c r="L177" s="3">
        <s:f>B177*Projects!D2+C177*Projects!D3+D177*Projects!D4+E177*Projects!D5+F177*Projects!D6+G177*Projects!D7+H177*Projects!D8+I177*Projects!D9</s:f>
        <s:v>278</s:v>
      </s:c>
      <s:c r="M177" s="4">
        <s:f>B177*Projects!O2+C177*Projects!O3+D177*Projects!O4+E177*Projects!O5+F177*Projects!O6+G177*Projects!O7+H177*Projects!O8+I177*Projects!O9</s:f>
        <s:v>20792187.492489718</s:v>
      </s:c>
      <s:c r="N177" s="3">
        <s:f>B177*(1-Projects!Q2)+C177*(1-Projects!Q3)+D177*(1-Projects!Q4)+E177*(1-Projects!Q5)+F177*(1-Projects!Q6)+G177*(1-Projects!Q7)+H177*(1-Projects!Q8)+I177*(1-Projects!Q9)</s:f>
        <s:v>0</s:v>
      </s:c>
      <s:c r="O177" s="3">
        <s:f>IF(AND(J177&lt;=Inputs!B2,L177&gt;=Inputs!B3,M177&gt;=Inputs!B18,N177=0),1,0)</s:f>
        <s:v>0</s:v>
      </s:c>
      <s:c r="P177" s="3">
        <s:f>IF(O177=1,L177,-1)</s:f>
        <s:v>-1</s:v>
      </s:c>
      <s:c r="Q177" s="3">
        <s:f>IF(AND(O177=1,L177=MAX(P$2:P$257)),M177,-1E+99)</s:f>
        <s:v>-1e+99</s:v>
      </s:c>
    </s:row>
    <s:row r="178">
      <s:c r="A178" s="18" t="n">
        <s:v>176</s:v>
      </s:c>
      <s:c r="B178" s="18" t="n">
        <s:v>1</s:v>
      </s:c>
      <s:c r="C178" s="18" t="n">
        <s:v>0</s:v>
      </s:c>
      <s:c r="D178" s="18" t="n">
        <s:v>1</s:v>
      </s:c>
      <s:c r="E178" s="18" t="n">
        <s:v>1</s:v>
      </s:c>
      <s:c r="F178" s="18" t="n">
        <s:v>0</s:v>
      </s:c>
      <s:c r="G178" s="18" t="n">
        <s:v>0</s:v>
      </s:c>
      <s:c r="H178" s="18" t="n">
        <s:v>0</s:v>
      </s:c>
      <s:c r="I178" s="18" t="n">
        <s:v>0</s:v>
      </s:c>
      <s:c r="J178" s="5">
        <s:f>B178*Projects!N2+C178*Projects!N3+D178*Projects!N4+E178*Projects!N5+F178*Projects!N6+G178*Projects!N7+H178*Projects!N8+I178*Projects!N9</s:f>
        <s:v>13100000</s:v>
      </s:c>
      <s:c r="K178" s="2">
        <s:f>B178*Projects!C2+C178*Projects!C3+D178*Projects!C4+E178*Projects!C5+F178*Projects!C6+G178*Projects!C7+H178*Projects!C8+I178*Projects!C9</s:f>
        <s:v>290</s:v>
      </s:c>
      <s:c r="L178" s="2">
        <s:f>B178*Projects!D2+C178*Projects!D3+D178*Projects!D4+E178*Projects!D5+F178*Projects!D6+G178*Projects!D7+H178*Projects!D8+I178*Projects!D9</s:f>
        <s:v>121</s:v>
      </s:c>
      <s:c r="M178" s="5">
        <s:f>B178*Projects!O2+C178*Projects!O3+D178*Projects!O4+E178*Projects!O5+F178*Projects!O6+G178*Projects!O7+H178*Projects!O8+I178*Projects!O9</s:f>
        <s:v>11104403.33624691</s:v>
      </s:c>
      <s:c r="N178" s="2">
        <s:f>B178*(1-Projects!Q2)+C178*(1-Projects!Q3)+D178*(1-Projects!Q4)+E178*(1-Projects!Q5)+F178*(1-Projects!Q6)+G178*(1-Projects!Q7)+H178*(1-Projects!Q8)+I178*(1-Projects!Q9)</s:f>
        <s:v>0</s:v>
      </s:c>
      <s:c r="O178" s="2">
        <s:f>IF(AND(J178&lt;=Inputs!B2,L178&gt;=Inputs!B3,M178&gt;=Inputs!B18,N178=0),1,0)</s:f>
        <s:v>1</s:v>
      </s:c>
      <s:c r="P178" s="2">
        <s:f>IF(O178=1,L178,-1)</s:f>
        <s:v>121</s:v>
      </s:c>
      <s:c r="Q178" s="2">
        <s:f>IF(AND(O178=1,L178=MAX(P$2:P$257)),M178,-1E+99)</s:f>
        <s:v>-1e+99</s:v>
      </s:c>
    </s:row>
    <s:row r="179">
      <s:c r="A179" s="19" t="n">
        <s:v>177</s:v>
      </s:c>
      <s:c r="B179" s="19" t="n">
        <s:v>1</s:v>
      </s:c>
      <s:c r="C179" s="19" t="n">
        <s:v>0</s:v>
      </s:c>
      <s:c r="D179" s="19" t="n">
        <s:v>1</s:v>
      </s:c>
      <s:c r="E179" s="19" t="n">
        <s:v>1</s:v>
      </s:c>
      <s:c r="F179" s="19" t="n">
        <s:v>0</s:v>
      </s:c>
      <s:c r="G179" s="19" t="n">
        <s:v>0</s:v>
      </s:c>
      <s:c r="H179" s="19" t="n">
        <s:v>0</s:v>
      </s:c>
      <s:c r="I179" s="19" t="n">
        <s:v>1</s:v>
      </s:c>
      <s:c r="J179" s="4">
        <s:f>B179*Projects!N2+C179*Projects!N3+D179*Projects!N4+E179*Projects!N5+F179*Projects!N6+G179*Projects!N7+H179*Projects!N8+I179*Projects!N9</s:f>
        <s:v>17600000</s:v>
      </s:c>
      <s:c r="K179" s="3">
        <s:f>B179*Projects!C2+C179*Projects!C3+D179*Projects!C4+E179*Projects!C5+F179*Projects!C6+G179*Projects!C7+H179*Projects!C8+I179*Projects!C9</s:f>
        <s:v>380</s:v>
      </s:c>
      <s:c r="L179" s="3">
        <s:f>B179*Projects!D2+C179*Projects!D3+D179*Projects!D4+E179*Projects!D5+F179*Projects!D6+G179*Projects!D7+H179*Projects!D8+I179*Projects!D9</s:f>
        <s:v>148</s:v>
      </s:c>
      <s:c r="M179" s="4">
        <s:f>B179*Projects!O2+C179*Projects!O3+D179*Projects!O4+E179*Projects!O5+F179*Projects!O6+G179*Projects!O7+H179*Projects!O8+I179*Projects!O9</s:f>
        <s:v>15561030.761790946</s:v>
      </s:c>
      <s:c r="N179" s="3">
        <s:f>B179*(1-Projects!Q2)+C179*(1-Projects!Q3)+D179*(1-Projects!Q4)+E179*(1-Projects!Q5)+F179*(1-Projects!Q6)+G179*(1-Projects!Q7)+H179*(1-Projects!Q8)+I179*(1-Projects!Q9)</s:f>
        <s:v>0</s:v>
      </s:c>
      <s:c r="O179" s="3">
        <s:f>IF(AND(J179&lt;=Inputs!B2,L179&gt;=Inputs!B3,M179&gt;=Inputs!B18,N179=0),1,0)</s:f>
        <s:v>0</s:v>
      </s:c>
      <s:c r="P179" s="3">
        <s:f>IF(O179=1,L179,-1)</s:f>
        <s:v>-1</s:v>
      </s:c>
      <s:c r="Q179" s="3">
        <s:f>IF(AND(O179=1,L179=MAX(P$2:P$257)),M179,-1E+99)</s:f>
        <s:v>-1e+99</s:v>
      </s:c>
    </s:row>
    <s:row r="180">
      <s:c r="A180" s="18" t="n">
        <s:v>178</s:v>
      </s:c>
      <s:c r="B180" s="18" t="n">
        <s:v>1</s:v>
      </s:c>
      <s:c r="C180" s="18" t="n">
        <s:v>0</s:v>
      </s:c>
      <s:c r="D180" s="18" t="n">
        <s:v>1</s:v>
      </s:c>
      <s:c r="E180" s="18" t="n">
        <s:v>1</s:v>
      </s:c>
      <s:c r="F180" s="18" t="n">
        <s:v>0</s:v>
      </s:c>
      <s:c r="G180" s="18" t="n">
        <s:v>0</s:v>
      </s:c>
      <s:c r="H180" s="18" t="n">
        <s:v>1</s:v>
      </s:c>
      <s:c r="I180" s="18" t="n">
        <s:v>0</s:v>
      </s:c>
      <s:c r="J180" s="5">
        <s:f>B180*Projects!N2+C180*Projects!N3+D180*Projects!N4+E180*Projects!N5+F180*Projects!N6+G180*Projects!N7+H180*Projects!N8+I180*Projects!N9</s:f>
        <s:v>17200000</s:v>
      </s:c>
      <s:c r="K180" s="2">
        <s:f>B180*Projects!C2+C180*Projects!C3+D180*Projects!C4+E180*Projects!C5+F180*Projects!C6+G180*Projects!C7+H180*Projects!C8+I180*Projects!C9</s:f>
        <s:v>400</s:v>
      </s:c>
      <s:c r="L180" s="2">
        <s:f>B180*Projects!D2+C180*Projects!D3+D180*Projects!D4+E180*Projects!D5+F180*Projects!D6+G180*Projects!D7+H180*Projects!D8+I180*Projects!D9</s:f>
        <s:v>187</s:v>
      </s:c>
      <s:c r="M180" s="5">
        <s:f>B180*Projects!O2+C180*Projects!O3+D180*Projects!O4+E180*Projects!O5+F180*Projects!O6+G180*Projects!O7+H180*Projects!O8+I180*Projects!O9</s:f>
        <s:v>14139777.314136216</s:v>
      </s:c>
      <s:c r="N180" s="2">
        <s:f>B180*(1-Projects!Q2)+C180*(1-Projects!Q3)+D180*(1-Projects!Q4)+E180*(1-Projects!Q5)+F180*(1-Projects!Q6)+G180*(1-Projects!Q7)+H180*(1-Projects!Q8)+I180*(1-Projects!Q9)</s:f>
        <s:v>0</s:v>
      </s:c>
      <s:c r="O180" s="2">
        <s:f>IF(AND(J180&lt;=Inputs!B2,L180&gt;=Inputs!B3,M180&gt;=Inputs!B18,N180=0),1,0)</s:f>
        <s:v>0</s:v>
      </s:c>
      <s:c r="P180" s="2">
        <s:f>IF(O180=1,L180,-1)</s:f>
        <s:v>-1</s:v>
      </s:c>
      <s:c r="Q180" s="2">
        <s:f>IF(AND(O180=1,L180=MAX(P$2:P$257)),M180,-1E+99)</s:f>
        <s:v>-1e+99</s:v>
      </s:c>
    </s:row>
    <s:row r="181">
      <s:c r="A181" s="19" t="n">
        <s:v>179</s:v>
      </s:c>
      <s:c r="B181" s="19" t="n">
        <s:v>1</s:v>
      </s:c>
      <s:c r="C181" s="19" t="n">
        <s:v>0</s:v>
      </s:c>
      <s:c r="D181" s="19" t="n">
        <s:v>1</s:v>
      </s:c>
      <s:c r="E181" s="19" t="n">
        <s:v>1</s:v>
      </s:c>
      <s:c r="F181" s="19" t="n">
        <s:v>0</s:v>
      </s:c>
      <s:c r="G181" s="19" t="n">
        <s:v>0</s:v>
      </s:c>
      <s:c r="H181" s="19" t="n">
        <s:v>1</s:v>
      </s:c>
      <s:c r="I181" s="19" t="n">
        <s:v>1</s:v>
      </s:c>
      <s:c r="J181" s="4">
        <s:f>B181*Projects!N2+C181*Projects!N3+D181*Projects!N4+E181*Projects!N5+F181*Projects!N6+G181*Projects!N7+H181*Projects!N8+I181*Projects!N9</s:f>
        <s:v>21700000</s:v>
      </s:c>
      <s:c r="K181" s="3">
        <s:f>B181*Projects!C2+C181*Projects!C3+D181*Projects!C4+E181*Projects!C5+F181*Projects!C6+G181*Projects!C7+H181*Projects!C8+I181*Projects!C9</s:f>
        <s:v>490</s:v>
      </s:c>
      <s:c r="L181" s="3">
        <s:f>B181*Projects!D2+C181*Projects!D3+D181*Projects!D4+E181*Projects!D5+F181*Projects!D6+G181*Projects!D7+H181*Projects!D8+I181*Projects!D9</s:f>
        <s:v>214</s:v>
      </s:c>
      <s:c r="M181" s="4">
        <s:f>B181*Projects!O2+C181*Projects!O3+D181*Projects!O4+E181*Projects!O5+F181*Projects!O6+G181*Projects!O7+H181*Projects!O8+I181*Projects!O9</s:f>
        <s:v>18596404.739680253</s:v>
      </s:c>
      <s:c r="N181" s="3">
        <s:f>B181*(1-Projects!Q2)+C181*(1-Projects!Q3)+D181*(1-Projects!Q4)+E181*(1-Projects!Q5)+F181*(1-Projects!Q6)+G181*(1-Projects!Q7)+H181*(1-Projects!Q8)+I181*(1-Projects!Q9)</s:f>
        <s:v>0</s:v>
      </s:c>
      <s:c r="O181" s="3">
        <s:f>IF(AND(J181&lt;=Inputs!B2,L181&gt;=Inputs!B3,M181&gt;=Inputs!B18,N181=0),1,0)</s:f>
        <s:v>0</s:v>
      </s:c>
      <s:c r="P181" s="3">
        <s:f>IF(O181=1,L181,-1)</s:f>
        <s:v>-1</s:v>
      </s:c>
      <s:c r="Q181" s="3">
        <s:f>IF(AND(O181=1,L181=MAX(P$2:P$257)),M181,-1E+99)</s:f>
        <s:v>-1e+99</s:v>
      </s:c>
    </s:row>
    <s:row r="182">
      <s:c r="A182" s="18" t="n">
        <s:v>180</s:v>
      </s:c>
      <s:c r="B182" s="18" t="n">
        <s:v>1</s:v>
      </s:c>
      <s:c r="C182" s="18" t="n">
        <s:v>0</s:v>
      </s:c>
      <s:c r="D182" s="18" t="n">
        <s:v>1</s:v>
      </s:c>
      <s:c r="E182" s="18" t="n">
        <s:v>1</s:v>
      </s:c>
      <s:c r="F182" s="18" t="n">
        <s:v>0</s:v>
      </s:c>
      <s:c r="G182" s="18" t="n">
        <s:v>1</s:v>
      </s:c>
      <s:c r="H182" s="18" t="n">
        <s:v>0</s:v>
      </s:c>
      <s:c r="I182" s="18" t="n">
        <s:v>0</s:v>
      </s:c>
      <s:c r="J182" s="5">
        <s:f>B182*Projects!N2+C182*Projects!N3+D182*Projects!N4+E182*Projects!N5+F182*Projects!N6+G182*Projects!N7+H182*Projects!N8+I182*Projects!N9</s:f>
        <s:v>16300000</s:v>
      </s:c>
      <s:c r="K182" s="2">
        <s:f>B182*Projects!C2+C182*Projects!C3+D182*Projects!C4+E182*Projects!C5+F182*Projects!C6+G182*Projects!C7+H182*Projects!C8+I182*Projects!C9</s:f>
        <s:v>370</s:v>
      </s:c>
      <s:c r="L182" s="2">
        <s:f>B182*Projects!D2+C182*Projects!D3+D182*Projects!D4+E182*Projects!D5+F182*Projects!D6+G182*Projects!D7+H182*Projects!D8+I182*Projects!D9</s:f>
        <s:v>161</s:v>
      </s:c>
      <s:c r="M182" s="5">
        <s:f>B182*Projects!O2+C182*Projects!O3+D182*Projects!O4+E182*Projects!O5+F182*Projects!O6+G182*Projects!O7+H182*Projects!O8+I182*Projects!O9</s:f>
        <s:v>13614581.956115913</s:v>
      </s:c>
      <s:c r="N182" s="2">
        <s:f>B182*(1-Projects!Q2)+C182*(1-Projects!Q3)+D182*(1-Projects!Q4)+E182*(1-Projects!Q5)+F182*(1-Projects!Q6)+G182*(1-Projects!Q7)+H182*(1-Projects!Q8)+I182*(1-Projects!Q9)</s:f>
        <s:v>0</s:v>
      </s:c>
      <s:c r="O182" s="2">
        <s:f>IF(AND(J182&lt;=Inputs!B2,L182&gt;=Inputs!B3,M182&gt;=Inputs!B18,N182=0),1,0)</s:f>
        <s:v>0</s:v>
      </s:c>
      <s:c r="P182" s="2">
        <s:f>IF(O182=1,L182,-1)</s:f>
        <s:v>-1</s:v>
      </s:c>
      <s:c r="Q182" s="2">
        <s:f>IF(AND(O182=1,L182=MAX(P$2:P$257)),M182,-1E+99)</s:f>
        <s:v>-1e+99</s:v>
      </s:c>
    </s:row>
    <s:row r="183">
      <s:c r="A183" s="19" t="n">
        <s:v>181</s:v>
      </s:c>
      <s:c r="B183" s="19" t="n">
        <s:v>1</s:v>
      </s:c>
      <s:c r="C183" s="19" t="n">
        <s:v>0</s:v>
      </s:c>
      <s:c r="D183" s="19" t="n">
        <s:v>1</s:v>
      </s:c>
      <s:c r="E183" s="19" t="n">
        <s:v>1</s:v>
      </s:c>
      <s:c r="F183" s="19" t="n">
        <s:v>0</s:v>
      </s:c>
      <s:c r="G183" s="19" t="n">
        <s:v>1</s:v>
      </s:c>
      <s:c r="H183" s="19" t="n">
        <s:v>0</s:v>
      </s:c>
      <s:c r="I183" s="19" t="n">
        <s:v>1</s:v>
      </s:c>
      <s:c r="J183" s="4">
        <s:f>B183*Projects!N2+C183*Projects!N3+D183*Projects!N4+E183*Projects!N5+F183*Projects!N6+G183*Projects!N7+H183*Projects!N8+I183*Projects!N9</s:f>
        <s:v>20800000</s:v>
      </s:c>
      <s:c r="K183" s="3">
        <s:f>B183*Projects!C2+C183*Projects!C3+D183*Projects!C4+E183*Projects!C5+F183*Projects!C6+G183*Projects!C7+H183*Projects!C8+I183*Projects!C9</s:f>
        <s:v>460</s:v>
      </s:c>
      <s:c r="L183" s="3">
        <s:f>B183*Projects!D2+C183*Projects!D3+D183*Projects!D4+E183*Projects!D5+F183*Projects!D6+G183*Projects!D7+H183*Projects!D8+I183*Projects!D9</s:f>
        <s:v>188</s:v>
      </s:c>
      <s:c r="M183" s="4">
        <s:f>B183*Projects!O2+C183*Projects!O3+D183*Projects!O4+E183*Projects!O5+F183*Projects!O6+G183*Projects!O7+H183*Projects!O8+I183*Projects!O9</s:f>
        <s:v>18071209.381659947</s:v>
      </s:c>
      <s:c r="N183" s="3">
        <s:f>B183*(1-Projects!Q2)+C183*(1-Projects!Q3)+D183*(1-Projects!Q4)+E183*(1-Projects!Q5)+F183*(1-Projects!Q6)+G183*(1-Projects!Q7)+H183*(1-Projects!Q8)+I183*(1-Projects!Q9)</s:f>
        <s:v>0</s:v>
      </s:c>
      <s:c r="O183" s="3">
        <s:f>IF(AND(J183&lt;=Inputs!B2,L183&gt;=Inputs!B3,M183&gt;=Inputs!B18,N183=0),1,0)</s:f>
        <s:v>0</s:v>
      </s:c>
      <s:c r="P183" s="3">
        <s:f>IF(O183=1,L183,-1)</s:f>
        <s:v>-1</s:v>
      </s:c>
      <s:c r="Q183" s="3">
        <s:f>IF(AND(O183=1,L183=MAX(P$2:P$257)),M183,-1E+99)</s:f>
        <s:v>-1e+99</s:v>
      </s:c>
    </s:row>
    <s:row r="184">
      <s:c r="A184" s="18" t="n">
        <s:v>182</s:v>
      </s:c>
      <s:c r="B184" s="18" t="n">
        <s:v>1</s:v>
      </s:c>
      <s:c r="C184" s="18" t="n">
        <s:v>0</s:v>
      </s:c>
      <s:c r="D184" s="18" t="n">
        <s:v>1</s:v>
      </s:c>
      <s:c r="E184" s="18" t="n">
        <s:v>1</s:v>
      </s:c>
      <s:c r="F184" s="18" t="n">
        <s:v>0</s:v>
      </s:c>
      <s:c r="G184" s="18" t="n">
        <s:v>1</s:v>
      </s:c>
      <s:c r="H184" s="18" t="n">
        <s:v>1</s:v>
      </s:c>
      <s:c r="I184" s="18" t="n">
        <s:v>0</s:v>
      </s:c>
      <s:c r="J184" s="5">
        <s:f>B184*Projects!N2+C184*Projects!N3+D184*Projects!N4+E184*Projects!N5+F184*Projects!N6+G184*Projects!N7+H184*Projects!N8+I184*Projects!N9</s:f>
        <s:v>20400000</s:v>
      </s:c>
      <s:c r="K184" s="2">
        <s:f>B184*Projects!C2+C184*Projects!C3+D184*Projects!C4+E184*Projects!C5+F184*Projects!C6+G184*Projects!C7+H184*Projects!C8+I184*Projects!C9</s:f>
        <s:v>480</s:v>
      </s:c>
      <s:c r="L184" s="2">
        <s:f>B184*Projects!D2+C184*Projects!D3+D184*Projects!D4+E184*Projects!D5+F184*Projects!D6+G184*Projects!D7+H184*Projects!D8+I184*Projects!D9</s:f>
        <s:v>227</s:v>
      </s:c>
      <s:c r="M184" s="5">
        <s:f>B184*Projects!O2+C184*Projects!O3+D184*Projects!O4+E184*Projects!O5+F184*Projects!O6+G184*Projects!O7+H184*Projects!O8+I184*Projects!O9</s:f>
        <s:v>16649955.93400522</s:v>
      </s:c>
      <s:c r="N184" s="2">
        <s:f>B184*(1-Projects!Q2)+C184*(1-Projects!Q3)+D184*(1-Projects!Q4)+E184*(1-Projects!Q5)+F184*(1-Projects!Q6)+G184*(1-Projects!Q7)+H184*(1-Projects!Q8)+I184*(1-Projects!Q9)</s:f>
        <s:v>0</s:v>
      </s:c>
      <s:c r="O184" s="2">
        <s:f>IF(AND(J184&lt;=Inputs!B2,L184&gt;=Inputs!B3,M184&gt;=Inputs!B18,N184=0),1,0)</s:f>
        <s:v>0</s:v>
      </s:c>
      <s:c r="P184" s="2">
        <s:f>IF(O184=1,L184,-1)</s:f>
        <s:v>-1</s:v>
      </s:c>
      <s:c r="Q184" s="2">
        <s:f>IF(AND(O184=1,L184=MAX(P$2:P$257)),M184,-1E+99)</s:f>
        <s:v>-1e+99</s:v>
      </s:c>
    </s:row>
    <s:row r="185">
      <s:c r="A185" s="19" t="n">
        <s:v>183</s:v>
      </s:c>
      <s:c r="B185" s="19" t="n">
        <s:v>1</s:v>
      </s:c>
      <s:c r="C185" s="19" t="n">
        <s:v>0</s:v>
      </s:c>
      <s:c r="D185" s="19" t="n">
        <s:v>1</s:v>
      </s:c>
      <s:c r="E185" s="19" t="n">
        <s:v>1</s:v>
      </s:c>
      <s:c r="F185" s="19" t="n">
        <s:v>0</s:v>
      </s:c>
      <s:c r="G185" s="19" t="n">
        <s:v>1</s:v>
      </s:c>
      <s:c r="H185" s="19" t="n">
        <s:v>1</s:v>
      </s:c>
      <s:c r="I185" s="19" t="n">
        <s:v>1</s:v>
      </s:c>
      <s:c r="J185" s="4">
        <s:f>B185*Projects!N2+C185*Projects!N3+D185*Projects!N4+E185*Projects!N5+F185*Projects!N6+G185*Projects!N7+H185*Projects!N8+I185*Projects!N9</s:f>
        <s:v>24900000</s:v>
      </s:c>
      <s:c r="K185" s="3">
        <s:f>B185*Projects!C2+C185*Projects!C3+D185*Projects!C4+E185*Projects!C5+F185*Projects!C6+G185*Projects!C7+H185*Projects!C8+I185*Projects!C9</s:f>
        <s:v>570</s:v>
      </s:c>
      <s:c r="L185" s="3">
        <s:f>B185*Projects!D2+C185*Projects!D3+D185*Projects!D4+E185*Projects!D5+F185*Projects!D6+G185*Projects!D7+H185*Projects!D8+I185*Projects!D9</s:f>
        <s:v>254</s:v>
      </s:c>
      <s:c r="M185" s="4">
        <s:f>B185*Projects!O2+C185*Projects!O3+D185*Projects!O4+E185*Projects!O5+F185*Projects!O6+G185*Projects!O7+H185*Projects!O8+I185*Projects!O9</s:f>
        <s:v>21106583.359549254</s:v>
      </s:c>
      <s:c r="N185" s="3">
        <s:f>B185*(1-Projects!Q2)+C185*(1-Projects!Q3)+D185*(1-Projects!Q4)+E185*(1-Projects!Q5)+F185*(1-Projects!Q6)+G185*(1-Projects!Q7)+H185*(1-Projects!Q8)+I185*(1-Projects!Q9)</s:f>
        <s:v>0</s:v>
      </s:c>
      <s:c r="O185" s="3">
        <s:f>IF(AND(J185&lt;=Inputs!B2,L185&gt;=Inputs!B3,M185&gt;=Inputs!B18,N185=0),1,0)</s:f>
        <s:v>0</s:v>
      </s:c>
      <s:c r="P185" s="3">
        <s:f>IF(O185=1,L185,-1)</s:f>
        <s:v>-1</s:v>
      </s:c>
      <s:c r="Q185" s="3">
        <s:f>IF(AND(O185=1,L185=MAX(P$2:P$257)),M185,-1E+99)</s:f>
        <s:v>-1e+99</s:v>
      </s:c>
    </s:row>
    <s:row r="186">
      <s:c r="A186" s="18" t="n">
        <s:v>184</s:v>
      </s:c>
      <s:c r="B186" s="18" t="n">
        <s:v>1</s:v>
      </s:c>
      <s:c r="C186" s="18" t="n">
        <s:v>0</s:v>
      </s:c>
      <s:c r="D186" s="18" t="n">
        <s:v>1</s:v>
      </s:c>
      <s:c r="E186" s="18" t="n">
        <s:v>1</s:v>
      </s:c>
      <s:c r="F186" s="18" t="n">
        <s:v>1</s:v>
      </s:c>
      <s:c r="G186" s="18" t="n">
        <s:v>0</s:v>
      </s:c>
      <s:c r="H186" s="18" t="n">
        <s:v>0</s:v>
      </s:c>
      <s:c r="I186" s="18" t="n">
        <s:v>0</s:v>
      </s:c>
      <s:c r="J186" s="5">
        <s:f>B186*Projects!N2+C186*Projects!N3+D186*Projects!N4+E186*Projects!N5+F186*Projects!N6+G186*Projects!N7+H186*Projects!N8+I186*Projects!N9</s:f>
        <s:v>16900000</s:v>
      </s:c>
      <s:c r="K186" s="2">
        <s:f>B186*Projects!C2+C186*Projects!C3+D186*Projects!C4+E186*Projects!C5+F186*Projects!C6+G186*Projects!C7+H186*Projects!C8+I186*Projects!C9</s:f>
        <s:v>380</s:v>
      </s:c>
      <s:c r="L186" s="2">
        <s:f>B186*Projects!D2+C186*Projects!D3+D186*Projects!D4+E186*Projects!D5+F186*Projects!D6+G186*Projects!D7+H186*Projects!D8+I186*Projects!D9</s:f>
        <s:v>166</s:v>
      </s:c>
      <s:c r="M186" s="5">
        <s:f>B186*Projects!O2+C186*Projects!O3+D186*Projects!O4+E186*Projects!O5+F186*Projects!O6+G186*Projects!O7+H186*Projects!O8+I186*Projects!O9</s:f>
        <s:v>14106365.698254973</s:v>
      </s:c>
      <s:c r="N186" s="2">
        <s:f>B186*(1-Projects!Q2)+C186*(1-Projects!Q3)+D186*(1-Projects!Q4)+E186*(1-Projects!Q5)+F186*(1-Projects!Q6)+G186*(1-Projects!Q7)+H186*(1-Projects!Q8)+I186*(1-Projects!Q9)</s:f>
        <s:v>0</s:v>
      </s:c>
      <s:c r="O186" s="2">
        <s:f>IF(AND(J186&lt;=Inputs!B2,L186&gt;=Inputs!B3,M186&gt;=Inputs!B18,N186=0),1,0)</s:f>
        <s:v>0</s:v>
      </s:c>
      <s:c r="P186" s="2">
        <s:f>IF(O186=1,L186,-1)</s:f>
        <s:v>-1</s:v>
      </s:c>
      <s:c r="Q186" s="2">
        <s:f>IF(AND(O186=1,L186=MAX(P$2:P$257)),M186,-1E+99)</s:f>
        <s:v>-1e+99</s:v>
      </s:c>
    </s:row>
    <s:row r="187">
      <s:c r="A187" s="19" t="n">
        <s:v>185</s:v>
      </s:c>
      <s:c r="B187" s="19" t="n">
        <s:v>1</s:v>
      </s:c>
      <s:c r="C187" s="19" t="n">
        <s:v>0</s:v>
      </s:c>
      <s:c r="D187" s="19" t="n">
        <s:v>1</s:v>
      </s:c>
      <s:c r="E187" s="19" t="n">
        <s:v>1</s:v>
      </s:c>
      <s:c r="F187" s="19" t="n">
        <s:v>1</s:v>
      </s:c>
      <s:c r="G187" s="19" t="n">
        <s:v>0</s:v>
      </s:c>
      <s:c r="H187" s="19" t="n">
        <s:v>0</s:v>
      </s:c>
      <s:c r="I187" s="19" t="n">
        <s:v>1</s:v>
      </s:c>
      <s:c r="J187" s="4">
        <s:f>B187*Projects!N2+C187*Projects!N3+D187*Projects!N4+E187*Projects!N5+F187*Projects!N6+G187*Projects!N7+H187*Projects!N8+I187*Projects!N9</s:f>
        <s:v>21400000</s:v>
      </s:c>
      <s:c r="K187" s="3">
        <s:f>B187*Projects!C2+C187*Projects!C3+D187*Projects!C4+E187*Projects!C5+F187*Projects!C6+G187*Projects!C7+H187*Projects!C8+I187*Projects!C9</s:f>
        <s:v>470</s:v>
      </s:c>
      <s:c r="L187" s="3">
        <s:f>B187*Projects!D2+C187*Projects!D3+D187*Projects!D4+E187*Projects!D5+F187*Projects!D6+G187*Projects!D7+H187*Projects!D8+I187*Projects!D9</s:f>
        <s:v>193</s:v>
      </s:c>
      <s:c r="M187" s="4">
        <s:f>B187*Projects!O2+C187*Projects!O3+D187*Projects!O4+E187*Projects!O5+F187*Projects!O6+G187*Projects!O7+H187*Projects!O8+I187*Projects!O9</s:f>
        <s:v>18562993.123799007</s:v>
      </s:c>
      <s:c r="N187" s="3">
        <s:f>B187*(1-Projects!Q2)+C187*(1-Projects!Q3)+D187*(1-Projects!Q4)+E187*(1-Projects!Q5)+F187*(1-Projects!Q6)+G187*(1-Projects!Q7)+H187*(1-Projects!Q8)+I187*(1-Projects!Q9)</s:f>
        <s:v>0</s:v>
      </s:c>
      <s:c r="O187" s="3">
        <s:f>IF(AND(J187&lt;=Inputs!B2,L187&gt;=Inputs!B3,M187&gt;=Inputs!B18,N187=0),1,0)</s:f>
        <s:v>0</s:v>
      </s:c>
      <s:c r="P187" s="3">
        <s:f>IF(O187=1,L187,-1)</s:f>
        <s:v>-1</s:v>
      </s:c>
      <s:c r="Q187" s="3">
        <s:f>IF(AND(O187=1,L187=MAX(P$2:P$257)),M187,-1E+99)</s:f>
        <s:v>-1e+99</s:v>
      </s:c>
    </s:row>
    <s:row r="188">
      <s:c r="A188" s="18" t="n">
        <s:v>186</s:v>
      </s:c>
      <s:c r="B188" s="18" t="n">
        <s:v>1</s:v>
      </s:c>
      <s:c r="C188" s="18" t="n">
        <s:v>0</s:v>
      </s:c>
      <s:c r="D188" s="18" t="n">
        <s:v>1</s:v>
      </s:c>
      <s:c r="E188" s="18" t="n">
        <s:v>1</s:v>
      </s:c>
      <s:c r="F188" s="18" t="n">
        <s:v>1</s:v>
      </s:c>
      <s:c r="G188" s="18" t="n">
        <s:v>0</s:v>
      </s:c>
      <s:c r="H188" s="18" t="n">
        <s:v>1</s:v>
      </s:c>
      <s:c r="I188" s="18" t="n">
        <s:v>0</s:v>
      </s:c>
      <s:c r="J188" s="5">
        <s:f>B188*Projects!N2+C188*Projects!N3+D188*Projects!N4+E188*Projects!N5+F188*Projects!N6+G188*Projects!N7+H188*Projects!N8+I188*Projects!N9</s:f>
        <s:v>21000000</s:v>
      </s:c>
      <s:c r="K188" s="2">
        <s:f>B188*Projects!C2+C188*Projects!C3+D188*Projects!C4+E188*Projects!C5+F188*Projects!C6+G188*Projects!C7+H188*Projects!C8+I188*Projects!C9</s:f>
        <s:v>490</s:v>
      </s:c>
      <s:c r="L188" s="2">
        <s:f>B188*Projects!D2+C188*Projects!D3+D188*Projects!D4+E188*Projects!D5+F188*Projects!D6+G188*Projects!D7+H188*Projects!D8+I188*Projects!D9</s:f>
        <s:v>232</s:v>
      </s:c>
      <s:c r="M188" s="5">
        <s:f>B188*Projects!O2+C188*Projects!O3+D188*Projects!O4+E188*Projects!O5+F188*Projects!O6+G188*Projects!O7+H188*Projects!O8+I188*Projects!O9</s:f>
        <s:v>17141739.67614428</s:v>
      </s:c>
      <s:c r="N188" s="2">
        <s:f>B188*(1-Projects!Q2)+C188*(1-Projects!Q3)+D188*(1-Projects!Q4)+E188*(1-Projects!Q5)+F188*(1-Projects!Q6)+G188*(1-Projects!Q7)+H188*(1-Projects!Q8)+I188*(1-Projects!Q9)</s:f>
        <s:v>0</s:v>
      </s:c>
      <s:c r="O188" s="2">
        <s:f>IF(AND(J188&lt;=Inputs!B2,L188&gt;=Inputs!B3,M188&gt;=Inputs!B18,N188=0),1,0)</s:f>
        <s:v>0</s:v>
      </s:c>
      <s:c r="P188" s="2">
        <s:f>IF(O188=1,L188,-1)</s:f>
        <s:v>-1</s:v>
      </s:c>
      <s:c r="Q188" s="2">
        <s:f>IF(AND(O188=1,L188=MAX(P$2:P$257)),M188,-1E+99)</s:f>
        <s:v>-1e+99</s:v>
      </s:c>
    </s:row>
    <s:row r="189">
      <s:c r="A189" s="19" t="n">
        <s:v>187</s:v>
      </s:c>
      <s:c r="B189" s="19" t="n">
        <s:v>1</s:v>
      </s:c>
      <s:c r="C189" s="19" t="n">
        <s:v>0</s:v>
      </s:c>
      <s:c r="D189" s="19" t="n">
        <s:v>1</s:v>
      </s:c>
      <s:c r="E189" s="19" t="n">
        <s:v>1</s:v>
      </s:c>
      <s:c r="F189" s="19" t="n">
        <s:v>1</s:v>
      </s:c>
      <s:c r="G189" s="19" t="n">
        <s:v>0</s:v>
      </s:c>
      <s:c r="H189" s="19" t="n">
        <s:v>1</s:v>
      </s:c>
      <s:c r="I189" s="19" t="n">
        <s:v>1</s:v>
      </s:c>
      <s:c r="J189" s="4">
        <s:f>B189*Projects!N2+C189*Projects!N3+D189*Projects!N4+E189*Projects!N5+F189*Projects!N6+G189*Projects!N7+H189*Projects!N8+I189*Projects!N9</s:f>
        <s:v>25500000</s:v>
      </s:c>
      <s:c r="K189" s="3">
        <s:f>B189*Projects!C2+C189*Projects!C3+D189*Projects!C4+E189*Projects!C5+F189*Projects!C6+G189*Projects!C7+H189*Projects!C8+I189*Projects!C9</s:f>
        <s:v>580</s:v>
      </s:c>
      <s:c r="L189" s="3">
        <s:f>B189*Projects!D2+C189*Projects!D3+D189*Projects!D4+E189*Projects!D5+F189*Projects!D6+G189*Projects!D7+H189*Projects!D8+I189*Projects!D9</s:f>
        <s:v>259</s:v>
      </s:c>
      <s:c r="M189" s="4">
        <s:f>B189*Projects!O2+C189*Projects!O3+D189*Projects!O4+E189*Projects!O5+F189*Projects!O6+G189*Projects!O7+H189*Projects!O8+I189*Projects!O9</s:f>
        <s:v>21598367.101688314</s:v>
      </s:c>
      <s:c r="N189" s="3">
        <s:f>B189*(1-Projects!Q2)+C189*(1-Projects!Q3)+D189*(1-Projects!Q4)+E189*(1-Projects!Q5)+F189*(1-Projects!Q6)+G189*(1-Projects!Q7)+H189*(1-Projects!Q8)+I189*(1-Projects!Q9)</s:f>
        <s:v>0</s:v>
      </s:c>
      <s:c r="O189" s="3">
        <s:f>IF(AND(J189&lt;=Inputs!B2,L189&gt;=Inputs!B3,M189&gt;=Inputs!B18,N189=0),1,0)</s:f>
        <s:v>0</s:v>
      </s:c>
      <s:c r="P189" s="3">
        <s:f>IF(O189=1,L189,-1)</s:f>
        <s:v>-1</s:v>
      </s:c>
      <s:c r="Q189" s="3">
        <s:f>IF(AND(O189=1,L189=MAX(P$2:P$257)),M189,-1E+99)</s:f>
        <s:v>-1e+99</s:v>
      </s:c>
    </s:row>
    <s:row r="190">
      <s:c r="A190" s="18" t="n">
        <s:v>188</s:v>
      </s:c>
      <s:c r="B190" s="18" t="n">
        <s:v>1</s:v>
      </s:c>
      <s:c r="C190" s="18" t="n">
        <s:v>0</s:v>
      </s:c>
      <s:c r="D190" s="18" t="n">
        <s:v>1</s:v>
      </s:c>
      <s:c r="E190" s="18" t="n">
        <s:v>1</s:v>
      </s:c>
      <s:c r="F190" s="18" t="n">
        <s:v>1</s:v>
      </s:c>
      <s:c r="G190" s="18" t="n">
        <s:v>1</s:v>
      </s:c>
      <s:c r="H190" s="18" t="n">
        <s:v>0</s:v>
      </s:c>
      <s:c r="I190" s="18" t="n">
        <s:v>0</s:v>
      </s:c>
      <s:c r="J190" s="5">
        <s:f>B190*Projects!N2+C190*Projects!N3+D190*Projects!N4+E190*Projects!N5+F190*Projects!N6+G190*Projects!N7+H190*Projects!N8+I190*Projects!N9</s:f>
        <s:v>20100000</s:v>
      </s:c>
      <s:c r="K190" s="2">
        <s:f>B190*Projects!C2+C190*Projects!C3+D190*Projects!C4+E190*Projects!C5+F190*Projects!C6+G190*Projects!C7+H190*Projects!C8+I190*Projects!C9</s:f>
        <s:v>460</s:v>
      </s:c>
      <s:c r="L190" s="2">
        <s:f>B190*Projects!D2+C190*Projects!D3+D190*Projects!D4+E190*Projects!D5+F190*Projects!D6+G190*Projects!D7+H190*Projects!D8+I190*Projects!D9</s:f>
        <s:v>206</s:v>
      </s:c>
      <s:c r="M190" s="5">
        <s:f>B190*Projects!O2+C190*Projects!O3+D190*Projects!O4+E190*Projects!O5+F190*Projects!O6+G190*Projects!O7+H190*Projects!O8+I190*Projects!O9</s:f>
        <s:v>16616544.318123976</s:v>
      </s:c>
      <s:c r="N190" s="2">
        <s:f>B190*(1-Projects!Q2)+C190*(1-Projects!Q3)+D190*(1-Projects!Q4)+E190*(1-Projects!Q5)+F190*(1-Projects!Q6)+G190*(1-Projects!Q7)+H190*(1-Projects!Q8)+I190*(1-Projects!Q9)</s:f>
        <s:v>0</s:v>
      </s:c>
      <s:c r="O190" s="2">
        <s:f>IF(AND(J190&lt;=Inputs!B2,L190&gt;=Inputs!B3,M190&gt;=Inputs!B18,N190=0),1,0)</s:f>
        <s:v>0</s:v>
      </s:c>
      <s:c r="P190" s="2">
        <s:f>IF(O190=1,L190,-1)</s:f>
        <s:v>-1</s:v>
      </s:c>
      <s:c r="Q190" s="2">
        <s:f>IF(AND(O190=1,L190=MAX(P$2:P$257)),M190,-1E+99)</s:f>
        <s:v>-1e+99</s:v>
      </s:c>
    </s:row>
    <s:row r="191">
      <s:c r="A191" s="19" t="n">
        <s:v>189</s:v>
      </s:c>
      <s:c r="B191" s="19" t="n">
        <s:v>1</s:v>
      </s:c>
      <s:c r="C191" s="19" t="n">
        <s:v>0</s:v>
      </s:c>
      <s:c r="D191" s="19" t="n">
        <s:v>1</s:v>
      </s:c>
      <s:c r="E191" s="19" t="n">
        <s:v>1</s:v>
      </s:c>
      <s:c r="F191" s="19" t="n">
        <s:v>1</s:v>
      </s:c>
      <s:c r="G191" s="19" t="n">
        <s:v>1</s:v>
      </s:c>
      <s:c r="H191" s="19" t="n">
        <s:v>0</s:v>
      </s:c>
      <s:c r="I191" s="19" t="n">
        <s:v>1</s:v>
      </s:c>
      <s:c r="J191" s="4">
        <s:f>B191*Projects!N2+C191*Projects!N3+D191*Projects!N4+E191*Projects!N5+F191*Projects!N6+G191*Projects!N7+H191*Projects!N8+I191*Projects!N9</s:f>
        <s:v>24600000</s:v>
      </s:c>
      <s:c r="K191" s="3">
        <s:f>B191*Projects!C2+C191*Projects!C3+D191*Projects!C4+E191*Projects!C5+F191*Projects!C6+G191*Projects!C7+H191*Projects!C8+I191*Projects!C9</s:f>
        <s:v>550</s:v>
      </s:c>
      <s:c r="L191" s="3">
        <s:f>B191*Projects!D2+C191*Projects!D3+D191*Projects!D4+E191*Projects!D5+F191*Projects!D6+G191*Projects!D7+H191*Projects!D8+I191*Projects!D9</s:f>
        <s:v>233</s:v>
      </s:c>
      <s:c r="M191" s="4">
        <s:f>B191*Projects!O2+C191*Projects!O3+D191*Projects!O4+E191*Projects!O5+F191*Projects!O6+G191*Projects!O7+H191*Projects!O8+I191*Projects!O9</s:f>
        <s:v>21073171.743668012</s:v>
      </s:c>
      <s:c r="N191" s="3">
        <s:f>B191*(1-Projects!Q2)+C191*(1-Projects!Q3)+D191*(1-Projects!Q4)+E191*(1-Projects!Q5)+F191*(1-Projects!Q6)+G191*(1-Projects!Q7)+H191*(1-Projects!Q8)+I191*(1-Projects!Q9)</s:f>
        <s:v>0</s:v>
      </s:c>
      <s:c r="O191" s="3">
        <s:f>IF(AND(J191&lt;=Inputs!B2,L191&gt;=Inputs!B3,M191&gt;=Inputs!B18,N191=0),1,0)</s:f>
        <s:v>0</s:v>
      </s:c>
      <s:c r="P191" s="3">
        <s:f>IF(O191=1,L191,-1)</s:f>
        <s:v>-1</s:v>
      </s:c>
      <s:c r="Q191" s="3">
        <s:f>IF(AND(O191=1,L191=MAX(P$2:P$257)),M191,-1E+99)</s:f>
        <s:v>-1e+99</s:v>
      </s:c>
    </s:row>
    <s:row r="192">
      <s:c r="A192" s="18" t="n">
        <s:v>190</s:v>
      </s:c>
      <s:c r="B192" s="18" t="n">
        <s:v>1</s:v>
      </s:c>
      <s:c r="C192" s="18" t="n">
        <s:v>0</s:v>
      </s:c>
      <s:c r="D192" s="18" t="n">
        <s:v>1</s:v>
      </s:c>
      <s:c r="E192" s="18" t="n">
        <s:v>1</s:v>
      </s:c>
      <s:c r="F192" s="18" t="n">
        <s:v>1</s:v>
      </s:c>
      <s:c r="G192" s="18" t="n">
        <s:v>1</s:v>
      </s:c>
      <s:c r="H192" s="18" t="n">
        <s:v>1</s:v>
      </s:c>
      <s:c r="I192" s="18" t="n">
        <s:v>0</s:v>
      </s:c>
      <s:c r="J192" s="5">
        <s:f>B192*Projects!N2+C192*Projects!N3+D192*Projects!N4+E192*Projects!N5+F192*Projects!N6+G192*Projects!N7+H192*Projects!N8+I192*Projects!N9</s:f>
        <s:v>24200000</s:v>
      </s:c>
      <s:c r="K192" s="2">
        <s:f>B192*Projects!C2+C192*Projects!C3+D192*Projects!C4+E192*Projects!C5+F192*Projects!C6+G192*Projects!C7+H192*Projects!C8+I192*Projects!C9</s:f>
        <s:v>570</s:v>
      </s:c>
      <s:c r="L192" s="2">
        <s:f>B192*Projects!D2+C192*Projects!D3+D192*Projects!D4+E192*Projects!D5+F192*Projects!D6+G192*Projects!D7+H192*Projects!D8+I192*Projects!D9</s:f>
        <s:v>272</s:v>
      </s:c>
      <s:c r="M192" s="5">
        <s:f>B192*Projects!O2+C192*Projects!O3+D192*Projects!O4+E192*Projects!O5+F192*Projects!O6+G192*Projects!O7+H192*Projects!O8+I192*Projects!O9</s:f>
        <s:v>19651918.296013284</s:v>
      </s:c>
      <s:c r="N192" s="2">
        <s:f>B192*(1-Projects!Q2)+C192*(1-Projects!Q3)+D192*(1-Projects!Q4)+E192*(1-Projects!Q5)+F192*(1-Projects!Q6)+G192*(1-Projects!Q7)+H192*(1-Projects!Q8)+I192*(1-Projects!Q9)</s:f>
        <s:v>0</s:v>
      </s:c>
      <s:c r="O192" s="2">
        <s:f>IF(AND(J192&lt;=Inputs!B2,L192&gt;=Inputs!B3,M192&gt;=Inputs!B18,N192=0),1,0)</s:f>
        <s:v>0</s:v>
      </s:c>
      <s:c r="P192" s="2">
        <s:f>IF(O192=1,L192,-1)</s:f>
        <s:v>-1</s:v>
      </s:c>
      <s:c r="Q192" s="2">
        <s:f>IF(AND(O192=1,L192=MAX(P$2:P$257)),M192,-1E+99)</s:f>
        <s:v>-1e+99</s:v>
      </s:c>
    </s:row>
    <s:row r="193">
      <s:c r="A193" s="19" t="n">
        <s:v>191</s:v>
      </s:c>
      <s:c r="B193" s="19" t="n">
        <s:v>1</s:v>
      </s:c>
      <s:c r="C193" s="19" t="n">
        <s:v>0</s:v>
      </s:c>
      <s:c r="D193" s="19" t="n">
        <s:v>1</s:v>
      </s:c>
      <s:c r="E193" s="19" t="n">
        <s:v>1</s:v>
      </s:c>
      <s:c r="F193" s="19" t="n">
        <s:v>1</s:v>
      </s:c>
      <s:c r="G193" s="19" t="n">
        <s:v>1</s:v>
      </s:c>
      <s:c r="H193" s="19" t="n">
        <s:v>1</s:v>
      </s:c>
      <s:c r="I193" s="19" t="n">
        <s:v>1</s:v>
      </s:c>
      <s:c r="J193" s="4">
        <s:f>B193*Projects!N2+C193*Projects!N3+D193*Projects!N4+E193*Projects!N5+F193*Projects!N6+G193*Projects!N7+H193*Projects!N8+I193*Projects!N9</s:f>
        <s:v>28700000</s:v>
      </s:c>
      <s:c r="K193" s="3">
        <s:f>B193*Projects!C2+C193*Projects!C3+D193*Projects!C4+E193*Projects!C5+F193*Projects!C6+G193*Projects!C7+H193*Projects!C8+I193*Projects!C9</s:f>
        <s:v>660</s:v>
      </s:c>
      <s:c r="L193" s="3">
        <s:f>B193*Projects!D2+C193*Projects!D3+D193*Projects!D4+E193*Projects!D5+F193*Projects!D6+G193*Projects!D7+H193*Projects!D8+I193*Projects!D9</s:f>
        <s:v>299</s:v>
      </s:c>
      <s:c r="M193" s="4">
        <s:f>B193*Projects!O2+C193*Projects!O3+D193*Projects!O4+E193*Projects!O5+F193*Projects!O6+G193*Projects!O7+H193*Projects!O8+I193*Projects!O9</s:f>
        <s:v>24108545.72155732</s:v>
      </s:c>
      <s:c r="N193" s="3">
        <s:f>B193*(1-Projects!Q2)+C193*(1-Projects!Q3)+D193*(1-Projects!Q4)+E193*(1-Projects!Q5)+F193*(1-Projects!Q6)+G193*(1-Projects!Q7)+H193*(1-Projects!Q8)+I193*(1-Projects!Q9)</s:f>
        <s:v>0</s:v>
      </s:c>
      <s:c r="O193" s="3">
        <s:f>IF(AND(J193&lt;=Inputs!B2,L193&gt;=Inputs!B3,M193&gt;=Inputs!B18,N193=0),1,0)</s:f>
        <s:v>0</s:v>
      </s:c>
      <s:c r="P193" s="3">
        <s:f>IF(O193=1,L193,-1)</s:f>
        <s:v>-1</s:v>
      </s:c>
      <s:c r="Q193" s="3">
        <s:f>IF(AND(O193=1,L193=MAX(P$2:P$257)),M193,-1E+99)</s:f>
        <s:v>-1e+99</s:v>
      </s:c>
    </s:row>
    <s:row r="194">
      <s:c r="A194" s="18" t="n">
        <s:v>192</s:v>
      </s:c>
      <s:c r="B194" s="18" t="n">
        <s:v>1</s:v>
      </s:c>
      <s:c r="C194" s="18" t="n">
        <s:v>1</s:v>
      </s:c>
      <s:c r="D194" s="18" t="n">
        <s:v>0</s:v>
      </s:c>
      <s:c r="E194" s="18" t="n">
        <s:v>0</s:v>
      </s:c>
      <s:c r="F194" s="18" t="n">
        <s:v>0</s:v>
      </s:c>
      <s:c r="G194" s="18" t="n">
        <s:v>0</s:v>
      </s:c>
      <s:c r="H194" s="18" t="n">
        <s:v>0</s:v>
      </s:c>
      <s:c r="I194" s="18" t="n">
        <s:v>0</s:v>
      </s:c>
      <s:c r="J194" s="5">
        <s:f>B194*Projects!N2+C194*Projects!N3+D194*Projects!N4+E194*Projects!N5+F194*Projects!N6+G194*Projects!N7+H194*Projects!N8+I194*Projects!N9</s:f>
        <s:v>9100000</s:v>
      </s:c>
      <s:c r="K194" s="2">
        <s:f>B194*Projects!C2+C194*Projects!C3+D194*Projects!C4+E194*Projects!C5+F194*Projects!C6+G194*Projects!C7+H194*Projects!C8+I194*Projects!C9</s:f>
        <s:v>180</s:v>
      </s:c>
      <s:c r="L194" s="2">
        <s:f>B194*Projects!D2+C194*Projects!D3+D194*Projects!D4+E194*Projects!D5+F194*Projects!D6+G194*Projects!D7+H194*Projects!D8+I194*Projects!D9</s:f>
        <s:v>64</s:v>
      </s:c>
      <s:c r="M194" s="5">
        <s:f>B194*Projects!O2+C194*Projects!O3+D194*Projects!O4+E194*Projects!O5+F194*Projects!O6+G194*Projects!O7+H194*Projects!O8+I194*Projects!O9</s:f>
        <s:v>7775823.524200382</s:v>
      </s:c>
      <s:c r="N194" s="2">
        <s:f>B194*(1-Projects!Q2)+C194*(1-Projects!Q3)+D194*(1-Projects!Q4)+E194*(1-Projects!Q5)+F194*(1-Projects!Q6)+G194*(1-Projects!Q7)+H194*(1-Projects!Q8)+I194*(1-Projects!Q9)</s:f>
        <s:v>0</s:v>
      </s:c>
      <s:c r="O194" s="2">
        <s:f>IF(AND(J194&lt;=Inputs!B2,L194&gt;=Inputs!B3,M194&gt;=Inputs!B18,N194=0),1,0)</s:f>
        <s:v>0</s:v>
      </s:c>
      <s:c r="P194" s="2">
        <s:f>IF(O194=1,L194,-1)</s:f>
        <s:v>-1</s:v>
      </s:c>
      <s:c r="Q194" s="2">
        <s:f>IF(AND(O194=1,L194=MAX(P$2:P$257)),M194,-1E+99)</s:f>
        <s:v>-1e+99</s:v>
      </s:c>
    </s:row>
    <s:row r="195">
      <s:c r="A195" s="19" t="n">
        <s:v>193</s:v>
      </s:c>
      <s:c r="B195" s="19" t="n">
        <s:v>1</s:v>
      </s:c>
      <s:c r="C195" s="19" t="n">
        <s:v>1</s:v>
      </s:c>
      <s:c r="D195" s="19" t="n">
        <s:v>0</s:v>
      </s:c>
      <s:c r="E195" s="19" t="n">
        <s:v>0</s:v>
      </s:c>
      <s:c r="F195" s="19" t="n">
        <s:v>0</s:v>
      </s:c>
      <s:c r="G195" s="19" t="n">
        <s:v>0</s:v>
      </s:c>
      <s:c r="H195" s="19" t="n">
        <s:v>0</s:v>
      </s:c>
      <s:c r="I195" s="19" t="n">
        <s:v>1</s:v>
      </s:c>
      <s:c r="J195" s="4">
        <s:f>B195*Projects!N2+C195*Projects!N3+D195*Projects!N4+E195*Projects!N5+F195*Projects!N6+G195*Projects!N7+H195*Projects!N8+I195*Projects!N9</s:f>
        <s:v>13600000</s:v>
      </s:c>
      <s:c r="K195" s="3">
        <s:f>B195*Projects!C2+C195*Projects!C3+D195*Projects!C4+E195*Projects!C5+F195*Projects!C6+G195*Projects!C7+H195*Projects!C8+I195*Projects!C9</s:f>
        <s:v>270</s:v>
      </s:c>
      <s:c r="L195" s="3">
        <s:f>B195*Projects!D2+C195*Projects!D3+D195*Projects!D4+E195*Projects!D5+F195*Projects!D6+G195*Projects!D7+H195*Projects!D8+I195*Projects!D9</s:f>
        <s:v>91</s:v>
      </s:c>
      <s:c r="M195" s="4">
        <s:f>B195*Projects!O2+C195*Projects!O3+D195*Projects!O4+E195*Projects!O5+F195*Projects!O6+G195*Projects!O7+H195*Projects!O8+I195*Projects!O9</s:f>
        <s:v>12232450.949744418</s:v>
      </s:c>
      <s:c r="N195" s="3">
        <s:f>B195*(1-Projects!Q2)+C195*(1-Projects!Q3)+D195*(1-Projects!Q4)+E195*(1-Projects!Q5)+F195*(1-Projects!Q6)+G195*(1-Projects!Q7)+H195*(1-Projects!Q8)+I195*(1-Projects!Q9)</s:f>
        <s:v>0</s:v>
      </s:c>
      <s:c r="O195" s="3">
        <s:f>IF(AND(J195&lt;=Inputs!B2,L195&gt;=Inputs!B3,M195&gt;=Inputs!B18,N195=0),1,0)</s:f>
        <s:v>1</s:v>
      </s:c>
      <s:c r="P195" s="3">
        <s:f>IF(O195=1,L195,-1)</s:f>
        <s:v>91</s:v>
      </s:c>
      <s:c r="Q195" s="3">
        <s:f>IF(AND(O195=1,L195=MAX(P$2:P$257)),M195,-1E+99)</s:f>
        <s:v>-1e+99</s:v>
      </s:c>
    </s:row>
    <s:row r="196">
      <s:c r="A196" s="18" t="n">
        <s:v>194</s:v>
      </s:c>
      <s:c r="B196" s="18" t="n">
        <s:v>1</s:v>
      </s:c>
      <s:c r="C196" s="18" t="n">
        <s:v>1</s:v>
      </s:c>
      <s:c r="D196" s="18" t="n">
        <s:v>0</s:v>
      </s:c>
      <s:c r="E196" s="18" t="n">
        <s:v>0</s:v>
      </s:c>
      <s:c r="F196" s="18" t="n">
        <s:v>0</s:v>
      </s:c>
      <s:c r="G196" s="18" t="n">
        <s:v>0</s:v>
      </s:c>
      <s:c r="H196" s="18" t="n">
        <s:v>1</s:v>
      </s:c>
      <s:c r="I196" s="18" t="n">
        <s:v>0</s:v>
      </s:c>
      <s:c r="J196" s="5">
        <s:f>B196*Projects!N2+C196*Projects!N3+D196*Projects!N4+E196*Projects!N5+F196*Projects!N6+G196*Projects!N7+H196*Projects!N8+I196*Projects!N9</s:f>
        <s:v>13200000</s:v>
      </s:c>
      <s:c r="K196" s="2">
        <s:f>B196*Projects!C2+C196*Projects!C3+D196*Projects!C4+E196*Projects!C5+F196*Projects!C6+G196*Projects!C7+H196*Projects!C8+I196*Projects!C9</s:f>
        <s:v>290</s:v>
      </s:c>
      <s:c r="L196" s="2">
        <s:f>B196*Projects!D2+C196*Projects!D3+D196*Projects!D4+E196*Projects!D5+F196*Projects!D6+G196*Projects!D7+H196*Projects!D8+I196*Projects!D9</s:f>
        <s:v>130</s:v>
      </s:c>
      <s:c r="M196" s="5">
        <s:f>B196*Projects!O2+C196*Projects!O3+D196*Projects!O4+E196*Projects!O5+F196*Projects!O6+G196*Projects!O7+H196*Projects!O8+I196*Projects!O9</s:f>
        <s:v>10811197.502089689</s:v>
      </s:c>
      <s:c r="N196" s="2">
        <s:f>B196*(1-Projects!Q2)+C196*(1-Projects!Q3)+D196*(1-Projects!Q4)+E196*(1-Projects!Q5)+F196*(1-Projects!Q6)+G196*(1-Projects!Q7)+H196*(1-Projects!Q8)+I196*(1-Projects!Q9)</s:f>
        <s:v>0</s:v>
      </s:c>
      <s:c r="O196" s="2">
        <s:f>IF(AND(J196&lt;=Inputs!B2,L196&gt;=Inputs!B3,M196&gt;=Inputs!B18,N196=0),1,0)</s:f>
        <s:v>1</s:v>
      </s:c>
      <s:c r="P196" s="2">
        <s:f>IF(O196=1,L196,-1)</s:f>
        <s:v>130</s:v>
      </s:c>
      <s:c r="Q196" s="2">
        <s:f>IF(AND(O196=1,L196=MAX(P$2:P$257)),M196,-1E+99)</s:f>
        <s:v>-1e+99</s:v>
      </s:c>
    </s:row>
    <s:row r="197">
      <s:c r="A197" s="19" t="n">
        <s:v>195</s:v>
      </s:c>
      <s:c r="B197" s="19" t="n">
        <s:v>1</s:v>
      </s:c>
      <s:c r="C197" s="19" t="n">
        <s:v>1</s:v>
      </s:c>
      <s:c r="D197" s="19" t="n">
        <s:v>0</s:v>
      </s:c>
      <s:c r="E197" s="19" t="n">
        <s:v>0</s:v>
      </s:c>
      <s:c r="F197" s="19" t="n">
        <s:v>0</s:v>
      </s:c>
      <s:c r="G197" s="19" t="n">
        <s:v>0</s:v>
      </s:c>
      <s:c r="H197" s="19" t="n">
        <s:v>1</s:v>
      </s:c>
      <s:c r="I197" s="19" t="n">
        <s:v>1</s:v>
      </s:c>
      <s:c r="J197" s="4">
        <s:f>B197*Projects!N2+C197*Projects!N3+D197*Projects!N4+E197*Projects!N5+F197*Projects!N6+G197*Projects!N7+H197*Projects!N8+I197*Projects!N9</s:f>
        <s:v>17700000</s:v>
      </s:c>
      <s:c r="K197" s="3">
        <s:f>B197*Projects!C2+C197*Projects!C3+D197*Projects!C4+E197*Projects!C5+F197*Projects!C6+G197*Projects!C7+H197*Projects!C8+I197*Projects!C9</s:f>
        <s:v>380</s:v>
      </s:c>
      <s:c r="L197" s="3">
        <s:f>B197*Projects!D2+C197*Projects!D3+D197*Projects!D4+E197*Projects!D5+F197*Projects!D6+G197*Projects!D7+H197*Projects!D8+I197*Projects!D9</s:f>
        <s:v>157</s:v>
      </s:c>
      <s:c r="M197" s="4">
        <s:f>B197*Projects!O2+C197*Projects!O3+D197*Projects!O4+E197*Projects!O5+F197*Projects!O6+G197*Projects!O7+H197*Projects!O8+I197*Projects!O9</s:f>
        <s:v>15267824.927633725</s:v>
      </s:c>
      <s:c r="N197" s="3">
        <s:f>B197*(1-Projects!Q2)+C197*(1-Projects!Q3)+D197*(1-Projects!Q4)+E197*(1-Projects!Q5)+F197*(1-Projects!Q6)+G197*(1-Projects!Q7)+H197*(1-Projects!Q8)+I197*(1-Projects!Q9)</s:f>
        <s:v>0</s:v>
      </s:c>
      <s:c r="O197" s="3">
        <s:f>IF(AND(J197&lt;=Inputs!B2,L197&gt;=Inputs!B3,M197&gt;=Inputs!B18,N197=0),1,0)</s:f>
        <s:v>0</s:v>
      </s:c>
      <s:c r="P197" s="3">
        <s:f>IF(O197=1,L197,-1)</s:f>
        <s:v>-1</s:v>
      </s:c>
      <s:c r="Q197" s="3">
        <s:f>IF(AND(O197=1,L197=MAX(P$2:P$257)),M197,-1E+99)</s:f>
        <s:v>-1e+99</s:v>
      </s:c>
    </s:row>
    <s:row r="198">
      <s:c r="A198" s="18" t="n">
        <s:v>196</s:v>
      </s:c>
      <s:c r="B198" s="18" t="n">
        <s:v>1</s:v>
      </s:c>
      <s:c r="C198" s="18" t="n">
        <s:v>1</s:v>
      </s:c>
      <s:c r="D198" s="18" t="n">
        <s:v>0</s:v>
      </s:c>
      <s:c r="E198" s="18" t="n">
        <s:v>0</s:v>
      </s:c>
      <s:c r="F198" s="18" t="n">
        <s:v>0</s:v>
      </s:c>
      <s:c r="G198" s="18" t="n">
        <s:v>1</s:v>
      </s:c>
      <s:c r="H198" s="18" t="n">
        <s:v>0</s:v>
      </s:c>
      <s:c r="I198" s="18" t="n">
        <s:v>0</s:v>
      </s:c>
      <s:c r="J198" s="5">
        <s:f>B198*Projects!N2+C198*Projects!N3+D198*Projects!N4+E198*Projects!N5+F198*Projects!N6+G198*Projects!N7+H198*Projects!N8+I198*Projects!N9</s:f>
        <s:v>12300000</s:v>
      </s:c>
      <s:c r="K198" s="2">
        <s:f>B198*Projects!C2+C198*Projects!C3+D198*Projects!C4+E198*Projects!C5+F198*Projects!C6+G198*Projects!C7+H198*Projects!C8+I198*Projects!C9</s:f>
        <s:v>260</s:v>
      </s:c>
      <s:c r="L198" s="2">
        <s:f>B198*Projects!D2+C198*Projects!D3+D198*Projects!D4+E198*Projects!D5+F198*Projects!D6+G198*Projects!D7+H198*Projects!D8+I198*Projects!D9</s:f>
        <s:v>104</s:v>
      </s:c>
      <s:c r="M198" s="5">
        <s:f>B198*Projects!O2+C198*Projects!O3+D198*Projects!O4+E198*Projects!O5+F198*Projects!O6+G198*Projects!O7+H198*Projects!O8+I198*Projects!O9</s:f>
        <s:v>10286002.144069385</s:v>
      </s:c>
      <s:c r="N198" s="2">
        <s:f>B198*(1-Projects!Q2)+C198*(1-Projects!Q3)+D198*(1-Projects!Q4)+E198*(1-Projects!Q5)+F198*(1-Projects!Q6)+G198*(1-Projects!Q7)+H198*(1-Projects!Q8)+I198*(1-Projects!Q9)</s:f>
        <s:v>0</s:v>
      </s:c>
      <s:c r="O198" s="2">
        <s:f>IF(AND(J198&lt;=Inputs!B2,L198&gt;=Inputs!B3,M198&gt;=Inputs!B18,N198=0),1,0)</s:f>
        <s:v>1</s:v>
      </s:c>
      <s:c r="P198" s="2">
        <s:f>IF(O198=1,L198,-1)</s:f>
        <s:v>104</s:v>
      </s:c>
      <s:c r="Q198" s="2">
        <s:f>IF(AND(O198=1,L198=MAX(P$2:P$257)),M198,-1E+99)</s:f>
        <s:v>-1e+99</s:v>
      </s:c>
    </s:row>
    <s:row r="199">
      <s:c r="A199" s="19" t="n">
        <s:v>197</s:v>
      </s:c>
      <s:c r="B199" s="19" t="n">
        <s:v>1</s:v>
      </s:c>
      <s:c r="C199" s="19" t="n">
        <s:v>1</s:v>
      </s:c>
      <s:c r="D199" s="19" t="n">
        <s:v>0</s:v>
      </s:c>
      <s:c r="E199" s="19" t="n">
        <s:v>0</s:v>
      </s:c>
      <s:c r="F199" s="19" t="n">
        <s:v>0</s:v>
      </s:c>
      <s:c r="G199" s="19" t="n">
        <s:v>1</s:v>
      </s:c>
      <s:c r="H199" s="19" t="n">
        <s:v>0</s:v>
      </s:c>
      <s:c r="I199" s="19" t="n">
        <s:v>1</s:v>
      </s:c>
      <s:c r="J199" s="4">
        <s:f>B199*Projects!N2+C199*Projects!N3+D199*Projects!N4+E199*Projects!N5+F199*Projects!N6+G199*Projects!N7+H199*Projects!N8+I199*Projects!N9</s:f>
        <s:v>16800000</s:v>
      </s:c>
      <s:c r="K199" s="3">
        <s:f>B199*Projects!C2+C199*Projects!C3+D199*Projects!C4+E199*Projects!C5+F199*Projects!C6+G199*Projects!C7+H199*Projects!C8+I199*Projects!C9</s:f>
        <s:v>350</s:v>
      </s:c>
      <s:c r="L199" s="3">
        <s:f>B199*Projects!D2+C199*Projects!D3+D199*Projects!D4+E199*Projects!D5+F199*Projects!D6+G199*Projects!D7+H199*Projects!D8+I199*Projects!D9</s:f>
        <s:v>131</s:v>
      </s:c>
      <s:c r="M199" s="4">
        <s:f>B199*Projects!O2+C199*Projects!O3+D199*Projects!O4+E199*Projects!O5+F199*Projects!O6+G199*Projects!O7+H199*Projects!O8+I199*Projects!O9</s:f>
        <s:v>14742629.56961342</s:v>
      </s:c>
      <s:c r="N199" s="3">
        <s:f>B199*(1-Projects!Q2)+C199*(1-Projects!Q3)+D199*(1-Projects!Q4)+E199*(1-Projects!Q5)+F199*(1-Projects!Q6)+G199*(1-Projects!Q7)+H199*(1-Projects!Q8)+I199*(1-Projects!Q9)</s:f>
        <s:v>0</s:v>
      </s:c>
      <s:c r="O199" s="3">
        <s:f>IF(AND(J199&lt;=Inputs!B2,L199&gt;=Inputs!B3,M199&gt;=Inputs!B18,N199=0),1,0)</s:f>
        <s:v>0</s:v>
      </s:c>
      <s:c r="P199" s="3">
        <s:f>IF(O199=1,L199,-1)</s:f>
        <s:v>-1</s:v>
      </s:c>
      <s:c r="Q199" s="3">
        <s:f>IF(AND(O199=1,L199=MAX(P$2:P$257)),M199,-1E+99)</s:f>
        <s:v>-1e+99</s:v>
      </s:c>
    </s:row>
    <s:row r="200">
      <s:c r="A200" s="18" t="n">
        <s:v>198</s:v>
      </s:c>
      <s:c r="B200" s="18" t="n">
        <s:v>1</s:v>
      </s:c>
      <s:c r="C200" s="18" t="n">
        <s:v>1</s:v>
      </s:c>
      <s:c r="D200" s="18" t="n">
        <s:v>0</s:v>
      </s:c>
      <s:c r="E200" s="18" t="n">
        <s:v>0</s:v>
      </s:c>
      <s:c r="F200" s="18" t="n">
        <s:v>0</s:v>
      </s:c>
      <s:c r="G200" s="18" t="n">
        <s:v>1</s:v>
      </s:c>
      <s:c r="H200" s="18" t="n">
        <s:v>1</s:v>
      </s:c>
      <s:c r="I200" s="18" t="n">
        <s:v>0</s:v>
      </s:c>
      <s:c r="J200" s="5">
        <s:f>B200*Projects!N2+C200*Projects!N3+D200*Projects!N4+E200*Projects!N5+F200*Projects!N6+G200*Projects!N7+H200*Projects!N8+I200*Projects!N9</s:f>
        <s:v>16400000</s:v>
      </s:c>
      <s:c r="K200" s="2">
        <s:f>B200*Projects!C2+C200*Projects!C3+D200*Projects!C4+E200*Projects!C5+F200*Projects!C6+G200*Projects!C7+H200*Projects!C8+I200*Projects!C9</s:f>
        <s:v>370</s:v>
      </s:c>
      <s:c r="L200" s="2">
        <s:f>B200*Projects!D2+C200*Projects!D3+D200*Projects!D4+E200*Projects!D5+F200*Projects!D6+G200*Projects!D7+H200*Projects!D8+I200*Projects!D9</s:f>
        <s:v>170</s:v>
      </s:c>
      <s:c r="M200" s="5">
        <s:f>B200*Projects!O2+C200*Projects!O3+D200*Projects!O4+E200*Projects!O5+F200*Projects!O6+G200*Projects!O7+H200*Projects!O8+I200*Projects!O9</s:f>
        <s:v>13321376.121958692</s:v>
      </s:c>
      <s:c r="N200" s="2">
        <s:f>B200*(1-Projects!Q2)+C200*(1-Projects!Q3)+D200*(1-Projects!Q4)+E200*(1-Projects!Q5)+F200*(1-Projects!Q6)+G200*(1-Projects!Q7)+H200*(1-Projects!Q8)+I200*(1-Projects!Q9)</s:f>
        <s:v>0</s:v>
      </s:c>
      <s:c r="O200" s="2">
        <s:f>IF(AND(J200&lt;=Inputs!B2,L200&gt;=Inputs!B3,M200&gt;=Inputs!B18,N200=0),1,0)</s:f>
        <s:v>0</s:v>
      </s:c>
      <s:c r="P200" s="2">
        <s:f>IF(O200=1,L200,-1)</s:f>
        <s:v>-1</s:v>
      </s:c>
      <s:c r="Q200" s="2">
        <s:f>IF(AND(O200=1,L200=MAX(P$2:P$257)),M200,-1E+99)</s:f>
        <s:v>-1e+99</s:v>
      </s:c>
    </s:row>
    <s:row r="201">
      <s:c r="A201" s="19" t="n">
        <s:v>199</s:v>
      </s:c>
      <s:c r="B201" s="19" t="n">
        <s:v>1</s:v>
      </s:c>
      <s:c r="C201" s="19" t="n">
        <s:v>1</s:v>
      </s:c>
      <s:c r="D201" s="19" t="n">
        <s:v>0</s:v>
      </s:c>
      <s:c r="E201" s="19" t="n">
        <s:v>0</s:v>
      </s:c>
      <s:c r="F201" s="19" t="n">
        <s:v>0</s:v>
      </s:c>
      <s:c r="G201" s="19" t="n">
        <s:v>1</s:v>
      </s:c>
      <s:c r="H201" s="19" t="n">
        <s:v>1</s:v>
      </s:c>
      <s:c r="I201" s="19" t="n">
        <s:v>1</s:v>
      </s:c>
      <s:c r="J201" s="4">
        <s:f>B201*Projects!N2+C201*Projects!N3+D201*Projects!N4+E201*Projects!N5+F201*Projects!N6+G201*Projects!N7+H201*Projects!N8+I201*Projects!N9</s:f>
        <s:v>20900000</s:v>
      </s:c>
      <s:c r="K201" s="3">
        <s:f>B201*Projects!C2+C201*Projects!C3+D201*Projects!C4+E201*Projects!C5+F201*Projects!C6+G201*Projects!C7+H201*Projects!C8+I201*Projects!C9</s:f>
        <s:v>460</s:v>
      </s:c>
      <s:c r="L201" s="3">
        <s:f>B201*Projects!D2+C201*Projects!D3+D201*Projects!D4+E201*Projects!D5+F201*Projects!D6+G201*Projects!D7+H201*Projects!D8+I201*Projects!D9</s:f>
        <s:v>197</s:v>
      </s:c>
      <s:c r="M201" s="4">
        <s:f>B201*Projects!O2+C201*Projects!O3+D201*Projects!O4+E201*Projects!O5+F201*Projects!O6+G201*Projects!O7+H201*Projects!O8+I201*Projects!O9</s:f>
        <s:v>17778003.547502726</s:v>
      </s:c>
      <s:c r="N201" s="3">
        <s:f>B201*(1-Projects!Q2)+C201*(1-Projects!Q3)+D201*(1-Projects!Q4)+E201*(1-Projects!Q5)+F201*(1-Projects!Q6)+G201*(1-Projects!Q7)+H201*(1-Projects!Q8)+I201*(1-Projects!Q9)</s:f>
        <s:v>0</s:v>
      </s:c>
      <s:c r="O201" s="3">
        <s:f>IF(AND(J201&lt;=Inputs!B2,L201&gt;=Inputs!B3,M201&gt;=Inputs!B18,N201=0),1,0)</s:f>
        <s:v>0</s:v>
      </s:c>
      <s:c r="P201" s="3">
        <s:f>IF(O201=1,L201,-1)</s:f>
        <s:v>-1</s:v>
      </s:c>
      <s:c r="Q201" s="3">
        <s:f>IF(AND(O201=1,L201=MAX(P$2:P$257)),M201,-1E+99)</s:f>
        <s:v>-1e+99</s:v>
      </s:c>
    </s:row>
    <s:row r="202">
      <s:c r="A202" s="18" t="n">
        <s:v>200</s:v>
      </s:c>
      <s:c r="B202" s="18" t="n">
        <s:v>1</s:v>
      </s:c>
      <s:c r="C202" s="18" t="n">
        <s:v>1</s:v>
      </s:c>
      <s:c r="D202" s="18" t="n">
        <s:v>0</s:v>
      </s:c>
      <s:c r="E202" s="18" t="n">
        <s:v>0</s:v>
      </s:c>
      <s:c r="F202" s="18" t="n">
        <s:v>1</s:v>
      </s:c>
      <s:c r="G202" s="18" t="n">
        <s:v>0</s:v>
      </s:c>
      <s:c r="H202" s="18" t="n">
        <s:v>0</s:v>
      </s:c>
      <s:c r="I202" s="18" t="n">
        <s:v>0</s:v>
      </s:c>
      <s:c r="J202" s="5">
        <s:f>B202*Projects!N2+C202*Projects!N3+D202*Projects!N4+E202*Projects!N5+F202*Projects!N6+G202*Projects!N7+H202*Projects!N8+I202*Projects!N9</s:f>
        <s:v>12900000</s:v>
      </s:c>
      <s:c r="K202" s="2">
        <s:f>B202*Projects!C2+C202*Projects!C3+D202*Projects!C4+E202*Projects!C5+F202*Projects!C6+G202*Projects!C7+H202*Projects!C8+I202*Projects!C9</s:f>
        <s:v>270</s:v>
      </s:c>
      <s:c r="L202" s="2">
        <s:f>B202*Projects!D2+C202*Projects!D3+D202*Projects!D4+E202*Projects!D5+F202*Projects!D6+G202*Projects!D7+H202*Projects!D8+I202*Projects!D9</s:f>
        <s:v>109</s:v>
      </s:c>
      <s:c r="M202" s="5">
        <s:f>B202*Projects!O2+C202*Projects!O3+D202*Projects!O4+E202*Projects!O5+F202*Projects!O6+G202*Projects!O7+H202*Projects!O8+I202*Projects!O9</s:f>
        <s:v>10777785.886208445</s:v>
      </s:c>
      <s:c r="N202" s="2">
        <s:f>B202*(1-Projects!Q2)+C202*(1-Projects!Q3)+D202*(1-Projects!Q4)+E202*(1-Projects!Q5)+F202*(1-Projects!Q6)+G202*(1-Projects!Q7)+H202*(1-Projects!Q8)+I202*(1-Projects!Q9)</s:f>
        <s:v>0</s:v>
      </s:c>
      <s:c r="O202" s="2">
        <s:f>IF(AND(J202&lt;=Inputs!B2,L202&gt;=Inputs!B3,M202&gt;=Inputs!B18,N202=0),1,0)</s:f>
        <s:v>1</s:v>
      </s:c>
      <s:c r="P202" s="2">
        <s:f>IF(O202=1,L202,-1)</s:f>
        <s:v>109</s:v>
      </s:c>
      <s:c r="Q202" s="2">
        <s:f>IF(AND(O202=1,L202=MAX(P$2:P$257)),M202,-1E+99)</s:f>
        <s:v>-1e+99</s:v>
      </s:c>
    </s:row>
    <s:row r="203">
      <s:c r="A203" s="19" t="n">
        <s:v>201</s:v>
      </s:c>
      <s:c r="B203" s="19" t="n">
        <s:v>1</s:v>
      </s:c>
      <s:c r="C203" s="19" t="n">
        <s:v>1</s:v>
      </s:c>
      <s:c r="D203" s="19" t="n">
        <s:v>0</s:v>
      </s:c>
      <s:c r="E203" s="19" t="n">
        <s:v>0</s:v>
      </s:c>
      <s:c r="F203" s="19" t="n">
        <s:v>1</s:v>
      </s:c>
      <s:c r="G203" s="19" t="n">
        <s:v>0</s:v>
      </s:c>
      <s:c r="H203" s="19" t="n">
        <s:v>0</s:v>
      </s:c>
      <s:c r="I203" s="19" t="n">
        <s:v>1</s:v>
      </s:c>
      <s:c r="J203" s="4">
        <s:f>B203*Projects!N2+C203*Projects!N3+D203*Projects!N4+E203*Projects!N5+F203*Projects!N6+G203*Projects!N7+H203*Projects!N8+I203*Projects!N9</s:f>
        <s:v>17400000</s:v>
      </s:c>
      <s:c r="K203" s="3">
        <s:f>B203*Projects!C2+C203*Projects!C3+D203*Projects!C4+E203*Projects!C5+F203*Projects!C6+G203*Projects!C7+H203*Projects!C8+I203*Projects!C9</s:f>
        <s:v>360</s:v>
      </s:c>
      <s:c r="L203" s="3">
        <s:f>B203*Projects!D2+C203*Projects!D3+D203*Projects!D4+E203*Projects!D5+F203*Projects!D6+G203*Projects!D7+H203*Projects!D8+I203*Projects!D9</s:f>
        <s:v>136</s:v>
      </s:c>
      <s:c r="M203" s="4">
        <s:f>B203*Projects!O2+C203*Projects!O3+D203*Projects!O4+E203*Projects!O5+F203*Projects!O6+G203*Projects!O7+H203*Projects!O8+I203*Projects!O9</s:f>
        <s:v>15234413.31175248</s:v>
      </s:c>
      <s:c r="N203" s="3">
        <s:f>B203*(1-Projects!Q2)+C203*(1-Projects!Q3)+D203*(1-Projects!Q4)+E203*(1-Projects!Q5)+F203*(1-Projects!Q6)+G203*(1-Projects!Q7)+H203*(1-Projects!Q8)+I203*(1-Projects!Q9)</s:f>
        <s:v>0</s:v>
      </s:c>
      <s:c r="O203" s="3">
        <s:f>IF(AND(J203&lt;=Inputs!B2,L203&gt;=Inputs!B3,M203&gt;=Inputs!B18,N203=0),1,0)</s:f>
        <s:v>0</s:v>
      </s:c>
      <s:c r="P203" s="3">
        <s:f>IF(O203=1,L203,-1)</s:f>
        <s:v>-1</s:v>
      </s:c>
      <s:c r="Q203" s="3">
        <s:f>IF(AND(O203=1,L203=MAX(P$2:P$257)),M203,-1E+99)</s:f>
        <s:v>-1e+99</s:v>
      </s:c>
    </s:row>
    <s:row r="204">
      <s:c r="A204" s="18" t="n">
        <s:v>202</s:v>
      </s:c>
      <s:c r="B204" s="18" t="n">
        <s:v>1</s:v>
      </s:c>
      <s:c r="C204" s="18" t="n">
        <s:v>1</s:v>
      </s:c>
      <s:c r="D204" s="18" t="n">
        <s:v>0</s:v>
      </s:c>
      <s:c r="E204" s="18" t="n">
        <s:v>0</s:v>
      </s:c>
      <s:c r="F204" s="18" t="n">
        <s:v>1</s:v>
      </s:c>
      <s:c r="G204" s="18" t="n">
        <s:v>0</s:v>
      </s:c>
      <s:c r="H204" s="18" t="n">
        <s:v>1</s:v>
      </s:c>
      <s:c r="I204" s="18" t="n">
        <s:v>0</s:v>
      </s:c>
      <s:c r="J204" s="5">
        <s:f>B204*Projects!N2+C204*Projects!N3+D204*Projects!N4+E204*Projects!N5+F204*Projects!N6+G204*Projects!N7+H204*Projects!N8+I204*Projects!N9</s:f>
        <s:v>17000000</s:v>
      </s:c>
      <s:c r="K204" s="2">
        <s:f>B204*Projects!C2+C204*Projects!C3+D204*Projects!C4+E204*Projects!C5+F204*Projects!C6+G204*Projects!C7+H204*Projects!C8+I204*Projects!C9</s:f>
        <s:v>380</s:v>
      </s:c>
      <s:c r="L204" s="2">
        <s:f>B204*Projects!D2+C204*Projects!D3+D204*Projects!D4+E204*Projects!D5+F204*Projects!D6+G204*Projects!D7+H204*Projects!D8+I204*Projects!D9</s:f>
        <s:v>175</s:v>
      </s:c>
      <s:c r="M204" s="5">
        <s:f>B204*Projects!O2+C204*Projects!O3+D204*Projects!O4+E204*Projects!O5+F204*Projects!O6+G204*Projects!O7+H204*Projects!O8+I204*Projects!O9</s:f>
        <s:v>13813159.864097752</s:v>
      </s:c>
      <s:c r="N204" s="2">
        <s:f>B204*(1-Projects!Q2)+C204*(1-Projects!Q3)+D204*(1-Projects!Q4)+E204*(1-Projects!Q5)+F204*(1-Projects!Q6)+G204*(1-Projects!Q7)+H204*(1-Projects!Q8)+I204*(1-Projects!Q9)</s:f>
        <s:v>0</s:v>
      </s:c>
      <s:c r="O204" s="2">
        <s:f>IF(AND(J204&lt;=Inputs!B2,L204&gt;=Inputs!B3,M204&gt;=Inputs!B18,N204=0),1,0)</s:f>
        <s:v>0</s:v>
      </s:c>
      <s:c r="P204" s="2">
        <s:f>IF(O204=1,L204,-1)</s:f>
        <s:v>-1</s:v>
      </s:c>
      <s:c r="Q204" s="2">
        <s:f>IF(AND(O204=1,L204=MAX(P$2:P$257)),M204,-1E+99)</s:f>
        <s:v>-1e+99</s:v>
      </s:c>
    </s:row>
    <s:row r="205">
      <s:c r="A205" s="19" t="n">
        <s:v>203</s:v>
      </s:c>
      <s:c r="B205" s="19" t="n">
        <s:v>1</s:v>
      </s:c>
      <s:c r="C205" s="19" t="n">
        <s:v>1</s:v>
      </s:c>
      <s:c r="D205" s="19" t="n">
        <s:v>0</s:v>
      </s:c>
      <s:c r="E205" s="19" t="n">
        <s:v>0</s:v>
      </s:c>
      <s:c r="F205" s="19" t="n">
        <s:v>1</s:v>
      </s:c>
      <s:c r="G205" s="19" t="n">
        <s:v>0</s:v>
      </s:c>
      <s:c r="H205" s="19" t="n">
        <s:v>1</s:v>
      </s:c>
      <s:c r="I205" s="19" t="n">
        <s:v>1</s:v>
      </s:c>
      <s:c r="J205" s="4">
        <s:f>B205*Projects!N2+C205*Projects!N3+D205*Projects!N4+E205*Projects!N5+F205*Projects!N6+G205*Projects!N7+H205*Projects!N8+I205*Projects!N9</s:f>
        <s:v>21500000</s:v>
      </s:c>
      <s:c r="K205" s="3">
        <s:f>B205*Projects!C2+C205*Projects!C3+D205*Projects!C4+E205*Projects!C5+F205*Projects!C6+G205*Projects!C7+H205*Projects!C8+I205*Projects!C9</s:f>
        <s:v>470</s:v>
      </s:c>
      <s:c r="L205" s="3">
        <s:f>B205*Projects!D2+C205*Projects!D3+D205*Projects!D4+E205*Projects!D5+F205*Projects!D6+G205*Projects!D7+H205*Projects!D8+I205*Projects!D9</s:f>
        <s:v>202</s:v>
      </s:c>
      <s:c r="M205" s="4">
        <s:f>B205*Projects!O2+C205*Projects!O3+D205*Projects!O4+E205*Projects!O5+F205*Projects!O6+G205*Projects!O7+H205*Projects!O8+I205*Projects!O9</s:f>
        <s:v>18269787.289641786</s:v>
      </s:c>
      <s:c r="N205" s="3">
        <s:f>B205*(1-Projects!Q2)+C205*(1-Projects!Q3)+D205*(1-Projects!Q4)+E205*(1-Projects!Q5)+F205*(1-Projects!Q6)+G205*(1-Projects!Q7)+H205*(1-Projects!Q8)+I205*(1-Projects!Q9)</s:f>
        <s:v>0</s:v>
      </s:c>
      <s:c r="O205" s="3">
        <s:f>IF(AND(J205&lt;=Inputs!B2,L205&gt;=Inputs!B3,M205&gt;=Inputs!B18,N205=0),1,0)</s:f>
        <s:v>0</s:v>
      </s:c>
      <s:c r="P205" s="3">
        <s:f>IF(O205=1,L205,-1)</s:f>
        <s:v>-1</s:v>
      </s:c>
      <s:c r="Q205" s="3">
        <s:f>IF(AND(O205=1,L205=MAX(P$2:P$257)),M205,-1E+99)</s:f>
        <s:v>-1e+99</s:v>
      </s:c>
    </s:row>
    <s:row r="206">
      <s:c r="A206" s="18" t="n">
        <s:v>204</s:v>
      </s:c>
      <s:c r="B206" s="18" t="n">
        <s:v>1</s:v>
      </s:c>
      <s:c r="C206" s="18" t="n">
        <s:v>1</s:v>
      </s:c>
      <s:c r="D206" s="18" t="n">
        <s:v>0</s:v>
      </s:c>
      <s:c r="E206" s="18" t="n">
        <s:v>0</s:v>
      </s:c>
      <s:c r="F206" s="18" t="n">
        <s:v>1</s:v>
      </s:c>
      <s:c r="G206" s="18" t="n">
        <s:v>1</s:v>
      </s:c>
      <s:c r="H206" s="18" t="n">
        <s:v>0</s:v>
      </s:c>
      <s:c r="I206" s="18" t="n">
        <s:v>0</s:v>
      </s:c>
      <s:c r="J206" s="5">
        <s:f>B206*Projects!N2+C206*Projects!N3+D206*Projects!N4+E206*Projects!N5+F206*Projects!N6+G206*Projects!N7+H206*Projects!N8+I206*Projects!N9</s:f>
        <s:v>16100000</s:v>
      </s:c>
      <s:c r="K206" s="2">
        <s:f>B206*Projects!C2+C206*Projects!C3+D206*Projects!C4+E206*Projects!C5+F206*Projects!C6+G206*Projects!C7+H206*Projects!C8+I206*Projects!C9</s:f>
        <s:v>350</s:v>
      </s:c>
      <s:c r="L206" s="2">
        <s:f>B206*Projects!D2+C206*Projects!D3+D206*Projects!D4+E206*Projects!D5+F206*Projects!D6+G206*Projects!D7+H206*Projects!D8+I206*Projects!D9</s:f>
        <s:v>149</s:v>
      </s:c>
      <s:c r="M206" s="5">
        <s:f>B206*Projects!O2+C206*Projects!O3+D206*Projects!O4+E206*Projects!O5+F206*Projects!O6+G206*Projects!O7+H206*Projects!O8+I206*Projects!O9</s:f>
        <s:v>13287964.506077448</s:v>
      </s:c>
      <s:c r="N206" s="2">
        <s:f>B206*(1-Projects!Q2)+C206*(1-Projects!Q3)+D206*(1-Projects!Q4)+E206*(1-Projects!Q5)+F206*(1-Projects!Q6)+G206*(1-Projects!Q7)+H206*(1-Projects!Q8)+I206*(1-Projects!Q9)</s:f>
        <s:v>0</s:v>
      </s:c>
      <s:c r="O206" s="2">
        <s:f>IF(AND(J206&lt;=Inputs!B2,L206&gt;=Inputs!B3,M206&gt;=Inputs!B18,N206=0),1,0)</s:f>
        <s:v>0</s:v>
      </s:c>
      <s:c r="P206" s="2">
        <s:f>IF(O206=1,L206,-1)</s:f>
        <s:v>-1</s:v>
      </s:c>
      <s:c r="Q206" s="2">
        <s:f>IF(AND(O206=1,L206=MAX(P$2:P$257)),M206,-1E+99)</s:f>
        <s:v>-1e+99</s:v>
      </s:c>
    </s:row>
    <s:row r="207">
      <s:c r="A207" s="19" t="n">
        <s:v>205</s:v>
      </s:c>
      <s:c r="B207" s="19" t="n">
        <s:v>1</s:v>
      </s:c>
      <s:c r="C207" s="19" t="n">
        <s:v>1</s:v>
      </s:c>
      <s:c r="D207" s="19" t="n">
        <s:v>0</s:v>
      </s:c>
      <s:c r="E207" s="19" t="n">
        <s:v>0</s:v>
      </s:c>
      <s:c r="F207" s="19" t="n">
        <s:v>1</s:v>
      </s:c>
      <s:c r="G207" s="19" t="n">
        <s:v>1</s:v>
      </s:c>
      <s:c r="H207" s="19" t="n">
        <s:v>0</s:v>
      </s:c>
      <s:c r="I207" s="19" t="n">
        <s:v>1</s:v>
      </s:c>
      <s:c r="J207" s="4">
        <s:f>B207*Projects!N2+C207*Projects!N3+D207*Projects!N4+E207*Projects!N5+F207*Projects!N6+G207*Projects!N7+H207*Projects!N8+I207*Projects!N9</s:f>
        <s:v>20600000</s:v>
      </s:c>
      <s:c r="K207" s="3">
        <s:f>B207*Projects!C2+C207*Projects!C3+D207*Projects!C4+E207*Projects!C5+F207*Projects!C6+G207*Projects!C7+H207*Projects!C8+I207*Projects!C9</s:f>
        <s:v>440</s:v>
      </s:c>
      <s:c r="L207" s="3">
        <s:f>B207*Projects!D2+C207*Projects!D3+D207*Projects!D4+E207*Projects!D5+F207*Projects!D6+G207*Projects!D7+H207*Projects!D8+I207*Projects!D9</s:f>
        <s:v>176</s:v>
      </s:c>
      <s:c r="M207" s="4">
        <s:f>B207*Projects!O2+C207*Projects!O3+D207*Projects!O4+E207*Projects!O5+F207*Projects!O6+G207*Projects!O7+H207*Projects!O8+I207*Projects!O9</s:f>
        <s:v>17744591.931621484</s:v>
      </s:c>
      <s:c r="N207" s="3">
        <s:f>B207*(1-Projects!Q2)+C207*(1-Projects!Q3)+D207*(1-Projects!Q4)+E207*(1-Projects!Q5)+F207*(1-Projects!Q6)+G207*(1-Projects!Q7)+H207*(1-Projects!Q8)+I207*(1-Projects!Q9)</s:f>
        <s:v>0</s:v>
      </s:c>
      <s:c r="O207" s="3">
        <s:f>IF(AND(J207&lt;=Inputs!B2,L207&gt;=Inputs!B3,M207&gt;=Inputs!B18,N207=0),1,0)</s:f>
        <s:v>0</s:v>
      </s:c>
      <s:c r="P207" s="3">
        <s:f>IF(O207=1,L207,-1)</s:f>
        <s:v>-1</s:v>
      </s:c>
      <s:c r="Q207" s="3">
        <s:f>IF(AND(O207=1,L207=MAX(P$2:P$257)),M207,-1E+99)</s:f>
        <s:v>-1e+99</s:v>
      </s:c>
    </s:row>
    <s:row r="208">
      <s:c r="A208" s="18" t="n">
        <s:v>206</s:v>
      </s:c>
      <s:c r="B208" s="18" t="n">
        <s:v>1</s:v>
      </s:c>
      <s:c r="C208" s="18" t="n">
        <s:v>1</s:v>
      </s:c>
      <s:c r="D208" s="18" t="n">
        <s:v>0</s:v>
      </s:c>
      <s:c r="E208" s="18" t="n">
        <s:v>0</s:v>
      </s:c>
      <s:c r="F208" s="18" t="n">
        <s:v>1</s:v>
      </s:c>
      <s:c r="G208" s="18" t="n">
        <s:v>1</s:v>
      </s:c>
      <s:c r="H208" s="18" t="n">
        <s:v>1</s:v>
      </s:c>
      <s:c r="I208" s="18" t="n">
        <s:v>0</s:v>
      </s:c>
      <s:c r="J208" s="5">
        <s:f>B208*Projects!N2+C208*Projects!N3+D208*Projects!N4+E208*Projects!N5+F208*Projects!N6+G208*Projects!N7+H208*Projects!N8+I208*Projects!N9</s:f>
        <s:v>20200000</s:v>
      </s:c>
      <s:c r="K208" s="2">
        <s:f>B208*Projects!C2+C208*Projects!C3+D208*Projects!C4+E208*Projects!C5+F208*Projects!C6+G208*Projects!C7+H208*Projects!C8+I208*Projects!C9</s:f>
        <s:v>460</s:v>
      </s:c>
      <s:c r="L208" s="2">
        <s:f>B208*Projects!D2+C208*Projects!D3+D208*Projects!D4+E208*Projects!D5+F208*Projects!D6+G208*Projects!D7+H208*Projects!D8+I208*Projects!D9</s:f>
        <s:v>215</s:v>
      </s:c>
      <s:c r="M208" s="5">
        <s:f>B208*Projects!O2+C208*Projects!O3+D208*Projects!O4+E208*Projects!O5+F208*Projects!O6+G208*Projects!O7+H208*Projects!O8+I208*Projects!O9</s:f>
        <s:v>16323338.483966755</s:v>
      </s:c>
      <s:c r="N208" s="2">
        <s:f>B208*(1-Projects!Q2)+C208*(1-Projects!Q3)+D208*(1-Projects!Q4)+E208*(1-Projects!Q5)+F208*(1-Projects!Q6)+G208*(1-Projects!Q7)+H208*(1-Projects!Q8)+I208*(1-Projects!Q9)</s:f>
        <s:v>0</s:v>
      </s:c>
      <s:c r="O208" s="2">
        <s:f>IF(AND(J208&lt;=Inputs!B2,L208&gt;=Inputs!B3,M208&gt;=Inputs!B18,N208=0),1,0)</s:f>
        <s:v>0</s:v>
      </s:c>
      <s:c r="P208" s="2">
        <s:f>IF(O208=1,L208,-1)</s:f>
        <s:v>-1</s:v>
      </s:c>
      <s:c r="Q208" s="2">
        <s:f>IF(AND(O208=1,L208=MAX(P$2:P$257)),M208,-1E+99)</s:f>
        <s:v>-1e+99</s:v>
      </s:c>
    </s:row>
    <s:row r="209">
      <s:c r="A209" s="19" t="n">
        <s:v>207</s:v>
      </s:c>
      <s:c r="B209" s="19" t="n">
        <s:v>1</s:v>
      </s:c>
      <s:c r="C209" s="19" t="n">
        <s:v>1</s:v>
      </s:c>
      <s:c r="D209" s="19" t="n">
        <s:v>0</s:v>
      </s:c>
      <s:c r="E209" s="19" t="n">
        <s:v>0</s:v>
      </s:c>
      <s:c r="F209" s="19" t="n">
        <s:v>1</s:v>
      </s:c>
      <s:c r="G209" s="19" t="n">
        <s:v>1</s:v>
      </s:c>
      <s:c r="H209" s="19" t="n">
        <s:v>1</s:v>
      </s:c>
      <s:c r="I209" s="19" t="n">
        <s:v>1</s:v>
      </s:c>
      <s:c r="J209" s="4">
        <s:f>B209*Projects!N2+C209*Projects!N3+D209*Projects!N4+E209*Projects!N5+F209*Projects!N6+G209*Projects!N7+H209*Projects!N8+I209*Projects!N9</s:f>
        <s:v>24700000</s:v>
      </s:c>
      <s:c r="K209" s="3">
        <s:f>B209*Projects!C2+C209*Projects!C3+D209*Projects!C4+E209*Projects!C5+F209*Projects!C6+G209*Projects!C7+H209*Projects!C8+I209*Projects!C9</s:f>
        <s:v>550</s:v>
      </s:c>
      <s:c r="L209" s="3">
        <s:f>B209*Projects!D2+C209*Projects!D3+D209*Projects!D4+E209*Projects!D5+F209*Projects!D6+G209*Projects!D7+H209*Projects!D8+I209*Projects!D9</s:f>
        <s:v>242</s:v>
      </s:c>
      <s:c r="M209" s="4">
        <s:f>B209*Projects!O2+C209*Projects!O3+D209*Projects!O4+E209*Projects!O5+F209*Projects!O6+G209*Projects!O7+H209*Projects!O8+I209*Projects!O9</s:f>
        <s:v>20779965.90951079</s:v>
      </s:c>
      <s:c r="N209" s="3">
        <s:f>B209*(1-Projects!Q2)+C209*(1-Projects!Q3)+D209*(1-Projects!Q4)+E209*(1-Projects!Q5)+F209*(1-Projects!Q6)+G209*(1-Projects!Q7)+H209*(1-Projects!Q8)+I209*(1-Projects!Q9)</s:f>
        <s:v>0</s:v>
      </s:c>
      <s:c r="O209" s="3">
        <s:f>IF(AND(J209&lt;=Inputs!B2,L209&gt;=Inputs!B3,M209&gt;=Inputs!B18,N209=0),1,0)</s:f>
        <s:v>0</s:v>
      </s:c>
      <s:c r="P209" s="3">
        <s:f>IF(O209=1,L209,-1)</s:f>
        <s:v>-1</s:v>
      </s:c>
      <s:c r="Q209" s="3">
        <s:f>IF(AND(O209=1,L209=MAX(P$2:P$257)),M209,-1E+99)</s:f>
        <s:v>-1e+99</s:v>
      </s:c>
    </s:row>
    <s:row r="210">
      <s:c r="A210" s="18" t="n">
        <s:v>208</s:v>
      </s:c>
      <s:c r="B210" s="18" t="n">
        <s:v>1</s:v>
      </s:c>
      <s:c r="C210" s="18" t="n">
        <s:v>1</s:v>
      </s:c>
      <s:c r="D210" s="18" t="n">
        <s:v>0</s:v>
      </s:c>
      <s:c r="E210" s="18" t="n">
        <s:v>1</s:v>
      </s:c>
      <s:c r="F210" s="18" t="n">
        <s:v>0</s:v>
      </s:c>
      <s:c r="G210" s="18" t="n">
        <s:v>0</s:v>
      </s:c>
      <s:c r="H210" s="18" t="n">
        <s:v>0</s:v>
      </s:c>
      <s:c r="I210" s="18" t="n">
        <s:v>0</s:v>
      </s:c>
      <s:c r="J210" s="5">
        <s:f>B210*Projects!N2+C210*Projects!N3+D210*Projects!N4+E210*Projects!N5+F210*Projects!N6+G210*Projects!N7+H210*Projects!N8+I210*Projects!N9</s:f>
        <s:v>12500000</s:v>
      </s:c>
      <s:c r="K210" s="2">
        <s:f>B210*Projects!C2+C210*Projects!C3+D210*Projects!C4+E210*Projects!C5+F210*Projects!C6+G210*Projects!C7+H210*Projects!C8+I210*Projects!C9</s:f>
        <s:v>250</s:v>
      </s:c>
      <s:c r="L210" s="2">
        <s:f>B210*Projects!D2+C210*Projects!D3+D210*Projects!D4+E210*Projects!D5+F210*Projects!D6+G210*Projects!D7+H210*Projects!D8+I210*Projects!D9</s:f>
        <s:v>85</s:v>
      </s:c>
      <s:c r="M210" s="5">
        <s:f>B210*Projects!O2+C210*Projects!O3+D210*Projects!O4+E210*Projects!O5+F210*Projects!O6+G210*Projects!O7+H210*Projects!O8+I210*Projects!O9</s:f>
        <s:v>11092181.753267983</s:v>
      </s:c>
      <s:c r="N210" s="2">
        <s:f>B210*(1-Projects!Q2)+C210*(1-Projects!Q3)+D210*(1-Projects!Q4)+E210*(1-Projects!Q5)+F210*(1-Projects!Q6)+G210*(1-Projects!Q7)+H210*(1-Projects!Q8)+I210*(1-Projects!Q9)</s:f>
        <s:v>0</s:v>
      </s:c>
      <s:c r="O210" s="2">
        <s:f>IF(AND(J210&lt;=Inputs!B2,L210&gt;=Inputs!B3,M210&gt;=Inputs!B18,N210=0),1,0)</s:f>
        <s:v>1</s:v>
      </s:c>
      <s:c r="P210" s="2">
        <s:f>IF(O210=1,L210,-1)</s:f>
        <s:v>85</s:v>
      </s:c>
      <s:c r="Q210" s="2">
        <s:f>IF(AND(O210=1,L210=MAX(P$2:P$257)),M210,-1E+99)</s:f>
        <s:v>-1e+99</s:v>
      </s:c>
    </s:row>
    <s:row r="211">
      <s:c r="A211" s="19" t="n">
        <s:v>209</s:v>
      </s:c>
      <s:c r="B211" s="19" t="n">
        <s:v>1</s:v>
      </s:c>
      <s:c r="C211" s="19" t="n">
        <s:v>1</s:v>
      </s:c>
      <s:c r="D211" s="19" t="n">
        <s:v>0</s:v>
      </s:c>
      <s:c r="E211" s="19" t="n">
        <s:v>1</s:v>
      </s:c>
      <s:c r="F211" s="19" t="n">
        <s:v>0</s:v>
      </s:c>
      <s:c r="G211" s="19" t="n">
        <s:v>0</s:v>
      </s:c>
      <s:c r="H211" s="19" t="n">
        <s:v>0</s:v>
      </s:c>
      <s:c r="I211" s="19" t="n">
        <s:v>1</s:v>
      </s:c>
      <s:c r="J211" s="4">
        <s:f>B211*Projects!N2+C211*Projects!N3+D211*Projects!N4+E211*Projects!N5+F211*Projects!N6+G211*Projects!N7+H211*Projects!N8+I211*Projects!N9</s:f>
        <s:v>17000000</s:v>
      </s:c>
      <s:c r="K211" s="3">
        <s:f>B211*Projects!C2+C211*Projects!C3+D211*Projects!C4+E211*Projects!C5+F211*Projects!C6+G211*Projects!C7+H211*Projects!C8+I211*Projects!C9</s:f>
        <s:v>340</s:v>
      </s:c>
      <s:c r="L211" s="3">
        <s:f>B211*Projects!D2+C211*Projects!D3+D211*Projects!D4+E211*Projects!D5+F211*Projects!D6+G211*Projects!D7+H211*Projects!D8+I211*Projects!D9</s:f>
        <s:v>112</s:v>
      </s:c>
      <s:c r="M211" s="4">
        <s:f>B211*Projects!O2+C211*Projects!O3+D211*Projects!O4+E211*Projects!O5+F211*Projects!O6+G211*Projects!O7+H211*Projects!O8+I211*Projects!O9</s:f>
        <s:v>15548809.17881202</s:v>
      </s:c>
      <s:c r="N211" s="3">
        <s:f>B211*(1-Projects!Q2)+C211*(1-Projects!Q3)+D211*(1-Projects!Q4)+E211*(1-Projects!Q5)+F211*(1-Projects!Q6)+G211*(1-Projects!Q7)+H211*(1-Projects!Q8)+I211*(1-Projects!Q9)</s:f>
        <s:v>0</s:v>
      </s:c>
      <s:c r="O211" s="3">
        <s:f>IF(AND(J211&lt;=Inputs!B2,L211&gt;=Inputs!B3,M211&gt;=Inputs!B18,N211=0),1,0)</s:f>
        <s:v>0</s:v>
      </s:c>
      <s:c r="P211" s="3">
        <s:f>IF(O211=1,L211,-1)</s:f>
        <s:v>-1</s:v>
      </s:c>
      <s:c r="Q211" s="3">
        <s:f>IF(AND(O211=1,L211=MAX(P$2:P$257)),M211,-1E+99)</s:f>
        <s:v>-1e+99</s:v>
      </s:c>
    </s:row>
    <s:row r="212">
      <s:c r="A212" s="18" t="n">
        <s:v>210</s:v>
      </s:c>
      <s:c r="B212" s="18" t="n">
        <s:v>1</s:v>
      </s:c>
      <s:c r="C212" s="18" t="n">
        <s:v>1</s:v>
      </s:c>
      <s:c r="D212" s="18" t="n">
        <s:v>0</s:v>
      </s:c>
      <s:c r="E212" s="18" t="n">
        <s:v>1</s:v>
      </s:c>
      <s:c r="F212" s="18" t="n">
        <s:v>0</s:v>
      </s:c>
      <s:c r="G212" s="18" t="n">
        <s:v>0</s:v>
      </s:c>
      <s:c r="H212" s="18" t="n">
        <s:v>1</s:v>
      </s:c>
      <s:c r="I212" s="18" t="n">
        <s:v>0</s:v>
      </s:c>
      <s:c r="J212" s="5">
        <s:f>B212*Projects!N2+C212*Projects!N3+D212*Projects!N4+E212*Projects!N5+F212*Projects!N6+G212*Projects!N7+H212*Projects!N8+I212*Projects!N9</s:f>
        <s:v>16600000</s:v>
      </s:c>
      <s:c r="K212" s="2">
        <s:f>B212*Projects!C2+C212*Projects!C3+D212*Projects!C4+E212*Projects!C5+F212*Projects!C6+G212*Projects!C7+H212*Projects!C8+I212*Projects!C9</s:f>
        <s:v>360</s:v>
      </s:c>
      <s:c r="L212" s="2">
        <s:f>B212*Projects!D2+C212*Projects!D3+D212*Projects!D4+E212*Projects!D5+F212*Projects!D6+G212*Projects!D7+H212*Projects!D8+I212*Projects!D9</s:f>
        <s:v>151</s:v>
      </s:c>
      <s:c r="M212" s="5">
        <s:f>B212*Projects!O2+C212*Projects!O3+D212*Projects!O4+E212*Projects!O5+F212*Projects!O6+G212*Projects!O7+H212*Projects!O8+I212*Projects!O9</s:f>
        <s:v>14127555.73115729</s:v>
      </s:c>
      <s:c r="N212" s="2">
        <s:f>B212*(1-Projects!Q2)+C212*(1-Projects!Q3)+D212*(1-Projects!Q4)+E212*(1-Projects!Q5)+F212*(1-Projects!Q6)+G212*(1-Projects!Q7)+H212*(1-Projects!Q8)+I212*(1-Projects!Q9)</s:f>
        <s:v>0</s:v>
      </s:c>
      <s:c r="O212" s="2">
        <s:f>IF(AND(J212&lt;=Inputs!B2,L212&gt;=Inputs!B3,M212&gt;=Inputs!B18,N212=0),1,0)</s:f>
        <s:v>0</s:v>
      </s:c>
      <s:c r="P212" s="2">
        <s:f>IF(O212=1,L212,-1)</s:f>
        <s:v>-1</s:v>
      </s:c>
      <s:c r="Q212" s="2">
        <s:f>IF(AND(O212=1,L212=MAX(P$2:P$257)),M212,-1E+99)</s:f>
        <s:v>-1e+99</s:v>
      </s:c>
    </s:row>
    <s:row r="213">
      <s:c r="A213" s="19" t="n">
        <s:v>211</s:v>
      </s:c>
      <s:c r="B213" s="19" t="n">
        <s:v>1</s:v>
      </s:c>
      <s:c r="C213" s="19" t="n">
        <s:v>1</s:v>
      </s:c>
      <s:c r="D213" s="19" t="n">
        <s:v>0</s:v>
      </s:c>
      <s:c r="E213" s="19" t="n">
        <s:v>1</s:v>
      </s:c>
      <s:c r="F213" s="19" t="n">
        <s:v>0</s:v>
      </s:c>
      <s:c r="G213" s="19" t="n">
        <s:v>0</s:v>
      </s:c>
      <s:c r="H213" s="19" t="n">
        <s:v>1</s:v>
      </s:c>
      <s:c r="I213" s="19" t="n">
        <s:v>1</s:v>
      </s:c>
      <s:c r="J213" s="4">
        <s:f>B213*Projects!N2+C213*Projects!N3+D213*Projects!N4+E213*Projects!N5+F213*Projects!N6+G213*Projects!N7+H213*Projects!N8+I213*Projects!N9</s:f>
        <s:v>21100000</s:v>
      </s:c>
      <s:c r="K213" s="3">
        <s:f>B213*Projects!C2+C213*Projects!C3+D213*Projects!C4+E213*Projects!C5+F213*Projects!C6+G213*Projects!C7+H213*Projects!C8+I213*Projects!C9</s:f>
        <s:v>450</s:v>
      </s:c>
      <s:c r="L213" s="3">
        <s:f>B213*Projects!D2+C213*Projects!D3+D213*Projects!D4+E213*Projects!D5+F213*Projects!D6+G213*Projects!D7+H213*Projects!D8+I213*Projects!D9</s:f>
        <s:v>178</s:v>
      </s:c>
      <s:c r="M213" s="4">
        <s:f>B213*Projects!O2+C213*Projects!O3+D213*Projects!O4+E213*Projects!O5+F213*Projects!O6+G213*Projects!O7+H213*Projects!O8+I213*Projects!O9</s:f>
        <s:v>18584183.156701326</s:v>
      </s:c>
      <s:c r="N213" s="3">
        <s:f>B213*(1-Projects!Q2)+C213*(1-Projects!Q3)+D213*(1-Projects!Q4)+E213*(1-Projects!Q5)+F213*(1-Projects!Q6)+G213*(1-Projects!Q7)+H213*(1-Projects!Q8)+I213*(1-Projects!Q9)</s:f>
        <s:v>0</s:v>
      </s:c>
      <s:c r="O213" s="3">
        <s:f>IF(AND(J213&lt;=Inputs!B2,L213&gt;=Inputs!B3,M213&gt;=Inputs!B18,N213=0),1,0)</s:f>
        <s:v>0</s:v>
      </s:c>
      <s:c r="P213" s="3">
        <s:f>IF(O213=1,L213,-1)</s:f>
        <s:v>-1</s:v>
      </s:c>
      <s:c r="Q213" s="3">
        <s:f>IF(AND(O213=1,L213=MAX(P$2:P$257)),M213,-1E+99)</s:f>
        <s:v>-1e+99</s:v>
      </s:c>
    </s:row>
    <s:row r="214">
      <s:c r="A214" s="18" t="n">
        <s:v>212</s:v>
      </s:c>
      <s:c r="B214" s="18" t="n">
        <s:v>1</s:v>
      </s:c>
      <s:c r="C214" s="18" t="n">
        <s:v>1</s:v>
      </s:c>
      <s:c r="D214" s="18" t="n">
        <s:v>0</s:v>
      </s:c>
      <s:c r="E214" s="18" t="n">
        <s:v>1</s:v>
      </s:c>
      <s:c r="F214" s="18" t="n">
        <s:v>0</s:v>
      </s:c>
      <s:c r="G214" s="18" t="n">
        <s:v>1</s:v>
      </s:c>
      <s:c r="H214" s="18" t="n">
        <s:v>0</s:v>
      </s:c>
      <s:c r="I214" s="18" t="n">
        <s:v>0</s:v>
      </s:c>
      <s:c r="J214" s="5">
        <s:f>B214*Projects!N2+C214*Projects!N3+D214*Projects!N4+E214*Projects!N5+F214*Projects!N6+G214*Projects!N7+H214*Projects!N8+I214*Projects!N9</s:f>
        <s:v>15700000</s:v>
      </s:c>
      <s:c r="K214" s="2">
        <s:f>B214*Projects!C2+C214*Projects!C3+D214*Projects!C4+E214*Projects!C5+F214*Projects!C6+G214*Projects!C7+H214*Projects!C8+I214*Projects!C9</s:f>
        <s:v>330</s:v>
      </s:c>
      <s:c r="L214" s="2">
        <s:f>B214*Projects!D2+C214*Projects!D3+D214*Projects!D4+E214*Projects!D5+F214*Projects!D6+G214*Projects!D7+H214*Projects!D8+I214*Projects!D9</s:f>
        <s:v>125</s:v>
      </s:c>
      <s:c r="M214" s="5">
        <s:f>B214*Projects!O2+C214*Projects!O3+D214*Projects!O4+E214*Projects!O5+F214*Projects!O6+G214*Projects!O7+H214*Projects!O8+I214*Projects!O9</s:f>
        <s:v>13602360.373136986</s:v>
      </s:c>
      <s:c r="N214" s="2">
        <s:f>B214*(1-Projects!Q2)+C214*(1-Projects!Q3)+D214*(1-Projects!Q4)+E214*(1-Projects!Q5)+F214*(1-Projects!Q6)+G214*(1-Projects!Q7)+H214*(1-Projects!Q8)+I214*(1-Projects!Q9)</s:f>
        <s:v>0</s:v>
      </s:c>
      <s:c r="O214" s="2">
        <s:f>IF(AND(J214&lt;=Inputs!B2,L214&gt;=Inputs!B3,M214&gt;=Inputs!B18,N214=0),1,0)</s:f>
        <s:v>0</s:v>
      </s:c>
      <s:c r="P214" s="2">
        <s:f>IF(O214=1,L214,-1)</s:f>
        <s:v>-1</s:v>
      </s:c>
      <s:c r="Q214" s="2">
        <s:f>IF(AND(O214=1,L214=MAX(P$2:P$257)),M214,-1E+99)</s:f>
        <s:v>-1e+99</s:v>
      </s:c>
    </s:row>
    <s:row r="215">
      <s:c r="A215" s="19" t="n">
        <s:v>213</s:v>
      </s:c>
      <s:c r="B215" s="19" t="n">
        <s:v>1</s:v>
      </s:c>
      <s:c r="C215" s="19" t="n">
        <s:v>1</s:v>
      </s:c>
      <s:c r="D215" s="19" t="n">
        <s:v>0</s:v>
      </s:c>
      <s:c r="E215" s="19" t="n">
        <s:v>1</s:v>
      </s:c>
      <s:c r="F215" s="19" t="n">
        <s:v>0</s:v>
      </s:c>
      <s:c r="G215" s="19" t="n">
        <s:v>1</s:v>
      </s:c>
      <s:c r="H215" s="19" t="n">
        <s:v>0</s:v>
      </s:c>
      <s:c r="I215" s="19" t="n">
        <s:v>1</s:v>
      </s:c>
      <s:c r="J215" s="4">
        <s:f>B215*Projects!N2+C215*Projects!N3+D215*Projects!N4+E215*Projects!N5+F215*Projects!N6+G215*Projects!N7+H215*Projects!N8+I215*Projects!N9</s:f>
        <s:v>20200000</s:v>
      </s:c>
      <s:c r="K215" s="3">
        <s:f>B215*Projects!C2+C215*Projects!C3+D215*Projects!C4+E215*Projects!C5+F215*Projects!C6+G215*Projects!C7+H215*Projects!C8+I215*Projects!C9</s:f>
        <s:v>420</s:v>
      </s:c>
      <s:c r="L215" s="3">
        <s:f>B215*Projects!D2+C215*Projects!D3+D215*Projects!D4+E215*Projects!D5+F215*Projects!D6+G215*Projects!D7+H215*Projects!D8+I215*Projects!D9</s:f>
        <s:v>152</s:v>
      </s:c>
      <s:c r="M215" s="4">
        <s:f>B215*Projects!O2+C215*Projects!O3+D215*Projects!O4+E215*Projects!O5+F215*Projects!O6+G215*Projects!O7+H215*Projects!O8+I215*Projects!O9</s:f>
        <s:v>18058987.79868102</s:v>
      </s:c>
      <s:c r="N215" s="3">
        <s:f>B215*(1-Projects!Q2)+C215*(1-Projects!Q3)+D215*(1-Projects!Q4)+E215*(1-Projects!Q5)+F215*(1-Projects!Q6)+G215*(1-Projects!Q7)+H215*(1-Projects!Q8)+I215*(1-Projects!Q9)</s:f>
        <s:v>0</s:v>
      </s:c>
      <s:c r="O215" s="3">
        <s:f>IF(AND(J215&lt;=Inputs!B2,L215&gt;=Inputs!B3,M215&gt;=Inputs!B18,N215=0),1,0)</s:f>
        <s:v>0</s:v>
      </s:c>
      <s:c r="P215" s="3">
        <s:f>IF(O215=1,L215,-1)</s:f>
        <s:v>-1</s:v>
      </s:c>
      <s:c r="Q215" s="3">
        <s:f>IF(AND(O215=1,L215=MAX(P$2:P$257)),M215,-1E+99)</s:f>
        <s:v>-1e+99</s:v>
      </s:c>
    </s:row>
    <s:row r="216">
      <s:c r="A216" s="18" t="n">
        <s:v>214</s:v>
      </s:c>
      <s:c r="B216" s="18" t="n">
        <s:v>1</s:v>
      </s:c>
      <s:c r="C216" s="18" t="n">
        <s:v>1</s:v>
      </s:c>
      <s:c r="D216" s="18" t="n">
        <s:v>0</s:v>
      </s:c>
      <s:c r="E216" s="18" t="n">
        <s:v>1</s:v>
      </s:c>
      <s:c r="F216" s="18" t="n">
        <s:v>0</s:v>
      </s:c>
      <s:c r="G216" s="18" t="n">
        <s:v>1</s:v>
      </s:c>
      <s:c r="H216" s="18" t="n">
        <s:v>1</s:v>
      </s:c>
      <s:c r="I216" s="18" t="n">
        <s:v>0</s:v>
      </s:c>
      <s:c r="J216" s="5">
        <s:f>B216*Projects!N2+C216*Projects!N3+D216*Projects!N4+E216*Projects!N5+F216*Projects!N6+G216*Projects!N7+H216*Projects!N8+I216*Projects!N9</s:f>
        <s:v>19800000</s:v>
      </s:c>
      <s:c r="K216" s="2">
        <s:f>B216*Projects!C2+C216*Projects!C3+D216*Projects!C4+E216*Projects!C5+F216*Projects!C6+G216*Projects!C7+H216*Projects!C8+I216*Projects!C9</s:f>
        <s:v>440</s:v>
      </s:c>
      <s:c r="L216" s="2">
        <s:f>B216*Projects!D2+C216*Projects!D3+D216*Projects!D4+E216*Projects!D5+F216*Projects!D6+G216*Projects!D7+H216*Projects!D8+I216*Projects!D9</s:f>
        <s:v>191</s:v>
      </s:c>
      <s:c r="M216" s="5">
        <s:f>B216*Projects!O2+C216*Projects!O3+D216*Projects!O4+E216*Projects!O5+F216*Projects!O6+G216*Projects!O7+H216*Projects!O8+I216*Projects!O9</s:f>
        <s:v>16637734.351026293</s:v>
      </s:c>
      <s:c r="N216" s="2">
        <s:f>B216*(1-Projects!Q2)+C216*(1-Projects!Q3)+D216*(1-Projects!Q4)+E216*(1-Projects!Q5)+F216*(1-Projects!Q6)+G216*(1-Projects!Q7)+H216*(1-Projects!Q8)+I216*(1-Projects!Q9)</s:f>
        <s:v>0</s:v>
      </s:c>
      <s:c r="O216" s="2">
        <s:f>IF(AND(J216&lt;=Inputs!B2,L216&gt;=Inputs!B3,M216&gt;=Inputs!B18,N216=0),1,0)</s:f>
        <s:v>0</s:v>
      </s:c>
      <s:c r="P216" s="2">
        <s:f>IF(O216=1,L216,-1)</s:f>
        <s:v>-1</s:v>
      </s:c>
      <s:c r="Q216" s="2">
        <s:f>IF(AND(O216=1,L216=MAX(P$2:P$257)),M216,-1E+99)</s:f>
        <s:v>-1e+99</s:v>
      </s:c>
    </s:row>
    <s:row r="217">
      <s:c r="A217" s="19" t="n">
        <s:v>215</s:v>
      </s:c>
      <s:c r="B217" s="19" t="n">
        <s:v>1</s:v>
      </s:c>
      <s:c r="C217" s="19" t="n">
        <s:v>1</s:v>
      </s:c>
      <s:c r="D217" s="19" t="n">
        <s:v>0</s:v>
      </s:c>
      <s:c r="E217" s="19" t="n">
        <s:v>1</s:v>
      </s:c>
      <s:c r="F217" s="19" t="n">
        <s:v>0</s:v>
      </s:c>
      <s:c r="G217" s="19" t="n">
        <s:v>1</s:v>
      </s:c>
      <s:c r="H217" s="19" t="n">
        <s:v>1</s:v>
      </s:c>
      <s:c r="I217" s="19" t="n">
        <s:v>1</s:v>
      </s:c>
      <s:c r="J217" s="4">
        <s:f>B217*Projects!N2+C217*Projects!N3+D217*Projects!N4+E217*Projects!N5+F217*Projects!N6+G217*Projects!N7+H217*Projects!N8+I217*Projects!N9</s:f>
        <s:v>24300000</s:v>
      </s:c>
      <s:c r="K217" s="3">
        <s:f>B217*Projects!C2+C217*Projects!C3+D217*Projects!C4+E217*Projects!C5+F217*Projects!C6+G217*Projects!C7+H217*Projects!C8+I217*Projects!C9</s:f>
        <s:v>530</s:v>
      </s:c>
      <s:c r="L217" s="3">
        <s:f>B217*Projects!D2+C217*Projects!D3+D217*Projects!D4+E217*Projects!D5+F217*Projects!D6+G217*Projects!D7+H217*Projects!D8+I217*Projects!D9</s:f>
        <s:v>218</s:v>
      </s:c>
      <s:c r="M217" s="4">
        <s:f>B217*Projects!O2+C217*Projects!O3+D217*Projects!O4+E217*Projects!O5+F217*Projects!O6+G217*Projects!O7+H217*Projects!O8+I217*Projects!O9</s:f>
        <s:v>21094361.776570328</s:v>
      </s:c>
      <s:c r="N217" s="3">
        <s:f>B217*(1-Projects!Q2)+C217*(1-Projects!Q3)+D217*(1-Projects!Q4)+E217*(1-Projects!Q5)+F217*(1-Projects!Q6)+G217*(1-Projects!Q7)+H217*(1-Projects!Q8)+I217*(1-Projects!Q9)</s:f>
        <s:v>0</s:v>
      </s:c>
      <s:c r="O217" s="3">
        <s:f>IF(AND(J217&lt;=Inputs!B2,L217&gt;=Inputs!B3,M217&gt;=Inputs!B18,N217=0),1,0)</s:f>
        <s:v>0</s:v>
      </s:c>
      <s:c r="P217" s="3">
        <s:f>IF(O217=1,L217,-1)</s:f>
        <s:v>-1</s:v>
      </s:c>
      <s:c r="Q217" s="3">
        <s:f>IF(AND(O217=1,L217=MAX(P$2:P$257)),M217,-1E+99)</s:f>
        <s:v>-1e+99</s:v>
      </s:c>
    </s:row>
    <s:row r="218">
      <s:c r="A218" s="18" t="n">
        <s:v>216</s:v>
      </s:c>
      <s:c r="B218" s="18" t="n">
        <s:v>1</s:v>
      </s:c>
      <s:c r="C218" s="18" t="n">
        <s:v>1</s:v>
      </s:c>
      <s:c r="D218" s="18" t="n">
        <s:v>0</s:v>
      </s:c>
      <s:c r="E218" s="18" t="n">
        <s:v>1</s:v>
      </s:c>
      <s:c r="F218" s="18" t="n">
        <s:v>1</s:v>
      </s:c>
      <s:c r="G218" s="18" t="n">
        <s:v>0</s:v>
      </s:c>
      <s:c r="H218" s="18" t="n">
        <s:v>0</s:v>
      </s:c>
      <s:c r="I218" s="18" t="n">
        <s:v>0</s:v>
      </s:c>
      <s:c r="J218" s="5">
        <s:f>B218*Projects!N2+C218*Projects!N3+D218*Projects!N4+E218*Projects!N5+F218*Projects!N6+G218*Projects!N7+H218*Projects!N8+I218*Projects!N9</s:f>
        <s:v>16300000</s:v>
      </s:c>
      <s:c r="K218" s="2">
        <s:f>B218*Projects!C2+C218*Projects!C3+D218*Projects!C4+E218*Projects!C5+F218*Projects!C6+G218*Projects!C7+H218*Projects!C8+I218*Projects!C9</s:f>
        <s:v>340</s:v>
      </s:c>
      <s:c r="L218" s="2">
        <s:f>B218*Projects!D2+C218*Projects!D3+D218*Projects!D4+E218*Projects!D5+F218*Projects!D6+G218*Projects!D7+H218*Projects!D8+I218*Projects!D9</s:f>
        <s:v>130</s:v>
      </s:c>
      <s:c r="M218" s="5">
        <s:f>B218*Projects!O2+C218*Projects!O3+D218*Projects!O4+E218*Projects!O5+F218*Projects!O6+G218*Projects!O7+H218*Projects!O8+I218*Projects!O9</s:f>
        <s:v>14094144.115276046</s:v>
      </s:c>
      <s:c r="N218" s="2">
        <s:f>B218*(1-Projects!Q2)+C218*(1-Projects!Q3)+D218*(1-Projects!Q4)+E218*(1-Projects!Q5)+F218*(1-Projects!Q6)+G218*(1-Projects!Q7)+H218*(1-Projects!Q8)+I218*(1-Projects!Q9)</s:f>
        <s:v>0</s:v>
      </s:c>
      <s:c r="O218" s="2">
        <s:f>IF(AND(J218&lt;=Inputs!B2,L218&gt;=Inputs!B3,M218&gt;=Inputs!B18,N218=0),1,0)</s:f>
        <s:v>0</s:v>
      </s:c>
      <s:c r="P218" s="2">
        <s:f>IF(O218=1,L218,-1)</s:f>
        <s:v>-1</s:v>
      </s:c>
      <s:c r="Q218" s="2">
        <s:f>IF(AND(O218=1,L218=MAX(P$2:P$257)),M218,-1E+99)</s:f>
        <s:v>-1e+99</s:v>
      </s:c>
    </s:row>
    <s:row r="219">
      <s:c r="A219" s="19" t="n">
        <s:v>217</s:v>
      </s:c>
      <s:c r="B219" s="19" t="n">
        <s:v>1</s:v>
      </s:c>
      <s:c r="C219" s="19" t="n">
        <s:v>1</s:v>
      </s:c>
      <s:c r="D219" s="19" t="n">
        <s:v>0</s:v>
      </s:c>
      <s:c r="E219" s="19" t="n">
        <s:v>1</s:v>
      </s:c>
      <s:c r="F219" s="19" t="n">
        <s:v>1</s:v>
      </s:c>
      <s:c r="G219" s="19" t="n">
        <s:v>0</s:v>
      </s:c>
      <s:c r="H219" s="19" t="n">
        <s:v>0</s:v>
      </s:c>
      <s:c r="I219" s="19" t="n">
        <s:v>1</s:v>
      </s:c>
      <s:c r="J219" s="4">
        <s:f>B219*Projects!N2+C219*Projects!N3+D219*Projects!N4+E219*Projects!N5+F219*Projects!N6+G219*Projects!N7+H219*Projects!N8+I219*Projects!N9</s:f>
        <s:v>20800000</s:v>
      </s:c>
      <s:c r="K219" s="3">
        <s:f>B219*Projects!C2+C219*Projects!C3+D219*Projects!C4+E219*Projects!C5+F219*Projects!C6+G219*Projects!C7+H219*Projects!C8+I219*Projects!C9</s:f>
        <s:v>430</s:v>
      </s:c>
      <s:c r="L219" s="3">
        <s:f>B219*Projects!D2+C219*Projects!D3+D219*Projects!D4+E219*Projects!D5+F219*Projects!D6+G219*Projects!D7+H219*Projects!D8+I219*Projects!D9</s:f>
        <s:v>157</s:v>
      </s:c>
      <s:c r="M219" s="4">
        <s:f>B219*Projects!O2+C219*Projects!O3+D219*Projects!O4+E219*Projects!O5+F219*Projects!O6+G219*Projects!O7+H219*Projects!O8+I219*Projects!O9</s:f>
        <s:v>18550771.54082008</s:v>
      </s:c>
      <s:c r="N219" s="3">
        <s:f>B219*(1-Projects!Q2)+C219*(1-Projects!Q3)+D219*(1-Projects!Q4)+E219*(1-Projects!Q5)+F219*(1-Projects!Q6)+G219*(1-Projects!Q7)+H219*(1-Projects!Q8)+I219*(1-Projects!Q9)</s:f>
        <s:v>0</s:v>
      </s:c>
      <s:c r="O219" s="3">
        <s:f>IF(AND(J219&lt;=Inputs!B2,L219&gt;=Inputs!B3,M219&gt;=Inputs!B18,N219=0),1,0)</s:f>
        <s:v>0</s:v>
      </s:c>
      <s:c r="P219" s="3">
        <s:f>IF(O219=1,L219,-1)</s:f>
        <s:v>-1</s:v>
      </s:c>
      <s:c r="Q219" s="3">
        <s:f>IF(AND(O219=1,L219=MAX(P$2:P$257)),M219,-1E+99)</s:f>
        <s:v>-1e+99</s:v>
      </s:c>
    </s:row>
    <s:row r="220">
      <s:c r="A220" s="18" t="n">
        <s:v>218</s:v>
      </s:c>
      <s:c r="B220" s="18" t="n">
        <s:v>1</s:v>
      </s:c>
      <s:c r="C220" s="18" t="n">
        <s:v>1</s:v>
      </s:c>
      <s:c r="D220" s="18" t="n">
        <s:v>0</s:v>
      </s:c>
      <s:c r="E220" s="18" t="n">
        <s:v>1</s:v>
      </s:c>
      <s:c r="F220" s="18" t="n">
        <s:v>1</s:v>
      </s:c>
      <s:c r="G220" s="18" t="n">
        <s:v>0</s:v>
      </s:c>
      <s:c r="H220" s="18" t="n">
        <s:v>1</s:v>
      </s:c>
      <s:c r="I220" s="18" t="n">
        <s:v>0</s:v>
      </s:c>
      <s:c r="J220" s="5">
        <s:f>B220*Projects!N2+C220*Projects!N3+D220*Projects!N4+E220*Projects!N5+F220*Projects!N6+G220*Projects!N7+H220*Projects!N8+I220*Projects!N9</s:f>
        <s:v>20400000</s:v>
      </s:c>
      <s:c r="K220" s="2">
        <s:f>B220*Projects!C2+C220*Projects!C3+D220*Projects!C4+E220*Projects!C5+F220*Projects!C6+G220*Projects!C7+H220*Projects!C8+I220*Projects!C9</s:f>
        <s:v>450</s:v>
      </s:c>
      <s:c r="L220" s="2">
        <s:f>B220*Projects!D2+C220*Projects!D3+D220*Projects!D4+E220*Projects!D5+F220*Projects!D6+G220*Projects!D7+H220*Projects!D8+I220*Projects!D9</s:f>
        <s:v>196</s:v>
      </s:c>
      <s:c r="M220" s="5">
        <s:f>B220*Projects!O2+C220*Projects!O3+D220*Projects!O4+E220*Projects!O5+F220*Projects!O6+G220*Projects!O7+H220*Projects!O8+I220*Projects!O9</s:f>
        <s:v>17129518.093165353</s:v>
      </s:c>
      <s:c r="N220" s="2">
        <s:f>B220*(1-Projects!Q2)+C220*(1-Projects!Q3)+D220*(1-Projects!Q4)+E220*(1-Projects!Q5)+F220*(1-Projects!Q6)+G220*(1-Projects!Q7)+H220*(1-Projects!Q8)+I220*(1-Projects!Q9)</s:f>
        <s:v>0</s:v>
      </s:c>
      <s:c r="O220" s="2">
        <s:f>IF(AND(J220&lt;=Inputs!B2,L220&gt;=Inputs!B3,M220&gt;=Inputs!B18,N220=0),1,0)</s:f>
        <s:v>0</s:v>
      </s:c>
      <s:c r="P220" s="2">
        <s:f>IF(O220=1,L220,-1)</s:f>
        <s:v>-1</s:v>
      </s:c>
      <s:c r="Q220" s="2">
        <s:f>IF(AND(O220=1,L220=MAX(P$2:P$257)),M220,-1E+99)</s:f>
        <s:v>-1e+99</s:v>
      </s:c>
    </s:row>
    <s:row r="221">
      <s:c r="A221" s="19" t="n">
        <s:v>219</s:v>
      </s:c>
      <s:c r="B221" s="19" t="n">
        <s:v>1</s:v>
      </s:c>
      <s:c r="C221" s="19" t="n">
        <s:v>1</s:v>
      </s:c>
      <s:c r="D221" s="19" t="n">
        <s:v>0</s:v>
      </s:c>
      <s:c r="E221" s="19" t="n">
        <s:v>1</s:v>
      </s:c>
      <s:c r="F221" s="19" t="n">
        <s:v>1</s:v>
      </s:c>
      <s:c r="G221" s="19" t="n">
        <s:v>0</s:v>
      </s:c>
      <s:c r="H221" s="19" t="n">
        <s:v>1</s:v>
      </s:c>
      <s:c r="I221" s="19" t="n">
        <s:v>1</s:v>
      </s:c>
      <s:c r="J221" s="4">
        <s:f>B221*Projects!N2+C221*Projects!N3+D221*Projects!N4+E221*Projects!N5+F221*Projects!N6+G221*Projects!N7+H221*Projects!N8+I221*Projects!N9</s:f>
        <s:v>24900000</s:v>
      </s:c>
      <s:c r="K221" s="3">
        <s:f>B221*Projects!C2+C221*Projects!C3+D221*Projects!C4+E221*Projects!C5+F221*Projects!C6+G221*Projects!C7+H221*Projects!C8+I221*Projects!C9</s:f>
        <s:v>540</s:v>
      </s:c>
      <s:c r="L221" s="3">
        <s:f>B221*Projects!D2+C221*Projects!D3+D221*Projects!D4+E221*Projects!D5+F221*Projects!D6+G221*Projects!D7+H221*Projects!D8+I221*Projects!D9</s:f>
        <s:v>223</s:v>
      </s:c>
      <s:c r="M221" s="4">
        <s:f>B221*Projects!O2+C221*Projects!O3+D221*Projects!O4+E221*Projects!O5+F221*Projects!O6+G221*Projects!O7+H221*Projects!O8+I221*Projects!O9</s:f>
        <s:v>21586145.518709388</s:v>
      </s:c>
      <s:c r="N221" s="3">
        <s:f>B221*(1-Projects!Q2)+C221*(1-Projects!Q3)+D221*(1-Projects!Q4)+E221*(1-Projects!Q5)+F221*(1-Projects!Q6)+G221*(1-Projects!Q7)+H221*(1-Projects!Q8)+I221*(1-Projects!Q9)</s:f>
        <s:v>0</s:v>
      </s:c>
      <s:c r="O221" s="3">
        <s:f>IF(AND(J221&lt;=Inputs!B2,L221&gt;=Inputs!B3,M221&gt;=Inputs!B18,N221=0),1,0)</s:f>
        <s:v>0</s:v>
      </s:c>
      <s:c r="P221" s="3">
        <s:f>IF(O221=1,L221,-1)</s:f>
        <s:v>-1</s:v>
      </s:c>
      <s:c r="Q221" s="3">
        <s:f>IF(AND(O221=1,L221=MAX(P$2:P$257)),M221,-1E+99)</s:f>
        <s:v>-1e+99</s:v>
      </s:c>
    </s:row>
    <s:row r="222">
      <s:c r="A222" s="18" t="n">
        <s:v>220</s:v>
      </s:c>
      <s:c r="B222" s="18" t="n">
        <s:v>1</s:v>
      </s:c>
      <s:c r="C222" s="18" t="n">
        <s:v>1</s:v>
      </s:c>
      <s:c r="D222" s="18" t="n">
        <s:v>0</s:v>
      </s:c>
      <s:c r="E222" s="18" t="n">
        <s:v>1</s:v>
      </s:c>
      <s:c r="F222" s="18" t="n">
        <s:v>1</s:v>
      </s:c>
      <s:c r="G222" s="18" t="n">
        <s:v>1</s:v>
      </s:c>
      <s:c r="H222" s="18" t="n">
        <s:v>0</s:v>
      </s:c>
      <s:c r="I222" s="18" t="n">
        <s:v>0</s:v>
      </s:c>
      <s:c r="J222" s="5">
        <s:f>B222*Projects!N2+C222*Projects!N3+D222*Projects!N4+E222*Projects!N5+F222*Projects!N6+G222*Projects!N7+H222*Projects!N8+I222*Projects!N9</s:f>
        <s:v>19500000</s:v>
      </s:c>
      <s:c r="K222" s="2">
        <s:f>B222*Projects!C2+C222*Projects!C3+D222*Projects!C4+E222*Projects!C5+F222*Projects!C6+G222*Projects!C7+H222*Projects!C8+I222*Projects!C9</s:f>
        <s:v>420</s:v>
      </s:c>
      <s:c r="L222" s="2">
        <s:f>B222*Projects!D2+C222*Projects!D3+D222*Projects!D4+E222*Projects!D5+F222*Projects!D6+G222*Projects!D7+H222*Projects!D8+I222*Projects!D9</s:f>
        <s:v>170</s:v>
      </s:c>
      <s:c r="M222" s="5">
        <s:f>B222*Projects!O2+C222*Projects!O3+D222*Projects!O4+E222*Projects!O5+F222*Projects!O6+G222*Projects!O7+H222*Projects!O8+I222*Projects!O9</s:f>
        <s:v>16604322.73514505</s:v>
      </s:c>
      <s:c r="N222" s="2">
        <s:f>B222*(1-Projects!Q2)+C222*(1-Projects!Q3)+D222*(1-Projects!Q4)+E222*(1-Projects!Q5)+F222*(1-Projects!Q6)+G222*(1-Projects!Q7)+H222*(1-Projects!Q8)+I222*(1-Projects!Q9)</s:f>
        <s:v>0</s:v>
      </s:c>
      <s:c r="O222" s="2">
        <s:f>IF(AND(J222&lt;=Inputs!B2,L222&gt;=Inputs!B3,M222&gt;=Inputs!B18,N222=0),1,0)</s:f>
        <s:v>0</s:v>
      </s:c>
      <s:c r="P222" s="2">
        <s:f>IF(O222=1,L222,-1)</s:f>
        <s:v>-1</s:v>
      </s:c>
      <s:c r="Q222" s="2">
        <s:f>IF(AND(O222=1,L222=MAX(P$2:P$257)),M222,-1E+99)</s:f>
        <s:v>-1e+99</s:v>
      </s:c>
    </s:row>
    <s:row r="223">
      <s:c r="A223" s="19" t="n">
        <s:v>221</s:v>
      </s:c>
      <s:c r="B223" s="19" t="n">
        <s:v>1</s:v>
      </s:c>
      <s:c r="C223" s="19" t="n">
        <s:v>1</s:v>
      </s:c>
      <s:c r="D223" s="19" t="n">
        <s:v>0</s:v>
      </s:c>
      <s:c r="E223" s="19" t="n">
        <s:v>1</s:v>
      </s:c>
      <s:c r="F223" s="19" t="n">
        <s:v>1</s:v>
      </s:c>
      <s:c r="G223" s="19" t="n">
        <s:v>1</s:v>
      </s:c>
      <s:c r="H223" s="19" t="n">
        <s:v>0</s:v>
      </s:c>
      <s:c r="I223" s="19" t="n">
        <s:v>1</s:v>
      </s:c>
      <s:c r="J223" s="4">
        <s:f>B223*Projects!N2+C223*Projects!N3+D223*Projects!N4+E223*Projects!N5+F223*Projects!N6+G223*Projects!N7+H223*Projects!N8+I223*Projects!N9</s:f>
        <s:v>24000000</s:v>
      </s:c>
      <s:c r="K223" s="3">
        <s:f>B223*Projects!C2+C223*Projects!C3+D223*Projects!C4+E223*Projects!C5+F223*Projects!C6+G223*Projects!C7+H223*Projects!C8+I223*Projects!C9</s:f>
        <s:v>510</s:v>
      </s:c>
      <s:c r="L223" s="3">
        <s:f>B223*Projects!D2+C223*Projects!D3+D223*Projects!D4+E223*Projects!D5+F223*Projects!D6+G223*Projects!D7+H223*Projects!D8+I223*Projects!D9</s:f>
        <s:v>197</s:v>
      </s:c>
      <s:c r="M223" s="4">
        <s:f>B223*Projects!O2+C223*Projects!O3+D223*Projects!O4+E223*Projects!O5+F223*Projects!O6+G223*Projects!O7+H223*Projects!O8+I223*Projects!O9</s:f>
        <s:v>21060950.160689086</s:v>
      </s:c>
      <s:c r="N223" s="3">
        <s:f>B223*(1-Projects!Q2)+C223*(1-Projects!Q3)+D223*(1-Projects!Q4)+E223*(1-Projects!Q5)+F223*(1-Projects!Q6)+G223*(1-Projects!Q7)+H223*(1-Projects!Q8)+I223*(1-Projects!Q9)</s:f>
        <s:v>0</s:v>
      </s:c>
      <s:c r="O223" s="3">
        <s:f>IF(AND(J223&lt;=Inputs!B2,L223&gt;=Inputs!B3,M223&gt;=Inputs!B18,N223=0),1,0)</s:f>
        <s:v>0</s:v>
      </s:c>
      <s:c r="P223" s="3">
        <s:f>IF(O223=1,L223,-1)</s:f>
        <s:v>-1</s:v>
      </s:c>
      <s:c r="Q223" s="3">
        <s:f>IF(AND(O223=1,L223=MAX(P$2:P$257)),M223,-1E+99)</s:f>
        <s:v>-1e+99</s:v>
      </s:c>
    </s:row>
    <s:row r="224">
      <s:c r="A224" s="18" t="n">
        <s:v>222</s:v>
      </s:c>
      <s:c r="B224" s="18" t="n">
        <s:v>1</s:v>
      </s:c>
      <s:c r="C224" s="18" t="n">
        <s:v>1</s:v>
      </s:c>
      <s:c r="D224" s="18" t="n">
        <s:v>0</s:v>
      </s:c>
      <s:c r="E224" s="18" t="n">
        <s:v>1</s:v>
      </s:c>
      <s:c r="F224" s="18" t="n">
        <s:v>1</s:v>
      </s:c>
      <s:c r="G224" s="18" t="n">
        <s:v>1</s:v>
      </s:c>
      <s:c r="H224" s="18" t="n">
        <s:v>1</s:v>
      </s:c>
      <s:c r="I224" s="18" t="n">
        <s:v>0</s:v>
      </s:c>
      <s:c r="J224" s="5">
        <s:f>B224*Projects!N2+C224*Projects!N3+D224*Projects!N4+E224*Projects!N5+F224*Projects!N6+G224*Projects!N7+H224*Projects!N8+I224*Projects!N9</s:f>
        <s:v>23600000</s:v>
      </s:c>
      <s:c r="K224" s="2">
        <s:f>B224*Projects!C2+C224*Projects!C3+D224*Projects!C4+E224*Projects!C5+F224*Projects!C6+G224*Projects!C7+H224*Projects!C8+I224*Projects!C9</s:f>
        <s:v>530</s:v>
      </s:c>
      <s:c r="L224" s="2">
        <s:f>B224*Projects!D2+C224*Projects!D3+D224*Projects!D4+E224*Projects!D5+F224*Projects!D6+G224*Projects!D7+H224*Projects!D8+I224*Projects!D9</s:f>
        <s:v>236</s:v>
      </s:c>
      <s:c r="M224" s="5">
        <s:f>B224*Projects!O2+C224*Projects!O3+D224*Projects!O4+E224*Projects!O5+F224*Projects!O6+G224*Projects!O7+H224*Projects!O8+I224*Projects!O9</s:f>
        <s:v>19639696.713034358</s:v>
      </s:c>
      <s:c r="N224" s="2">
        <s:f>B224*(1-Projects!Q2)+C224*(1-Projects!Q3)+D224*(1-Projects!Q4)+E224*(1-Projects!Q5)+F224*(1-Projects!Q6)+G224*(1-Projects!Q7)+H224*(1-Projects!Q8)+I224*(1-Projects!Q9)</s:f>
        <s:v>0</s:v>
      </s:c>
      <s:c r="O224" s="2">
        <s:f>IF(AND(J224&lt;=Inputs!B2,L224&gt;=Inputs!B3,M224&gt;=Inputs!B18,N224=0),1,0)</s:f>
        <s:v>0</s:v>
      </s:c>
      <s:c r="P224" s="2">
        <s:f>IF(O224=1,L224,-1)</s:f>
        <s:v>-1</s:v>
      </s:c>
      <s:c r="Q224" s="2">
        <s:f>IF(AND(O224=1,L224=MAX(P$2:P$257)),M224,-1E+99)</s:f>
        <s:v>-1e+99</s:v>
      </s:c>
    </s:row>
    <s:row r="225">
      <s:c r="A225" s="19" t="n">
        <s:v>223</s:v>
      </s:c>
      <s:c r="B225" s="19" t="n">
        <s:v>1</s:v>
      </s:c>
      <s:c r="C225" s="19" t="n">
        <s:v>1</s:v>
      </s:c>
      <s:c r="D225" s="19" t="n">
        <s:v>0</s:v>
      </s:c>
      <s:c r="E225" s="19" t="n">
        <s:v>1</s:v>
      </s:c>
      <s:c r="F225" s="19" t="n">
        <s:v>1</s:v>
      </s:c>
      <s:c r="G225" s="19" t="n">
        <s:v>1</s:v>
      </s:c>
      <s:c r="H225" s="19" t="n">
        <s:v>1</s:v>
      </s:c>
      <s:c r="I225" s="19" t="n">
        <s:v>1</s:v>
      </s:c>
      <s:c r="J225" s="4">
        <s:f>B225*Projects!N2+C225*Projects!N3+D225*Projects!N4+E225*Projects!N5+F225*Projects!N6+G225*Projects!N7+H225*Projects!N8+I225*Projects!N9</s:f>
        <s:v>28100000</s:v>
      </s:c>
      <s:c r="K225" s="3">
        <s:f>B225*Projects!C2+C225*Projects!C3+D225*Projects!C4+E225*Projects!C5+F225*Projects!C6+G225*Projects!C7+H225*Projects!C8+I225*Projects!C9</s:f>
        <s:v>620</s:v>
      </s:c>
      <s:c r="L225" s="3">
        <s:f>B225*Projects!D2+C225*Projects!D3+D225*Projects!D4+E225*Projects!D5+F225*Projects!D6+G225*Projects!D7+H225*Projects!D8+I225*Projects!D9</s:f>
        <s:v>263</s:v>
      </s:c>
      <s:c r="M225" s="4">
        <s:f>B225*Projects!O2+C225*Projects!O3+D225*Projects!O4+E225*Projects!O5+F225*Projects!O6+G225*Projects!O7+H225*Projects!O8+I225*Projects!O9</s:f>
        <s:v>24096324.138578393</s:v>
      </s:c>
      <s:c r="N225" s="3">
        <s:f>B225*(1-Projects!Q2)+C225*(1-Projects!Q3)+D225*(1-Projects!Q4)+E225*(1-Projects!Q5)+F225*(1-Projects!Q6)+G225*(1-Projects!Q7)+H225*(1-Projects!Q8)+I225*(1-Projects!Q9)</s:f>
        <s:v>0</s:v>
      </s:c>
      <s:c r="O225" s="3">
        <s:f>IF(AND(J225&lt;=Inputs!B2,L225&gt;=Inputs!B3,M225&gt;=Inputs!B18,N225=0),1,0)</s:f>
        <s:v>0</s:v>
      </s:c>
      <s:c r="P225" s="3">
        <s:f>IF(O225=1,L225,-1)</s:f>
        <s:v>-1</s:v>
      </s:c>
      <s:c r="Q225" s="3">
        <s:f>IF(AND(O225=1,L225=MAX(P$2:P$257)),M225,-1E+99)</s:f>
        <s:v>-1e+99</s:v>
      </s:c>
    </s:row>
    <s:row r="226">
      <s:c r="A226" s="18" t="n">
        <s:v>224</s:v>
      </s:c>
      <s:c r="B226" s="18" t="n">
        <s:v>1</s:v>
      </s:c>
      <s:c r="C226" s="18" t="n">
        <s:v>1</s:v>
      </s:c>
      <s:c r="D226" s="18" t="n">
        <s:v>1</s:v>
      </s:c>
      <s:c r="E226" s="18" t="n">
        <s:v>0</s:v>
      </s:c>
      <s:c r="F226" s="18" t="n">
        <s:v>0</s:v>
      </s:c>
      <s:c r="G226" s="18" t="n">
        <s:v>0</s:v>
      </s:c>
      <s:c r="H226" s="18" t="n">
        <s:v>0</s:v>
      </s:c>
      <s:c r="I226" s="18" t="n">
        <s:v>0</s:v>
      </s:c>
      <s:c r="J226" s="5">
        <s:f>B226*Projects!N2+C226*Projects!N3+D226*Projects!N4+E226*Projects!N5+F226*Projects!N6+G226*Projects!N7+H226*Projects!N8+I226*Projects!N9</s:f>
        <s:v>14000000</s:v>
      </s:c>
      <s:c r="K226" s="2">
        <s:f>B226*Projects!C2+C226*Projects!C3+D226*Projects!C4+E226*Projects!C5+F226*Projects!C6+G226*Projects!C7+H226*Projects!C8+I226*Projects!C9</s:f>
        <s:v>300</s:v>
      </s:c>
      <s:c r="L226" s="2">
        <s:f>B226*Projects!D2+C226*Projects!D3+D226*Projects!D4+E226*Projects!D5+F226*Projects!D6+G226*Projects!D7+H226*Projects!D8+I226*Projects!D9</s:f>
        <s:v>124</s:v>
      </s:c>
      <s:c r="M226" s="5">
        <s:f>B226*Projects!O2+C226*Projects!O3+D226*Projects!O4+E226*Projects!O5+F226*Projects!O6+G226*Projects!O7+H226*Projects!O8+I226*Projects!O9</s:f>
        <s:v>11567095.25888903</s:v>
      </s:c>
      <s:c r="N226" s="2">
        <s:f>B226*(1-Projects!Q2)+C226*(1-Projects!Q3)+D226*(1-Projects!Q4)+E226*(1-Projects!Q5)+F226*(1-Projects!Q6)+G226*(1-Projects!Q7)+H226*(1-Projects!Q8)+I226*(1-Projects!Q9)</s:f>
        <s:v>0</s:v>
      </s:c>
      <s:c r="O226" s="2">
        <s:f>IF(AND(J226&lt;=Inputs!B2,L226&gt;=Inputs!B3,M226&gt;=Inputs!B18,N226=0),1,0)</s:f>
        <s:v>1</s:v>
      </s:c>
      <s:c r="P226" s="2">
        <s:f>IF(O226=1,L226,-1)</s:f>
        <s:v>124</s:v>
      </s:c>
      <s:c r="Q226" s="2">
        <s:f>IF(AND(O226=1,L226=MAX(P$2:P$257)),M226,-1E+99)</s:f>
        <s:v>-1e+99</s:v>
      </s:c>
    </s:row>
    <s:row r="227">
      <s:c r="A227" s="19" t="n">
        <s:v>225</s:v>
      </s:c>
      <s:c r="B227" s="19" t="n">
        <s:v>1</s:v>
      </s:c>
      <s:c r="C227" s="19" t="n">
        <s:v>1</s:v>
      </s:c>
      <s:c r="D227" s="19" t="n">
        <s:v>1</s:v>
      </s:c>
      <s:c r="E227" s="19" t="n">
        <s:v>0</s:v>
      </s:c>
      <s:c r="F227" s="19" t="n">
        <s:v>0</s:v>
      </s:c>
      <s:c r="G227" s="19" t="n">
        <s:v>0</s:v>
      </s:c>
      <s:c r="H227" s="19" t="n">
        <s:v>0</s:v>
      </s:c>
      <s:c r="I227" s="19" t="n">
        <s:v>1</s:v>
      </s:c>
      <s:c r="J227" s="4">
        <s:f>B227*Projects!N2+C227*Projects!N3+D227*Projects!N4+E227*Projects!N5+F227*Projects!N6+G227*Projects!N7+H227*Projects!N8+I227*Projects!N9</s:f>
        <s:v>18500000</s:v>
      </s:c>
      <s:c r="K227" s="3">
        <s:f>B227*Projects!C2+C227*Projects!C3+D227*Projects!C4+E227*Projects!C5+F227*Projects!C6+G227*Projects!C7+H227*Projects!C8+I227*Projects!C9</s:f>
        <s:v>390</s:v>
      </s:c>
      <s:c r="L227" s="3">
        <s:f>B227*Projects!D2+C227*Projects!D3+D227*Projects!D4+E227*Projects!D5+F227*Projects!D6+G227*Projects!D7+H227*Projects!D8+I227*Projects!D9</s:f>
        <s:v>151</s:v>
      </s:c>
      <s:c r="M227" s="4">
        <s:f>B227*Projects!O2+C227*Projects!O3+D227*Projects!O4+E227*Projects!O5+F227*Projects!O6+G227*Projects!O7+H227*Projects!O8+I227*Projects!O9</s:f>
        <s:v>16023722.684433065</s:v>
      </s:c>
      <s:c r="N227" s="3">
        <s:f>B227*(1-Projects!Q2)+C227*(1-Projects!Q3)+D227*(1-Projects!Q4)+E227*(1-Projects!Q5)+F227*(1-Projects!Q6)+G227*(1-Projects!Q7)+H227*(1-Projects!Q8)+I227*(1-Projects!Q9)</s:f>
        <s:v>0</s:v>
      </s:c>
      <s:c r="O227" s="3">
        <s:f>IF(AND(J227&lt;=Inputs!B2,L227&gt;=Inputs!B3,M227&gt;=Inputs!B18,N227=0),1,0)</s:f>
        <s:v>0</s:v>
      </s:c>
      <s:c r="P227" s="3">
        <s:f>IF(O227=1,L227,-1)</s:f>
        <s:v>-1</s:v>
      </s:c>
      <s:c r="Q227" s="3">
        <s:f>IF(AND(O227=1,L227=MAX(P$2:P$257)),M227,-1E+99)</s:f>
        <s:v>-1e+99</s:v>
      </s:c>
    </s:row>
    <s:row r="228">
      <s:c r="A228" s="18" t="n">
        <s:v>226</s:v>
      </s:c>
      <s:c r="B228" s="18" t="n">
        <s:v>1</s:v>
      </s:c>
      <s:c r="C228" s="18" t="n">
        <s:v>1</s:v>
      </s:c>
      <s:c r="D228" s="18" t="n">
        <s:v>1</s:v>
      </s:c>
      <s:c r="E228" s="18" t="n">
        <s:v>0</s:v>
      </s:c>
      <s:c r="F228" s="18" t="n">
        <s:v>0</s:v>
      </s:c>
      <s:c r="G228" s="18" t="n">
        <s:v>0</s:v>
      </s:c>
      <s:c r="H228" s="18" t="n">
        <s:v>1</s:v>
      </s:c>
      <s:c r="I228" s="18" t="n">
        <s:v>0</s:v>
      </s:c>
      <s:c r="J228" s="5">
        <s:f>B228*Projects!N2+C228*Projects!N3+D228*Projects!N4+E228*Projects!N5+F228*Projects!N6+G228*Projects!N7+H228*Projects!N8+I228*Projects!N9</s:f>
        <s:v>18100000</s:v>
      </s:c>
      <s:c r="K228" s="2">
        <s:f>B228*Projects!C2+C228*Projects!C3+D228*Projects!C4+E228*Projects!C5+F228*Projects!C6+G228*Projects!C7+H228*Projects!C8+I228*Projects!C9</s:f>
        <s:v>410</s:v>
      </s:c>
      <s:c r="L228" s="2">
        <s:f>B228*Projects!D2+C228*Projects!D3+D228*Projects!D4+E228*Projects!D5+F228*Projects!D6+G228*Projects!D7+H228*Projects!D8+I228*Projects!D9</s:f>
        <s:v>190</s:v>
      </s:c>
      <s:c r="M228" s="5">
        <s:f>B228*Projects!O2+C228*Projects!O3+D228*Projects!O4+E228*Projects!O5+F228*Projects!O6+G228*Projects!O7+H228*Projects!O8+I228*Projects!O9</s:f>
        <s:v>14602469.236778338</s:v>
      </s:c>
      <s:c r="N228" s="2">
        <s:f>B228*(1-Projects!Q2)+C228*(1-Projects!Q3)+D228*(1-Projects!Q4)+E228*(1-Projects!Q5)+F228*(1-Projects!Q6)+G228*(1-Projects!Q7)+H228*(1-Projects!Q8)+I228*(1-Projects!Q9)</s:f>
        <s:v>0</s:v>
      </s:c>
      <s:c r="O228" s="2">
        <s:f>IF(AND(J228&lt;=Inputs!B2,L228&gt;=Inputs!B3,M228&gt;=Inputs!B18,N228=0),1,0)</s:f>
        <s:v>0</s:v>
      </s:c>
      <s:c r="P228" s="2">
        <s:f>IF(O228=1,L228,-1)</s:f>
        <s:v>-1</s:v>
      </s:c>
      <s:c r="Q228" s="2">
        <s:f>IF(AND(O228=1,L228=MAX(P$2:P$257)),M228,-1E+99)</s:f>
        <s:v>-1e+99</s:v>
      </s:c>
    </s:row>
    <s:row r="229">
      <s:c r="A229" s="19" t="n">
        <s:v>227</s:v>
      </s:c>
      <s:c r="B229" s="19" t="n">
        <s:v>1</s:v>
      </s:c>
      <s:c r="C229" s="19" t="n">
        <s:v>1</s:v>
      </s:c>
      <s:c r="D229" s="19" t="n">
        <s:v>1</s:v>
      </s:c>
      <s:c r="E229" s="19" t="n">
        <s:v>0</s:v>
      </s:c>
      <s:c r="F229" s="19" t="n">
        <s:v>0</s:v>
      </s:c>
      <s:c r="G229" s="19" t="n">
        <s:v>0</s:v>
      </s:c>
      <s:c r="H229" s="19" t="n">
        <s:v>1</s:v>
      </s:c>
      <s:c r="I229" s="19" t="n">
        <s:v>1</s:v>
      </s:c>
      <s:c r="J229" s="4">
        <s:f>B229*Projects!N2+C229*Projects!N3+D229*Projects!N4+E229*Projects!N5+F229*Projects!N6+G229*Projects!N7+H229*Projects!N8+I229*Projects!N9</s:f>
        <s:v>22600000</s:v>
      </s:c>
      <s:c r="K229" s="3">
        <s:f>B229*Projects!C2+C229*Projects!C3+D229*Projects!C4+E229*Projects!C5+F229*Projects!C6+G229*Projects!C7+H229*Projects!C8+I229*Projects!C9</s:f>
        <s:v>500</s:v>
      </s:c>
      <s:c r="L229" s="3">
        <s:f>B229*Projects!D2+C229*Projects!D3+D229*Projects!D4+E229*Projects!D5+F229*Projects!D6+G229*Projects!D7+H229*Projects!D8+I229*Projects!D9</s:f>
        <s:v>217</s:v>
      </s:c>
      <s:c r="M229" s="4">
        <s:f>B229*Projects!O2+C229*Projects!O3+D229*Projects!O4+E229*Projects!O5+F229*Projects!O6+G229*Projects!O7+H229*Projects!O8+I229*Projects!O9</s:f>
        <s:v>19059096.662322372</s:v>
      </s:c>
      <s:c r="N229" s="3">
        <s:f>B229*(1-Projects!Q2)+C229*(1-Projects!Q3)+D229*(1-Projects!Q4)+E229*(1-Projects!Q5)+F229*(1-Projects!Q6)+G229*(1-Projects!Q7)+H229*(1-Projects!Q8)+I229*(1-Projects!Q9)</s:f>
        <s:v>0</s:v>
      </s:c>
      <s:c r="O229" s="3">
        <s:f>IF(AND(J229&lt;=Inputs!B2,L229&gt;=Inputs!B3,M229&gt;=Inputs!B18,N229=0),1,0)</s:f>
        <s:v>0</s:v>
      </s:c>
      <s:c r="P229" s="3">
        <s:f>IF(O229=1,L229,-1)</s:f>
        <s:v>-1</s:v>
      </s:c>
      <s:c r="Q229" s="3">
        <s:f>IF(AND(O229=1,L229=MAX(P$2:P$257)),M229,-1E+99)</s:f>
        <s:v>-1e+99</s:v>
      </s:c>
    </s:row>
    <s:row r="230">
      <s:c r="A230" s="18" t="n">
        <s:v>228</s:v>
      </s:c>
      <s:c r="B230" s="18" t="n">
        <s:v>1</s:v>
      </s:c>
      <s:c r="C230" s="18" t="n">
        <s:v>1</s:v>
      </s:c>
      <s:c r="D230" s="18" t="n">
        <s:v>1</s:v>
      </s:c>
      <s:c r="E230" s="18" t="n">
        <s:v>0</s:v>
      </s:c>
      <s:c r="F230" s="18" t="n">
        <s:v>0</s:v>
      </s:c>
      <s:c r="G230" s="18" t="n">
        <s:v>1</s:v>
      </s:c>
      <s:c r="H230" s="18" t="n">
        <s:v>0</s:v>
      </s:c>
      <s:c r="I230" s="18" t="n">
        <s:v>0</s:v>
      </s:c>
      <s:c r="J230" s="5">
        <s:f>B230*Projects!N2+C230*Projects!N3+D230*Projects!N4+E230*Projects!N5+F230*Projects!N6+G230*Projects!N7+H230*Projects!N8+I230*Projects!N9</s:f>
        <s:v>17200000</s:v>
      </s:c>
      <s:c r="K230" s="2">
        <s:f>B230*Projects!C2+C230*Projects!C3+D230*Projects!C4+E230*Projects!C5+F230*Projects!C6+G230*Projects!C7+H230*Projects!C8+I230*Projects!C9</s:f>
        <s:v>380</s:v>
      </s:c>
      <s:c r="L230" s="2">
        <s:f>B230*Projects!D2+C230*Projects!D3+D230*Projects!D4+E230*Projects!D5+F230*Projects!D6+G230*Projects!D7+H230*Projects!D8+I230*Projects!D9</s:f>
        <s:v>164</s:v>
      </s:c>
      <s:c r="M230" s="5">
        <s:f>B230*Projects!O2+C230*Projects!O3+D230*Projects!O4+E230*Projects!O5+F230*Projects!O6+G230*Projects!O7+H230*Projects!O8+I230*Projects!O9</s:f>
        <s:v>14077273.878758034</s:v>
      </s:c>
      <s:c r="N230" s="2">
        <s:f>B230*(1-Projects!Q2)+C230*(1-Projects!Q3)+D230*(1-Projects!Q4)+E230*(1-Projects!Q5)+F230*(1-Projects!Q6)+G230*(1-Projects!Q7)+H230*(1-Projects!Q8)+I230*(1-Projects!Q9)</s:f>
        <s:v>0</s:v>
      </s:c>
      <s:c r="O230" s="2">
        <s:f>IF(AND(J230&lt;=Inputs!B2,L230&gt;=Inputs!B3,M230&gt;=Inputs!B18,N230=0),1,0)</s:f>
        <s:v>0</s:v>
      </s:c>
      <s:c r="P230" s="2">
        <s:f>IF(O230=1,L230,-1)</s:f>
        <s:v>-1</s:v>
      </s:c>
      <s:c r="Q230" s="2">
        <s:f>IF(AND(O230=1,L230=MAX(P$2:P$257)),M230,-1E+99)</s:f>
        <s:v>-1e+99</s:v>
      </s:c>
    </s:row>
    <s:row r="231">
      <s:c r="A231" s="19" t="n">
        <s:v>229</s:v>
      </s:c>
      <s:c r="B231" s="19" t="n">
        <s:v>1</s:v>
      </s:c>
      <s:c r="C231" s="19" t="n">
        <s:v>1</s:v>
      </s:c>
      <s:c r="D231" s="19" t="n">
        <s:v>1</s:v>
      </s:c>
      <s:c r="E231" s="19" t="n">
        <s:v>0</s:v>
      </s:c>
      <s:c r="F231" s="19" t="n">
        <s:v>0</s:v>
      </s:c>
      <s:c r="G231" s="19" t="n">
        <s:v>1</s:v>
      </s:c>
      <s:c r="H231" s="19" t="n">
        <s:v>0</s:v>
      </s:c>
      <s:c r="I231" s="19" t="n">
        <s:v>1</s:v>
      </s:c>
      <s:c r="J231" s="4">
        <s:f>B231*Projects!N2+C231*Projects!N3+D231*Projects!N4+E231*Projects!N5+F231*Projects!N6+G231*Projects!N7+H231*Projects!N8+I231*Projects!N9</s:f>
        <s:v>21700000</s:v>
      </s:c>
      <s:c r="K231" s="3">
        <s:f>B231*Projects!C2+C231*Projects!C3+D231*Projects!C4+E231*Projects!C5+F231*Projects!C6+G231*Projects!C7+H231*Projects!C8+I231*Projects!C9</s:f>
        <s:v>470</s:v>
      </s:c>
      <s:c r="L231" s="3">
        <s:f>B231*Projects!D2+C231*Projects!D3+D231*Projects!D4+E231*Projects!D5+F231*Projects!D6+G231*Projects!D7+H231*Projects!D8+I231*Projects!D9</s:f>
        <s:v>191</s:v>
      </s:c>
      <s:c r="M231" s="4">
        <s:f>B231*Projects!O2+C231*Projects!O3+D231*Projects!O4+E231*Projects!O5+F231*Projects!O6+G231*Projects!O7+H231*Projects!O8+I231*Projects!O9</s:f>
        <s:v>18533901.30430207</s:v>
      </s:c>
      <s:c r="N231" s="3">
        <s:f>B231*(1-Projects!Q2)+C231*(1-Projects!Q3)+D231*(1-Projects!Q4)+E231*(1-Projects!Q5)+F231*(1-Projects!Q6)+G231*(1-Projects!Q7)+H231*(1-Projects!Q8)+I231*(1-Projects!Q9)</s:f>
        <s:v>0</s:v>
      </s:c>
      <s:c r="O231" s="3">
        <s:f>IF(AND(J231&lt;=Inputs!B2,L231&gt;=Inputs!B3,M231&gt;=Inputs!B18,N231=0),1,0)</s:f>
        <s:v>0</s:v>
      </s:c>
      <s:c r="P231" s="3">
        <s:f>IF(O231=1,L231,-1)</s:f>
        <s:v>-1</s:v>
      </s:c>
      <s:c r="Q231" s="3">
        <s:f>IF(AND(O231=1,L231=MAX(P$2:P$257)),M231,-1E+99)</s:f>
        <s:v>-1e+99</s:v>
      </s:c>
    </s:row>
    <s:row r="232">
      <s:c r="A232" s="18" t="n">
        <s:v>230</s:v>
      </s:c>
      <s:c r="B232" s="18" t="n">
        <s:v>1</s:v>
      </s:c>
      <s:c r="C232" s="18" t="n">
        <s:v>1</s:v>
      </s:c>
      <s:c r="D232" s="18" t="n">
        <s:v>1</s:v>
      </s:c>
      <s:c r="E232" s="18" t="n">
        <s:v>0</s:v>
      </s:c>
      <s:c r="F232" s="18" t="n">
        <s:v>0</s:v>
      </s:c>
      <s:c r="G232" s="18" t="n">
        <s:v>1</s:v>
      </s:c>
      <s:c r="H232" s="18" t="n">
        <s:v>1</s:v>
      </s:c>
      <s:c r="I232" s="18" t="n">
        <s:v>0</s:v>
      </s:c>
      <s:c r="J232" s="5">
        <s:f>B232*Projects!N2+C232*Projects!N3+D232*Projects!N4+E232*Projects!N5+F232*Projects!N6+G232*Projects!N7+H232*Projects!N8+I232*Projects!N9</s:f>
        <s:v>21300000</s:v>
      </s:c>
      <s:c r="K232" s="2">
        <s:f>B232*Projects!C2+C232*Projects!C3+D232*Projects!C4+E232*Projects!C5+F232*Projects!C6+G232*Projects!C7+H232*Projects!C8+I232*Projects!C9</s:f>
        <s:v>490</s:v>
      </s:c>
      <s:c r="L232" s="2">
        <s:f>B232*Projects!D2+C232*Projects!D3+D232*Projects!D4+E232*Projects!D5+F232*Projects!D6+G232*Projects!D7+H232*Projects!D8+I232*Projects!D9</s:f>
        <s:v>230</s:v>
      </s:c>
      <s:c r="M232" s="5">
        <s:f>B232*Projects!O2+C232*Projects!O3+D232*Projects!O4+E232*Projects!O5+F232*Projects!O6+G232*Projects!O7+H232*Projects!O8+I232*Projects!O9</s:f>
        <s:v>17112647.856647342</s:v>
      </s:c>
      <s:c r="N232" s="2">
        <s:f>B232*(1-Projects!Q2)+C232*(1-Projects!Q3)+D232*(1-Projects!Q4)+E232*(1-Projects!Q5)+F232*(1-Projects!Q6)+G232*(1-Projects!Q7)+H232*(1-Projects!Q8)+I232*(1-Projects!Q9)</s:f>
        <s:v>0</s:v>
      </s:c>
      <s:c r="O232" s="2">
        <s:f>IF(AND(J232&lt;=Inputs!B2,L232&gt;=Inputs!B3,M232&gt;=Inputs!B18,N232=0),1,0)</s:f>
        <s:v>0</s:v>
      </s:c>
      <s:c r="P232" s="2">
        <s:f>IF(O232=1,L232,-1)</s:f>
        <s:v>-1</s:v>
      </s:c>
      <s:c r="Q232" s="2">
        <s:f>IF(AND(O232=1,L232=MAX(P$2:P$257)),M232,-1E+99)</s:f>
        <s:v>-1e+99</s:v>
      </s:c>
    </s:row>
    <s:row r="233">
      <s:c r="A233" s="19" t="n">
        <s:v>231</s:v>
      </s:c>
      <s:c r="B233" s="19" t="n">
        <s:v>1</s:v>
      </s:c>
      <s:c r="C233" s="19" t="n">
        <s:v>1</s:v>
      </s:c>
      <s:c r="D233" s="19" t="n">
        <s:v>1</s:v>
      </s:c>
      <s:c r="E233" s="19" t="n">
        <s:v>0</s:v>
      </s:c>
      <s:c r="F233" s="19" t="n">
        <s:v>0</s:v>
      </s:c>
      <s:c r="G233" s="19" t="n">
        <s:v>1</s:v>
      </s:c>
      <s:c r="H233" s="19" t="n">
        <s:v>1</s:v>
      </s:c>
      <s:c r="I233" s="19" t="n">
        <s:v>1</s:v>
      </s:c>
      <s:c r="J233" s="4">
        <s:f>B233*Projects!N2+C233*Projects!N3+D233*Projects!N4+E233*Projects!N5+F233*Projects!N6+G233*Projects!N7+H233*Projects!N8+I233*Projects!N9</s:f>
        <s:v>25800000</s:v>
      </s:c>
      <s:c r="K233" s="3">
        <s:f>B233*Projects!C2+C233*Projects!C3+D233*Projects!C4+E233*Projects!C5+F233*Projects!C6+G233*Projects!C7+H233*Projects!C8+I233*Projects!C9</s:f>
        <s:v>580</s:v>
      </s:c>
      <s:c r="L233" s="3">
        <s:f>B233*Projects!D2+C233*Projects!D3+D233*Projects!D4+E233*Projects!D5+F233*Projects!D6+G233*Projects!D7+H233*Projects!D8+I233*Projects!D9</s:f>
        <s:v>257</s:v>
      </s:c>
      <s:c r="M233" s="4">
        <s:f>B233*Projects!O2+C233*Projects!O3+D233*Projects!O4+E233*Projects!O5+F233*Projects!O6+G233*Projects!O7+H233*Projects!O8+I233*Projects!O9</s:f>
        <s:v>21569275.282191377</s:v>
      </s:c>
      <s:c r="N233" s="3">
        <s:f>B233*(1-Projects!Q2)+C233*(1-Projects!Q3)+D233*(1-Projects!Q4)+E233*(1-Projects!Q5)+F233*(1-Projects!Q6)+G233*(1-Projects!Q7)+H233*(1-Projects!Q8)+I233*(1-Projects!Q9)</s:f>
        <s:v>0</s:v>
      </s:c>
      <s:c r="O233" s="3">
        <s:f>IF(AND(J233&lt;=Inputs!B2,L233&gt;=Inputs!B3,M233&gt;=Inputs!B18,N233=0),1,0)</s:f>
        <s:v>0</s:v>
      </s:c>
      <s:c r="P233" s="3">
        <s:f>IF(O233=1,L233,-1)</s:f>
        <s:v>-1</s:v>
      </s:c>
      <s:c r="Q233" s="3">
        <s:f>IF(AND(O233=1,L233=MAX(P$2:P$257)),M233,-1E+99)</s:f>
        <s:v>-1e+99</s:v>
      </s:c>
    </s:row>
    <s:row r="234">
      <s:c r="A234" s="18" t="n">
        <s:v>232</s:v>
      </s:c>
      <s:c r="B234" s="18" t="n">
        <s:v>1</s:v>
      </s:c>
      <s:c r="C234" s="18" t="n">
        <s:v>1</s:v>
      </s:c>
      <s:c r="D234" s="18" t="n">
        <s:v>1</s:v>
      </s:c>
      <s:c r="E234" s="18" t="n">
        <s:v>0</s:v>
      </s:c>
      <s:c r="F234" s="18" t="n">
        <s:v>1</s:v>
      </s:c>
      <s:c r="G234" s="18" t="n">
        <s:v>0</s:v>
      </s:c>
      <s:c r="H234" s="18" t="n">
        <s:v>0</s:v>
      </s:c>
      <s:c r="I234" s="18" t="n">
        <s:v>0</s:v>
      </s:c>
      <s:c r="J234" s="5">
        <s:f>B234*Projects!N2+C234*Projects!N3+D234*Projects!N4+E234*Projects!N5+F234*Projects!N6+G234*Projects!N7+H234*Projects!N8+I234*Projects!N9</s:f>
        <s:v>17800000</s:v>
      </s:c>
      <s:c r="K234" s="2">
        <s:f>B234*Projects!C2+C234*Projects!C3+D234*Projects!C4+E234*Projects!C5+F234*Projects!C6+G234*Projects!C7+H234*Projects!C8+I234*Projects!C9</s:f>
        <s:v>390</s:v>
      </s:c>
      <s:c r="L234" s="2">
        <s:f>B234*Projects!D2+C234*Projects!D3+D234*Projects!D4+E234*Projects!D5+F234*Projects!D6+G234*Projects!D7+H234*Projects!D8+I234*Projects!D9</s:f>
        <s:v>169</s:v>
      </s:c>
      <s:c r="M234" s="5">
        <s:f>B234*Projects!O2+C234*Projects!O3+D234*Projects!O4+E234*Projects!O5+F234*Projects!O6+G234*Projects!O7+H234*Projects!O8+I234*Projects!O9</s:f>
        <s:v>14569057.620897094</s:v>
      </s:c>
      <s:c r="N234" s="2">
        <s:f>B234*(1-Projects!Q2)+C234*(1-Projects!Q3)+D234*(1-Projects!Q4)+E234*(1-Projects!Q5)+F234*(1-Projects!Q6)+G234*(1-Projects!Q7)+H234*(1-Projects!Q8)+I234*(1-Projects!Q9)</s:f>
        <s:v>0</s:v>
      </s:c>
      <s:c r="O234" s="2">
        <s:f>IF(AND(J234&lt;=Inputs!B2,L234&gt;=Inputs!B3,M234&gt;=Inputs!B18,N234=0),1,0)</s:f>
        <s:v>0</s:v>
      </s:c>
      <s:c r="P234" s="2">
        <s:f>IF(O234=1,L234,-1)</s:f>
        <s:v>-1</s:v>
      </s:c>
      <s:c r="Q234" s="2">
        <s:f>IF(AND(O234=1,L234=MAX(P$2:P$257)),M234,-1E+99)</s:f>
        <s:v>-1e+99</s:v>
      </s:c>
    </s:row>
    <s:row r="235">
      <s:c r="A235" s="19" t="n">
        <s:v>233</s:v>
      </s:c>
      <s:c r="B235" s="19" t="n">
        <s:v>1</s:v>
      </s:c>
      <s:c r="C235" s="19" t="n">
        <s:v>1</s:v>
      </s:c>
      <s:c r="D235" s="19" t="n">
        <s:v>1</s:v>
      </s:c>
      <s:c r="E235" s="19" t="n">
        <s:v>0</s:v>
      </s:c>
      <s:c r="F235" s="19" t="n">
        <s:v>1</s:v>
      </s:c>
      <s:c r="G235" s="19" t="n">
        <s:v>0</s:v>
      </s:c>
      <s:c r="H235" s="19" t="n">
        <s:v>0</s:v>
      </s:c>
      <s:c r="I235" s="19" t="n">
        <s:v>1</s:v>
      </s:c>
      <s:c r="J235" s="4">
        <s:f>B235*Projects!N2+C235*Projects!N3+D235*Projects!N4+E235*Projects!N5+F235*Projects!N6+G235*Projects!N7+H235*Projects!N8+I235*Projects!N9</s:f>
        <s:v>22300000</s:v>
      </s:c>
      <s:c r="K235" s="3">
        <s:f>B235*Projects!C2+C235*Projects!C3+D235*Projects!C4+E235*Projects!C5+F235*Projects!C6+G235*Projects!C7+H235*Projects!C8+I235*Projects!C9</s:f>
        <s:v>480</s:v>
      </s:c>
      <s:c r="L235" s="3">
        <s:f>B235*Projects!D2+C235*Projects!D3+D235*Projects!D4+E235*Projects!D5+F235*Projects!D6+G235*Projects!D7+H235*Projects!D8+I235*Projects!D9</s:f>
        <s:v>196</s:v>
      </s:c>
      <s:c r="M235" s="4">
        <s:f>B235*Projects!O2+C235*Projects!O3+D235*Projects!O4+E235*Projects!O5+F235*Projects!O6+G235*Projects!O7+H235*Projects!O8+I235*Projects!O9</s:f>
        <s:v>19025685.04644113</s:v>
      </s:c>
      <s:c r="N235" s="3">
        <s:f>B235*(1-Projects!Q2)+C235*(1-Projects!Q3)+D235*(1-Projects!Q4)+E235*(1-Projects!Q5)+F235*(1-Projects!Q6)+G235*(1-Projects!Q7)+H235*(1-Projects!Q8)+I235*(1-Projects!Q9)</s:f>
        <s:v>0</s:v>
      </s:c>
      <s:c r="O235" s="3">
        <s:f>IF(AND(J235&lt;=Inputs!B2,L235&gt;=Inputs!B3,M235&gt;=Inputs!B18,N235=0),1,0)</s:f>
        <s:v>0</s:v>
      </s:c>
      <s:c r="P235" s="3">
        <s:f>IF(O235=1,L235,-1)</s:f>
        <s:v>-1</s:v>
      </s:c>
      <s:c r="Q235" s="3">
        <s:f>IF(AND(O235=1,L235=MAX(P$2:P$257)),M235,-1E+99)</s:f>
        <s:v>-1e+99</s:v>
      </s:c>
    </s:row>
    <s:row r="236">
      <s:c r="A236" s="18" t="n">
        <s:v>234</s:v>
      </s:c>
      <s:c r="B236" s="18" t="n">
        <s:v>1</s:v>
      </s:c>
      <s:c r="C236" s="18" t="n">
        <s:v>1</s:v>
      </s:c>
      <s:c r="D236" s="18" t="n">
        <s:v>1</s:v>
      </s:c>
      <s:c r="E236" s="18" t="n">
        <s:v>0</s:v>
      </s:c>
      <s:c r="F236" s="18" t="n">
        <s:v>1</s:v>
      </s:c>
      <s:c r="G236" s="18" t="n">
        <s:v>0</s:v>
      </s:c>
      <s:c r="H236" s="18" t="n">
        <s:v>1</s:v>
      </s:c>
      <s:c r="I236" s="18" t="n">
        <s:v>0</s:v>
      </s:c>
      <s:c r="J236" s="5">
        <s:f>B236*Projects!N2+C236*Projects!N3+D236*Projects!N4+E236*Projects!N5+F236*Projects!N6+G236*Projects!N7+H236*Projects!N8+I236*Projects!N9</s:f>
        <s:v>21900000</s:v>
      </s:c>
      <s:c r="K236" s="2">
        <s:f>B236*Projects!C2+C236*Projects!C3+D236*Projects!C4+E236*Projects!C5+F236*Projects!C6+G236*Projects!C7+H236*Projects!C8+I236*Projects!C9</s:f>
        <s:v>500</s:v>
      </s:c>
      <s:c r="L236" s="2">
        <s:f>B236*Projects!D2+C236*Projects!D3+D236*Projects!D4+E236*Projects!D5+F236*Projects!D6+G236*Projects!D7+H236*Projects!D8+I236*Projects!D9</s:f>
        <s:v>235</s:v>
      </s:c>
      <s:c r="M236" s="5">
        <s:f>B236*Projects!O2+C236*Projects!O3+D236*Projects!O4+E236*Projects!O5+F236*Projects!O6+G236*Projects!O7+H236*Projects!O8+I236*Projects!O9</s:f>
        <s:v>17604431.598786402</s:v>
      </s:c>
      <s:c r="N236" s="2">
        <s:f>B236*(1-Projects!Q2)+C236*(1-Projects!Q3)+D236*(1-Projects!Q4)+E236*(1-Projects!Q5)+F236*(1-Projects!Q6)+G236*(1-Projects!Q7)+H236*(1-Projects!Q8)+I236*(1-Projects!Q9)</s:f>
        <s:v>0</s:v>
      </s:c>
      <s:c r="O236" s="2">
        <s:f>IF(AND(J236&lt;=Inputs!B2,L236&gt;=Inputs!B3,M236&gt;=Inputs!B18,N236=0),1,0)</s:f>
        <s:v>0</s:v>
      </s:c>
      <s:c r="P236" s="2">
        <s:f>IF(O236=1,L236,-1)</s:f>
        <s:v>-1</s:v>
      </s:c>
      <s:c r="Q236" s="2">
        <s:f>IF(AND(O236=1,L236=MAX(P$2:P$257)),M236,-1E+99)</s:f>
        <s:v>-1e+99</s:v>
      </s:c>
    </s:row>
    <s:row r="237">
      <s:c r="A237" s="19" t="n">
        <s:v>235</s:v>
      </s:c>
      <s:c r="B237" s="19" t="n">
        <s:v>1</s:v>
      </s:c>
      <s:c r="C237" s="19" t="n">
        <s:v>1</s:v>
      </s:c>
      <s:c r="D237" s="19" t="n">
        <s:v>1</s:v>
      </s:c>
      <s:c r="E237" s="19" t="n">
        <s:v>0</s:v>
      </s:c>
      <s:c r="F237" s="19" t="n">
        <s:v>1</s:v>
      </s:c>
      <s:c r="G237" s="19" t="n">
        <s:v>0</s:v>
      </s:c>
      <s:c r="H237" s="19" t="n">
        <s:v>1</s:v>
      </s:c>
      <s:c r="I237" s="19" t="n">
        <s:v>1</s:v>
      </s:c>
      <s:c r="J237" s="4">
        <s:f>B237*Projects!N2+C237*Projects!N3+D237*Projects!N4+E237*Projects!N5+F237*Projects!N6+G237*Projects!N7+H237*Projects!N8+I237*Projects!N9</s:f>
        <s:v>26400000</s:v>
      </s:c>
      <s:c r="K237" s="3">
        <s:f>B237*Projects!C2+C237*Projects!C3+D237*Projects!C4+E237*Projects!C5+F237*Projects!C6+G237*Projects!C7+H237*Projects!C8+I237*Projects!C9</s:f>
        <s:v>590</s:v>
      </s:c>
      <s:c r="L237" s="3">
        <s:f>B237*Projects!D2+C237*Projects!D3+D237*Projects!D4+E237*Projects!D5+F237*Projects!D6+G237*Projects!D7+H237*Projects!D8+I237*Projects!D9</s:f>
        <s:v>262</s:v>
      </s:c>
      <s:c r="M237" s="4">
        <s:f>B237*Projects!O2+C237*Projects!O3+D237*Projects!O4+E237*Projects!O5+F237*Projects!O6+G237*Projects!O7+H237*Projects!O8+I237*Projects!O9</s:f>
        <s:v>22061059.024330437</s:v>
      </s:c>
      <s:c r="N237" s="3">
        <s:f>B237*(1-Projects!Q2)+C237*(1-Projects!Q3)+D237*(1-Projects!Q4)+E237*(1-Projects!Q5)+F237*(1-Projects!Q6)+G237*(1-Projects!Q7)+H237*(1-Projects!Q8)+I237*(1-Projects!Q9)</s:f>
        <s:v>0</s:v>
      </s:c>
      <s:c r="O237" s="3">
        <s:f>IF(AND(J237&lt;=Inputs!B2,L237&gt;=Inputs!B3,M237&gt;=Inputs!B18,N237=0),1,0)</s:f>
        <s:v>0</s:v>
      </s:c>
      <s:c r="P237" s="3">
        <s:f>IF(O237=1,L237,-1)</s:f>
        <s:v>-1</s:v>
      </s:c>
      <s:c r="Q237" s="3">
        <s:f>IF(AND(O237=1,L237=MAX(P$2:P$257)),M237,-1E+99)</s:f>
        <s:v>-1e+99</s:v>
      </s:c>
    </s:row>
    <s:row r="238">
      <s:c r="A238" s="18" t="n">
        <s:v>236</s:v>
      </s:c>
      <s:c r="B238" s="18" t="n">
        <s:v>1</s:v>
      </s:c>
      <s:c r="C238" s="18" t="n">
        <s:v>1</s:v>
      </s:c>
      <s:c r="D238" s="18" t="n">
        <s:v>1</s:v>
      </s:c>
      <s:c r="E238" s="18" t="n">
        <s:v>0</s:v>
      </s:c>
      <s:c r="F238" s="18" t="n">
        <s:v>1</s:v>
      </s:c>
      <s:c r="G238" s="18" t="n">
        <s:v>1</s:v>
      </s:c>
      <s:c r="H238" s="18" t="n">
        <s:v>0</s:v>
      </s:c>
      <s:c r="I238" s="18" t="n">
        <s:v>0</s:v>
      </s:c>
      <s:c r="J238" s="5">
        <s:f>B238*Projects!N2+C238*Projects!N3+D238*Projects!N4+E238*Projects!N5+F238*Projects!N6+G238*Projects!N7+H238*Projects!N8+I238*Projects!N9</s:f>
        <s:v>21000000</s:v>
      </s:c>
      <s:c r="K238" s="2">
        <s:f>B238*Projects!C2+C238*Projects!C3+D238*Projects!C4+E238*Projects!C5+F238*Projects!C6+G238*Projects!C7+H238*Projects!C8+I238*Projects!C9</s:f>
        <s:v>470</s:v>
      </s:c>
      <s:c r="L238" s="2">
        <s:f>B238*Projects!D2+C238*Projects!D3+D238*Projects!D4+E238*Projects!D5+F238*Projects!D6+G238*Projects!D7+H238*Projects!D8+I238*Projects!D9</s:f>
        <s:v>209</s:v>
      </s:c>
      <s:c r="M238" s="5">
        <s:f>B238*Projects!O2+C238*Projects!O3+D238*Projects!O4+E238*Projects!O5+F238*Projects!O6+G238*Projects!O7+H238*Projects!O8+I238*Projects!O9</s:f>
        <s:v>17079236.240766097</s:v>
      </s:c>
      <s:c r="N238" s="2">
        <s:f>B238*(1-Projects!Q2)+C238*(1-Projects!Q3)+D238*(1-Projects!Q4)+E238*(1-Projects!Q5)+F238*(1-Projects!Q6)+G238*(1-Projects!Q7)+H238*(1-Projects!Q8)+I238*(1-Projects!Q9)</s:f>
        <s:v>0</s:v>
      </s:c>
      <s:c r="O238" s="2">
        <s:f>IF(AND(J238&lt;=Inputs!B2,L238&gt;=Inputs!B3,M238&gt;=Inputs!B18,N238=0),1,0)</s:f>
        <s:v>0</s:v>
      </s:c>
      <s:c r="P238" s="2">
        <s:f>IF(O238=1,L238,-1)</s:f>
        <s:v>-1</s:v>
      </s:c>
      <s:c r="Q238" s="2">
        <s:f>IF(AND(O238=1,L238=MAX(P$2:P$257)),M238,-1E+99)</s:f>
        <s:v>-1e+99</s:v>
      </s:c>
    </s:row>
    <s:row r="239">
      <s:c r="A239" s="19" t="n">
        <s:v>237</s:v>
      </s:c>
      <s:c r="B239" s="19" t="n">
        <s:v>1</s:v>
      </s:c>
      <s:c r="C239" s="19" t="n">
        <s:v>1</s:v>
      </s:c>
      <s:c r="D239" s="19" t="n">
        <s:v>1</s:v>
      </s:c>
      <s:c r="E239" s="19" t="n">
        <s:v>0</s:v>
      </s:c>
      <s:c r="F239" s="19" t="n">
        <s:v>1</s:v>
      </s:c>
      <s:c r="G239" s="19" t="n">
        <s:v>1</s:v>
      </s:c>
      <s:c r="H239" s="19" t="n">
        <s:v>0</s:v>
      </s:c>
      <s:c r="I239" s="19" t="n">
        <s:v>1</s:v>
      </s:c>
      <s:c r="J239" s="4">
        <s:f>B239*Projects!N2+C239*Projects!N3+D239*Projects!N4+E239*Projects!N5+F239*Projects!N6+G239*Projects!N7+H239*Projects!N8+I239*Projects!N9</s:f>
        <s:v>25500000</s:v>
      </s:c>
      <s:c r="K239" s="3">
        <s:f>B239*Projects!C2+C239*Projects!C3+D239*Projects!C4+E239*Projects!C5+F239*Projects!C6+G239*Projects!C7+H239*Projects!C8+I239*Projects!C9</s:f>
        <s:v>560</s:v>
      </s:c>
      <s:c r="L239" s="3">
        <s:f>B239*Projects!D2+C239*Projects!D3+D239*Projects!D4+E239*Projects!D5+F239*Projects!D6+G239*Projects!D7+H239*Projects!D8+I239*Projects!D9</s:f>
        <s:v>236</s:v>
      </s:c>
      <s:c r="M239" s="4">
        <s:f>B239*Projects!O2+C239*Projects!O3+D239*Projects!O4+E239*Projects!O5+F239*Projects!O6+G239*Projects!O7+H239*Projects!O8+I239*Projects!O9</s:f>
        <s:v>21535863.66631013</s:v>
      </s:c>
      <s:c r="N239" s="3">
        <s:f>B239*(1-Projects!Q2)+C239*(1-Projects!Q3)+D239*(1-Projects!Q4)+E239*(1-Projects!Q5)+F239*(1-Projects!Q6)+G239*(1-Projects!Q7)+H239*(1-Projects!Q8)+I239*(1-Projects!Q9)</s:f>
        <s:v>0</s:v>
      </s:c>
      <s:c r="O239" s="3">
        <s:f>IF(AND(J239&lt;=Inputs!B2,L239&gt;=Inputs!B3,M239&gt;=Inputs!B18,N239=0),1,0)</s:f>
        <s:v>0</s:v>
      </s:c>
      <s:c r="P239" s="3">
        <s:f>IF(O239=1,L239,-1)</s:f>
        <s:v>-1</s:v>
      </s:c>
      <s:c r="Q239" s="3">
        <s:f>IF(AND(O239=1,L239=MAX(P$2:P$257)),M239,-1E+99)</s:f>
        <s:v>-1e+99</s:v>
      </s:c>
    </s:row>
    <s:row r="240">
      <s:c r="A240" s="18" t="n">
        <s:v>238</s:v>
      </s:c>
      <s:c r="B240" s="18" t="n">
        <s:v>1</s:v>
      </s:c>
      <s:c r="C240" s="18" t="n">
        <s:v>1</s:v>
      </s:c>
      <s:c r="D240" s="18" t="n">
        <s:v>1</s:v>
      </s:c>
      <s:c r="E240" s="18" t="n">
        <s:v>0</s:v>
      </s:c>
      <s:c r="F240" s="18" t="n">
        <s:v>1</s:v>
      </s:c>
      <s:c r="G240" s="18" t="n">
        <s:v>1</s:v>
      </s:c>
      <s:c r="H240" s="18" t="n">
        <s:v>1</s:v>
      </s:c>
      <s:c r="I240" s="18" t="n">
        <s:v>0</s:v>
      </s:c>
      <s:c r="J240" s="5">
        <s:f>B240*Projects!N2+C240*Projects!N3+D240*Projects!N4+E240*Projects!N5+F240*Projects!N6+G240*Projects!N7+H240*Projects!N8+I240*Projects!N9</s:f>
        <s:v>25100000</s:v>
      </s:c>
      <s:c r="K240" s="2">
        <s:f>B240*Projects!C2+C240*Projects!C3+D240*Projects!C4+E240*Projects!C5+F240*Projects!C6+G240*Projects!C7+H240*Projects!C8+I240*Projects!C9</s:f>
        <s:v>580</s:v>
      </s:c>
      <s:c r="L240" s="2">
        <s:f>B240*Projects!D2+C240*Projects!D3+D240*Projects!D4+E240*Projects!D5+F240*Projects!D6+G240*Projects!D7+H240*Projects!D8+I240*Projects!D9</s:f>
        <s:v>275</s:v>
      </s:c>
      <s:c r="M240" s="5">
        <s:f>B240*Projects!O2+C240*Projects!O3+D240*Projects!O4+E240*Projects!O5+F240*Projects!O6+G240*Projects!O7+H240*Projects!O8+I240*Projects!O9</s:f>
        <s:v>20114610.218655404</s:v>
      </s:c>
      <s:c r="N240" s="2">
        <s:f>B240*(1-Projects!Q2)+C240*(1-Projects!Q3)+D240*(1-Projects!Q4)+E240*(1-Projects!Q5)+F240*(1-Projects!Q6)+G240*(1-Projects!Q7)+H240*(1-Projects!Q8)+I240*(1-Projects!Q9)</s:f>
        <s:v>0</s:v>
      </s:c>
      <s:c r="O240" s="2">
        <s:f>IF(AND(J240&lt;=Inputs!B2,L240&gt;=Inputs!B3,M240&gt;=Inputs!B18,N240=0),1,0)</s:f>
        <s:v>0</s:v>
      </s:c>
      <s:c r="P240" s="2">
        <s:f>IF(O240=1,L240,-1)</s:f>
        <s:v>-1</s:v>
      </s:c>
      <s:c r="Q240" s="2">
        <s:f>IF(AND(O240=1,L240=MAX(P$2:P$257)),M240,-1E+99)</s:f>
        <s:v>-1e+99</s:v>
      </s:c>
    </s:row>
    <s:row r="241">
      <s:c r="A241" s="19" t="n">
        <s:v>239</s:v>
      </s:c>
      <s:c r="B241" s="19" t="n">
        <s:v>1</s:v>
      </s:c>
      <s:c r="C241" s="19" t="n">
        <s:v>1</s:v>
      </s:c>
      <s:c r="D241" s="19" t="n">
        <s:v>1</s:v>
      </s:c>
      <s:c r="E241" s="19" t="n">
        <s:v>0</s:v>
      </s:c>
      <s:c r="F241" s="19" t="n">
        <s:v>1</s:v>
      </s:c>
      <s:c r="G241" s="19" t="n">
        <s:v>1</s:v>
      </s:c>
      <s:c r="H241" s="19" t="n">
        <s:v>1</s:v>
      </s:c>
      <s:c r="I241" s="19" t="n">
        <s:v>1</s:v>
      </s:c>
      <s:c r="J241" s="4">
        <s:f>B241*Projects!N2+C241*Projects!N3+D241*Projects!N4+E241*Projects!N5+F241*Projects!N6+G241*Projects!N7+H241*Projects!N8+I241*Projects!N9</s:f>
        <s:v>29600000</s:v>
      </s:c>
      <s:c r="K241" s="3">
        <s:f>B241*Projects!C2+C241*Projects!C3+D241*Projects!C4+E241*Projects!C5+F241*Projects!C6+G241*Projects!C7+H241*Projects!C8+I241*Projects!C9</s:f>
        <s:v>670</s:v>
      </s:c>
      <s:c r="L241" s="3">
        <s:f>B241*Projects!D2+C241*Projects!D3+D241*Projects!D4+E241*Projects!D5+F241*Projects!D6+G241*Projects!D7+H241*Projects!D8+I241*Projects!D9</s:f>
        <s:v>302</s:v>
      </s:c>
      <s:c r="M241" s="4">
        <s:f>B241*Projects!O2+C241*Projects!O3+D241*Projects!O4+E241*Projects!O5+F241*Projects!O6+G241*Projects!O7+H241*Projects!O8+I241*Projects!O9</s:f>
        <s:v>24571237.64419944</s:v>
      </s:c>
      <s:c r="N241" s="3">
        <s:f>B241*(1-Projects!Q2)+C241*(1-Projects!Q3)+D241*(1-Projects!Q4)+E241*(1-Projects!Q5)+F241*(1-Projects!Q6)+G241*(1-Projects!Q7)+H241*(1-Projects!Q8)+I241*(1-Projects!Q9)</s:f>
        <s:v>0</s:v>
      </s:c>
      <s:c r="O241" s="3">
        <s:f>IF(AND(J241&lt;=Inputs!B2,L241&gt;=Inputs!B3,M241&gt;=Inputs!B18,N241=0),1,0)</s:f>
        <s:v>0</s:v>
      </s:c>
      <s:c r="P241" s="3">
        <s:f>IF(O241=1,L241,-1)</s:f>
        <s:v>-1</s:v>
      </s:c>
      <s:c r="Q241" s="3">
        <s:f>IF(AND(O241=1,L241=MAX(P$2:P$257)),M241,-1E+99)</s:f>
        <s:v>-1e+99</s:v>
      </s:c>
    </s:row>
    <s:row r="242">
      <s:c r="A242" s="18" t="n">
        <s:v>240</s:v>
      </s:c>
      <s:c r="B242" s="18" t="n">
        <s:v>1</s:v>
      </s:c>
      <s:c r="C242" s="18" t="n">
        <s:v>1</s:v>
      </s:c>
      <s:c r="D242" s="18" t="n">
        <s:v>1</s:v>
      </s:c>
      <s:c r="E242" s="18" t="n">
        <s:v>1</s:v>
      </s:c>
      <s:c r="F242" s="18" t="n">
        <s:v>0</s:v>
      </s:c>
      <s:c r="G242" s="18" t="n">
        <s:v>0</s:v>
      </s:c>
      <s:c r="H242" s="18" t="n">
        <s:v>0</s:v>
      </s:c>
      <s:c r="I242" s="18" t="n">
        <s:v>0</s:v>
      </s:c>
      <s:c r="J242" s="5">
        <s:f>B242*Projects!N2+C242*Projects!N3+D242*Projects!N4+E242*Projects!N5+F242*Projects!N6+G242*Projects!N7+H242*Projects!N8+I242*Projects!N9</s:f>
        <s:v>17400000</s:v>
      </s:c>
      <s:c r="K242" s="2">
        <s:f>B242*Projects!C2+C242*Projects!C3+D242*Projects!C4+E242*Projects!C5+F242*Projects!C6+G242*Projects!C7+H242*Projects!C8+I242*Projects!C9</s:f>
        <s:v>370</s:v>
      </s:c>
      <s:c r="L242" s="2">
        <s:f>B242*Projects!D2+C242*Projects!D3+D242*Projects!D4+E242*Projects!D5+F242*Projects!D6+G242*Projects!D7+H242*Projects!D8+I242*Projects!D9</s:f>
        <s:v>145</s:v>
      </s:c>
      <s:c r="M242" s="5">
        <s:f>B242*Projects!O2+C242*Projects!O3+D242*Projects!O4+E242*Projects!O5+F242*Projects!O6+G242*Projects!O7+H242*Projects!O8+I242*Projects!O9</s:f>
        <s:v>14883453.487956632</s:v>
      </s:c>
      <s:c r="N242" s="2">
        <s:f>B242*(1-Projects!Q2)+C242*(1-Projects!Q3)+D242*(1-Projects!Q4)+E242*(1-Projects!Q5)+F242*(1-Projects!Q6)+G242*(1-Projects!Q7)+H242*(1-Projects!Q8)+I242*(1-Projects!Q9)</s:f>
        <s:v>0</s:v>
      </s:c>
      <s:c r="O242" s="2">
        <s:f>IF(AND(J242&lt;=Inputs!B2,L242&gt;=Inputs!B3,M242&gt;=Inputs!B18,N242=0),1,0)</s:f>
        <s:v>0</s:v>
      </s:c>
      <s:c r="P242" s="2">
        <s:f>IF(O242=1,L242,-1)</s:f>
        <s:v>-1</s:v>
      </s:c>
      <s:c r="Q242" s="2">
        <s:f>IF(AND(O242=1,L242=MAX(P$2:P$257)),M242,-1E+99)</s:f>
        <s:v>-1e+99</s:v>
      </s:c>
    </s:row>
    <s:row r="243">
      <s:c r="A243" s="19" t="n">
        <s:v>241</s:v>
      </s:c>
      <s:c r="B243" s="19" t="n">
        <s:v>1</s:v>
      </s:c>
      <s:c r="C243" s="19" t="n">
        <s:v>1</s:v>
      </s:c>
      <s:c r="D243" s="19" t="n">
        <s:v>1</s:v>
      </s:c>
      <s:c r="E243" s="19" t="n">
        <s:v>1</s:v>
      </s:c>
      <s:c r="F243" s="19" t="n">
        <s:v>0</s:v>
      </s:c>
      <s:c r="G243" s="19" t="n">
        <s:v>0</s:v>
      </s:c>
      <s:c r="H243" s="19" t="n">
        <s:v>0</s:v>
      </s:c>
      <s:c r="I243" s="19" t="n">
        <s:v>1</s:v>
      </s:c>
      <s:c r="J243" s="4">
        <s:f>B243*Projects!N2+C243*Projects!N3+D243*Projects!N4+E243*Projects!N5+F243*Projects!N6+G243*Projects!N7+H243*Projects!N8+I243*Projects!N9</s:f>
        <s:v>21900000</s:v>
      </s:c>
      <s:c r="K243" s="3">
        <s:f>B243*Projects!C2+C243*Projects!C3+D243*Projects!C4+E243*Projects!C5+F243*Projects!C6+G243*Projects!C7+H243*Projects!C8+I243*Projects!C9</s:f>
        <s:v>460</s:v>
      </s:c>
      <s:c r="L243" s="3">
        <s:f>B243*Projects!D2+C243*Projects!D3+D243*Projects!D4+E243*Projects!D5+F243*Projects!D6+G243*Projects!D7+H243*Projects!D8+I243*Projects!D9</s:f>
        <s:v>172</s:v>
      </s:c>
      <s:c r="M243" s="4">
        <s:f>B243*Projects!O2+C243*Projects!O3+D243*Projects!O4+E243*Projects!O5+F243*Projects!O6+G243*Projects!O7+H243*Projects!O8+I243*Projects!O9</s:f>
        <s:v>19340080.913500667</s:v>
      </s:c>
      <s:c r="N243" s="3">
        <s:f>B243*(1-Projects!Q2)+C243*(1-Projects!Q3)+D243*(1-Projects!Q4)+E243*(1-Projects!Q5)+F243*(1-Projects!Q6)+G243*(1-Projects!Q7)+H243*(1-Projects!Q8)+I243*(1-Projects!Q9)</s:f>
        <s:v>0</s:v>
      </s:c>
      <s:c r="O243" s="3">
        <s:f>IF(AND(J243&lt;=Inputs!B2,L243&gt;=Inputs!B3,M243&gt;=Inputs!B18,N243=0),1,0)</s:f>
        <s:v>0</s:v>
      </s:c>
      <s:c r="P243" s="3">
        <s:f>IF(O243=1,L243,-1)</s:f>
        <s:v>-1</s:v>
      </s:c>
      <s:c r="Q243" s="3">
        <s:f>IF(AND(O243=1,L243=MAX(P$2:P$257)),M243,-1E+99)</s:f>
        <s:v>-1e+99</s:v>
      </s:c>
    </s:row>
    <s:row r="244">
      <s:c r="A244" s="18" t="n">
        <s:v>242</s:v>
      </s:c>
      <s:c r="B244" s="18" t="n">
        <s:v>1</s:v>
      </s:c>
      <s:c r="C244" s="18" t="n">
        <s:v>1</s:v>
      </s:c>
      <s:c r="D244" s="18" t="n">
        <s:v>1</s:v>
      </s:c>
      <s:c r="E244" s="18" t="n">
        <s:v>1</s:v>
      </s:c>
      <s:c r="F244" s="18" t="n">
        <s:v>0</s:v>
      </s:c>
      <s:c r="G244" s="18" t="n">
        <s:v>0</s:v>
      </s:c>
      <s:c r="H244" s="18" t="n">
        <s:v>1</s:v>
      </s:c>
      <s:c r="I244" s="18" t="n">
        <s:v>0</s:v>
      </s:c>
      <s:c r="J244" s="5">
        <s:f>B244*Projects!N2+C244*Projects!N3+D244*Projects!N4+E244*Projects!N5+F244*Projects!N6+G244*Projects!N7+H244*Projects!N8+I244*Projects!N9</s:f>
        <s:v>21500000</s:v>
      </s:c>
      <s:c r="K244" s="2">
        <s:f>B244*Projects!C2+C244*Projects!C3+D244*Projects!C4+E244*Projects!C5+F244*Projects!C6+G244*Projects!C7+H244*Projects!C8+I244*Projects!C9</s:f>
        <s:v>480</s:v>
      </s:c>
      <s:c r="L244" s="2">
        <s:f>B244*Projects!D2+C244*Projects!D3+D244*Projects!D4+E244*Projects!D5+F244*Projects!D6+G244*Projects!D7+H244*Projects!D8+I244*Projects!D9</s:f>
        <s:v>211</s:v>
      </s:c>
      <s:c r="M244" s="5">
        <s:f>B244*Projects!O2+C244*Projects!O3+D244*Projects!O4+E244*Projects!O5+F244*Projects!O6+G244*Projects!O7+H244*Projects!O8+I244*Projects!O9</s:f>
        <s:v>17918827.46584594</s:v>
      </s:c>
      <s:c r="N244" s="2">
        <s:f>B244*(1-Projects!Q2)+C244*(1-Projects!Q3)+D244*(1-Projects!Q4)+E244*(1-Projects!Q5)+F244*(1-Projects!Q6)+G244*(1-Projects!Q7)+H244*(1-Projects!Q8)+I244*(1-Projects!Q9)</s:f>
        <s:v>0</s:v>
      </s:c>
      <s:c r="O244" s="2">
        <s:f>IF(AND(J244&lt;=Inputs!B2,L244&gt;=Inputs!B3,M244&gt;=Inputs!B18,N244=0),1,0)</s:f>
        <s:v>0</s:v>
      </s:c>
      <s:c r="P244" s="2">
        <s:f>IF(O244=1,L244,-1)</s:f>
        <s:v>-1</s:v>
      </s:c>
      <s:c r="Q244" s="2">
        <s:f>IF(AND(O244=1,L244=MAX(P$2:P$257)),M244,-1E+99)</s:f>
        <s:v>-1e+99</s:v>
      </s:c>
    </s:row>
    <s:row r="245">
      <s:c r="A245" s="19" t="n">
        <s:v>243</s:v>
      </s:c>
      <s:c r="B245" s="19" t="n">
        <s:v>1</s:v>
      </s:c>
      <s:c r="C245" s="19" t="n">
        <s:v>1</s:v>
      </s:c>
      <s:c r="D245" s="19" t="n">
        <s:v>1</s:v>
      </s:c>
      <s:c r="E245" s="19" t="n">
        <s:v>1</s:v>
      </s:c>
      <s:c r="F245" s="19" t="n">
        <s:v>0</s:v>
      </s:c>
      <s:c r="G245" s="19" t="n">
        <s:v>0</s:v>
      </s:c>
      <s:c r="H245" s="19" t="n">
        <s:v>1</s:v>
      </s:c>
      <s:c r="I245" s="19" t="n">
        <s:v>1</s:v>
      </s:c>
      <s:c r="J245" s="4">
        <s:f>B245*Projects!N2+C245*Projects!N3+D245*Projects!N4+E245*Projects!N5+F245*Projects!N6+G245*Projects!N7+H245*Projects!N8+I245*Projects!N9</s:f>
        <s:v>26000000</s:v>
      </s:c>
      <s:c r="K245" s="3">
        <s:f>B245*Projects!C2+C245*Projects!C3+D245*Projects!C4+E245*Projects!C5+F245*Projects!C6+G245*Projects!C7+H245*Projects!C8+I245*Projects!C9</s:f>
        <s:v>570</s:v>
      </s:c>
      <s:c r="L245" s="3">
        <s:f>B245*Projects!D2+C245*Projects!D3+D245*Projects!D4+E245*Projects!D5+F245*Projects!D6+G245*Projects!D7+H245*Projects!D8+I245*Projects!D9</s:f>
        <s:v>238</s:v>
      </s:c>
      <s:c r="M245" s="4">
        <s:f>B245*Projects!O2+C245*Projects!O3+D245*Projects!O4+E245*Projects!O5+F245*Projects!O6+G245*Projects!O7+H245*Projects!O8+I245*Projects!O9</s:f>
        <s:v>22375454.891389973</s:v>
      </s:c>
      <s:c r="N245" s="3">
        <s:f>B245*(1-Projects!Q2)+C245*(1-Projects!Q3)+D245*(1-Projects!Q4)+E245*(1-Projects!Q5)+F245*(1-Projects!Q6)+G245*(1-Projects!Q7)+H245*(1-Projects!Q8)+I245*(1-Projects!Q9)</s:f>
        <s:v>0</s:v>
      </s:c>
      <s:c r="O245" s="3">
        <s:f>IF(AND(J245&lt;=Inputs!B2,L245&gt;=Inputs!B3,M245&gt;=Inputs!B18,N245=0),1,0)</s:f>
        <s:v>0</s:v>
      </s:c>
      <s:c r="P245" s="3">
        <s:f>IF(O245=1,L245,-1)</s:f>
        <s:v>-1</s:v>
      </s:c>
      <s:c r="Q245" s="3">
        <s:f>IF(AND(O245=1,L245=MAX(P$2:P$257)),M245,-1E+99)</s:f>
        <s:v>-1e+99</s:v>
      </s:c>
    </s:row>
    <s:row r="246">
      <s:c r="A246" s="18" t="n">
        <s:v>244</s:v>
      </s:c>
      <s:c r="B246" s="18" t="n">
        <s:v>1</s:v>
      </s:c>
      <s:c r="C246" s="18" t="n">
        <s:v>1</s:v>
      </s:c>
      <s:c r="D246" s="18" t="n">
        <s:v>1</s:v>
      </s:c>
      <s:c r="E246" s="18" t="n">
        <s:v>1</s:v>
      </s:c>
      <s:c r="F246" s="18" t="n">
        <s:v>0</s:v>
      </s:c>
      <s:c r="G246" s="18" t="n">
        <s:v>1</s:v>
      </s:c>
      <s:c r="H246" s="18" t="n">
        <s:v>0</s:v>
      </s:c>
      <s:c r="I246" s="18" t="n">
        <s:v>0</s:v>
      </s:c>
      <s:c r="J246" s="5">
        <s:f>B246*Projects!N2+C246*Projects!N3+D246*Projects!N4+E246*Projects!N5+F246*Projects!N6+G246*Projects!N7+H246*Projects!N8+I246*Projects!N9</s:f>
        <s:v>20600000</s:v>
      </s:c>
      <s:c r="K246" s="2">
        <s:f>B246*Projects!C2+C246*Projects!C3+D246*Projects!C4+E246*Projects!C5+F246*Projects!C6+G246*Projects!C7+H246*Projects!C8+I246*Projects!C9</s:f>
        <s:v>450</s:v>
      </s:c>
      <s:c r="L246" s="2">
        <s:f>B246*Projects!D2+C246*Projects!D3+D246*Projects!D4+E246*Projects!D5+F246*Projects!D6+G246*Projects!D7+H246*Projects!D8+I246*Projects!D9</s:f>
        <s:v>185</s:v>
      </s:c>
      <s:c r="M246" s="5">
        <s:f>B246*Projects!O2+C246*Projects!O3+D246*Projects!O4+E246*Projects!O5+F246*Projects!O6+G246*Projects!O7+H246*Projects!O8+I246*Projects!O9</s:f>
        <s:v>17393632.107825637</s:v>
      </s:c>
      <s:c r="N246" s="2">
        <s:f>B246*(1-Projects!Q2)+C246*(1-Projects!Q3)+D246*(1-Projects!Q4)+E246*(1-Projects!Q5)+F246*(1-Projects!Q6)+G246*(1-Projects!Q7)+H246*(1-Projects!Q8)+I246*(1-Projects!Q9)</s:f>
        <s:v>0</s:v>
      </s:c>
      <s:c r="O246" s="2">
        <s:f>IF(AND(J246&lt;=Inputs!B2,L246&gt;=Inputs!B3,M246&gt;=Inputs!B18,N246=0),1,0)</s:f>
        <s:v>0</s:v>
      </s:c>
      <s:c r="P246" s="2">
        <s:f>IF(O246=1,L246,-1)</s:f>
        <s:v>-1</s:v>
      </s:c>
      <s:c r="Q246" s="2">
        <s:f>IF(AND(O246=1,L246=MAX(P$2:P$257)),M246,-1E+99)</s:f>
        <s:v>-1e+99</s:v>
      </s:c>
    </s:row>
    <s:row r="247">
      <s:c r="A247" s="19" t="n">
        <s:v>245</s:v>
      </s:c>
      <s:c r="B247" s="19" t="n">
        <s:v>1</s:v>
      </s:c>
      <s:c r="C247" s="19" t="n">
        <s:v>1</s:v>
      </s:c>
      <s:c r="D247" s="19" t="n">
        <s:v>1</s:v>
      </s:c>
      <s:c r="E247" s="19" t="n">
        <s:v>1</s:v>
      </s:c>
      <s:c r="F247" s="19" t="n">
        <s:v>0</s:v>
      </s:c>
      <s:c r="G247" s="19" t="n">
        <s:v>1</s:v>
      </s:c>
      <s:c r="H247" s="19" t="n">
        <s:v>0</s:v>
      </s:c>
      <s:c r="I247" s="19" t="n">
        <s:v>1</s:v>
      </s:c>
      <s:c r="J247" s="4">
        <s:f>B247*Projects!N2+C247*Projects!N3+D247*Projects!N4+E247*Projects!N5+F247*Projects!N6+G247*Projects!N7+H247*Projects!N8+I247*Projects!N9</s:f>
        <s:v>25100000</s:v>
      </s:c>
      <s:c r="K247" s="3">
        <s:f>B247*Projects!C2+C247*Projects!C3+D247*Projects!C4+E247*Projects!C5+F247*Projects!C6+G247*Projects!C7+H247*Projects!C8+I247*Projects!C9</s:f>
        <s:v>540</s:v>
      </s:c>
      <s:c r="L247" s="3">
        <s:f>B247*Projects!D2+C247*Projects!D3+D247*Projects!D4+E247*Projects!D5+F247*Projects!D6+G247*Projects!D7+H247*Projects!D8+I247*Projects!D9</s:f>
        <s:v>212</s:v>
      </s:c>
      <s:c r="M247" s="4">
        <s:f>B247*Projects!O2+C247*Projects!O3+D247*Projects!O4+E247*Projects!O5+F247*Projects!O6+G247*Projects!O7+H247*Projects!O8+I247*Projects!O9</s:f>
        <s:v>21850259.53336967</s:v>
      </s:c>
      <s:c r="N247" s="3">
        <s:f>B247*(1-Projects!Q2)+C247*(1-Projects!Q3)+D247*(1-Projects!Q4)+E247*(1-Projects!Q5)+F247*(1-Projects!Q6)+G247*(1-Projects!Q7)+H247*(1-Projects!Q8)+I247*(1-Projects!Q9)</s:f>
        <s:v>0</s:v>
      </s:c>
      <s:c r="O247" s="3">
        <s:f>IF(AND(J247&lt;=Inputs!B2,L247&gt;=Inputs!B3,M247&gt;=Inputs!B18,N247=0),1,0)</s:f>
        <s:v>0</s:v>
      </s:c>
      <s:c r="P247" s="3">
        <s:f>IF(O247=1,L247,-1)</s:f>
        <s:v>-1</s:v>
      </s:c>
      <s:c r="Q247" s="3">
        <s:f>IF(AND(O247=1,L247=MAX(P$2:P$257)),M247,-1E+99)</s:f>
        <s:v>-1e+99</s:v>
      </s:c>
    </s:row>
    <s:row r="248">
      <s:c r="A248" s="18" t="n">
        <s:v>246</s:v>
      </s:c>
      <s:c r="B248" s="18" t="n">
        <s:v>1</s:v>
      </s:c>
      <s:c r="C248" s="18" t="n">
        <s:v>1</s:v>
      </s:c>
      <s:c r="D248" s="18" t="n">
        <s:v>1</s:v>
      </s:c>
      <s:c r="E248" s="18" t="n">
        <s:v>1</s:v>
      </s:c>
      <s:c r="F248" s="18" t="n">
        <s:v>0</s:v>
      </s:c>
      <s:c r="G248" s="18" t="n">
        <s:v>1</s:v>
      </s:c>
      <s:c r="H248" s="18" t="n">
        <s:v>1</s:v>
      </s:c>
      <s:c r="I248" s="18" t="n">
        <s:v>0</s:v>
      </s:c>
      <s:c r="J248" s="5">
        <s:f>B248*Projects!N2+C248*Projects!N3+D248*Projects!N4+E248*Projects!N5+F248*Projects!N6+G248*Projects!N7+H248*Projects!N8+I248*Projects!N9</s:f>
        <s:v>24700000</s:v>
      </s:c>
      <s:c r="K248" s="2">
        <s:f>B248*Projects!C2+C248*Projects!C3+D248*Projects!C4+E248*Projects!C5+F248*Projects!C6+G248*Projects!C7+H248*Projects!C8+I248*Projects!C9</s:f>
        <s:v>560</s:v>
      </s:c>
      <s:c r="L248" s="2">
        <s:f>B248*Projects!D2+C248*Projects!D3+D248*Projects!D4+E248*Projects!D5+F248*Projects!D6+G248*Projects!D7+H248*Projects!D8+I248*Projects!D9</s:f>
        <s:v>251</s:v>
      </s:c>
      <s:c r="M248" s="5">
        <s:f>B248*Projects!O2+C248*Projects!O3+D248*Projects!O4+E248*Projects!O5+F248*Projects!O6+G248*Projects!O7+H248*Projects!O8+I248*Projects!O9</s:f>
        <s:v>20429006.085714944</s:v>
      </s:c>
      <s:c r="N248" s="2">
        <s:f>B248*(1-Projects!Q2)+C248*(1-Projects!Q3)+D248*(1-Projects!Q4)+E248*(1-Projects!Q5)+F248*(1-Projects!Q6)+G248*(1-Projects!Q7)+H248*(1-Projects!Q8)+I248*(1-Projects!Q9)</s:f>
        <s:v>0</s:v>
      </s:c>
      <s:c r="O248" s="2">
        <s:f>IF(AND(J248&lt;=Inputs!B2,L248&gt;=Inputs!B3,M248&gt;=Inputs!B18,N248=0),1,0)</s:f>
        <s:v>0</s:v>
      </s:c>
      <s:c r="P248" s="2">
        <s:f>IF(O248=1,L248,-1)</s:f>
        <s:v>-1</s:v>
      </s:c>
      <s:c r="Q248" s="2">
        <s:f>IF(AND(O248=1,L248=MAX(P$2:P$257)),M248,-1E+99)</s:f>
        <s:v>-1e+99</s:v>
      </s:c>
    </s:row>
    <s:row r="249">
      <s:c r="A249" s="19" t="n">
        <s:v>247</s:v>
      </s:c>
      <s:c r="B249" s="19" t="n">
        <s:v>1</s:v>
      </s:c>
      <s:c r="C249" s="19" t="n">
        <s:v>1</s:v>
      </s:c>
      <s:c r="D249" s="19" t="n">
        <s:v>1</s:v>
      </s:c>
      <s:c r="E249" s="19" t="n">
        <s:v>1</s:v>
      </s:c>
      <s:c r="F249" s="19" t="n">
        <s:v>0</s:v>
      </s:c>
      <s:c r="G249" s="19" t="n">
        <s:v>1</s:v>
      </s:c>
      <s:c r="H249" s="19" t="n">
        <s:v>1</s:v>
      </s:c>
      <s:c r="I249" s="19" t="n">
        <s:v>1</s:v>
      </s:c>
      <s:c r="J249" s="4">
        <s:f>B249*Projects!N2+C249*Projects!N3+D249*Projects!N4+E249*Projects!N5+F249*Projects!N6+G249*Projects!N7+H249*Projects!N8+I249*Projects!N9</s:f>
        <s:v>29200000</s:v>
      </s:c>
      <s:c r="K249" s="3">
        <s:f>B249*Projects!C2+C249*Projects!C3+D249*Projects!C4+E249*Projects!C5+F249*Projects!C6+G249*Projects!C7+H249*Projects!C8+I249*Projects!C9</s:f>
        <s:v>650</s:v>
      </s:c>
      <s:c r="L249" s="3">
        <s:f>B249*Projects!D2+C249*Projects!D3+D249*Projects!D4+E249*Projects!D5+F249*Projects!D6+G249*Projects!D7+H249*Projects!D8+I249*Projects!D9</s:f>
        <s:v>278</s:v>
      </s:c>
      <s:c r="M249" s="4">
        <s:f>B249*Projects!O2+C249*Projects!O3+D249*Projects!O4+E249*Projects!O5+F249*Projects!O6+G249*Projects!O7+H249*Projects!O8+I249*Projects!O9</s:f>
        <s:v>24885633.51125898</s:v>
      </s:c>
      <s:c r="N249" s="3">
        <s:f>B249*(1-Projects!Q2)+C249*(1-Projects!Q3)+D249*(1-Projects!Q4)+E249*(1-Projects!Q5)+F249*(1-Projects!Q6)+G249*(1-Projects!Q7)+H249*(1-Projects!Q8)+I249*(1-Projects!Q9)</s:f>
        <s:v>0</s:v>
      </s:c>
      <s:c r="O249" s="3">
        <s:f>IF(AND(J249&lt;=Inputs!B2,L249&gt;=Inputs!B3,M249&gt;=Inputs!B18,N249=0),1,0)</s:f>
        <s:v>0</s:v>
      </s:c>
      <s:c r="P249" s="3">
        <s:f>IF(O249=1,L249,-1)</s:f>
        <s:v>-1</s:v>
      </s:c>
      <s:c r="Q249" s="3">
        <s:f>IF(AND(O249=1,L249=MAX(P$2:P$257)),M249,-1E+99)</s:f>
        <s:v>-1e+99</s:v>
      </s:c>
    </s:row>
    <s:row r="250">
      <s:c r="A250" s="18" t="n">
        <s:v>248</s:v>
      </s:c>
      <s:c r="B250" s="18" t="n">
        <s:v>1</s:v>
      </s:c>
      <s:c r="C250" s="18" t="n">
        <s:v>1</s:v>
      </s:c>
      <s:c r="D250" s="18" t="n">
        <s:v>1</s:v>
      </s:c>
      <s:c r="E250" s="18" t="n">
        <s:v>1</s:v>
      </s:c>
      <s:c r="F250" s="18" t="n">
        <s:v>1</s:v>
      </s:c>
      <s:c r="G250" s="18" t="n">
        <s:v>0</s:v>
      </s:c>
      <s:c r="H250" s="18" t="n">
        <s:v>0</s:v>
      </s:c>
      <s:c r="I250" s="18" t="n">
        <s:v>0</s:v>
      </s:c>
      <s:c r="J250" s="5">
        <s:f>B250*Projects!N2+C250*Projects!N3+D250*Projects!N4+E250*Projects!N5+F250*Projects!N6+G250*Projects!N7+H250*Projects!N8+I250*Projects!N9</s:f>
        <s:v>21200000</s:v>
      </s:c>
      <s:c r="K250" s="2">
        <s:f>B250*Projects!C2+C250*Projects!C3+D250*Projects!C4+E250*Projects!C5+F250*Projects!C6+G250*Projects!C7+H250*Projects!C8+I250*Projects!C9</s:f>
        <s:v>460</s:v>
      </s:c>
      <s:c r="L250" s="2">
        <s:f>B250*Projects!D2+C250*Projects!D3+D250*Projects!D4+E250*Projects!D5+F250*Projects!D6+G250*Projects!D7+H250*Projects!D8+I250*Projects!D9</s:f>
        <s:v>190</s:v>
      </s:c>
      <s:c r="M250" s="5">
        <s:f>B250*Projects!O2+C250*Projects!O3+D250*Projects!O4+E250*Projects!O5+F250*Projects!O6+G250*Projects!O7+H250*Projects!O8+I250*Projects!O9</s:f>
        <s:v>17885415.849964693</s:v>
      </s:c>
      <s:c r="N250" s="2">
        <s:f>B250*(1-Projects!Q2)+C250*(1-Projects!Q3)+D250*(1-Projects!Q4)+E250*(1-Projects!Q5)+F250*(1-Projects!Q6)+G250*(1-Projects!Q7)+H250*(1-Projects!Q8)+I250*(1-Projects!Q9)</s:f>
        <s:v>0</s:v>
      </s:c>
      <s:c r="O250" s="2">
        <s:f>IF(AND(J250&lt;=Inputs!B2,L250&gt;=Inputs!B3,M250&gt;=Inputs!B18,N250=0),1,0)</s:f>
        <s:v>0</s:v>
      </s:c>
      <s:c r="P250" s="2">
        <s:f>IF(O250=1,L250,-1)</s:f>
        <s:v>-1</s:v>
      </s:c>
      <s:c r="Q250" s="2">
        <s:f>IF(AND(O250=1,L250=MAX(P$2:P$257)),M250,-1E+99)</s:f>
        <s:v>-1e+99</s:v>
      </s:c>
    </s:row>
    <s:row r="251">
      <s:c r="A251" s="19" t="n">
        <s:v>249</s:v>
      </s:c>
      <s:c r="B251" s="19" t="n">
        <s:v>1</s:v>
      </s:c>
      <s:c r="C251" s="19" t="n">
        <s:v>1</s:v>
      </s:c>
      <s:c r="D251" s="19" t="n">
        <s:v>1</s:v>
      </s:c>
      <s:c r="E251" s="19" t="n">
        <s:v>1</s:v>
      </s:c>
      <s:c r="F251" s="19" t="n">
        <s:v>1</s:v>
      </s:c>
      <s:c r="G251" s="19" t="n">
        <s:v>0</s:v>
      </s:c>
      <s:c r="H251" s="19" t="n">
        <s:v>0</s:v>
      </s:c>
      <s:c r="I251" s="19" t="n">
        <s:v>1</s:v>
      </s:c>
      <s:c r="J251" s="4">
        <s:f>B251*Projects!N2+C251*Projects!N3+D251*Projects!N4+E251*Projects!N5+F251*Projects!N6+G251*Projects!N7+H251*Projects!N8+I251*Projects!N9</s:f>
        <s:v>25700000</s:v>
      </s:c>
      <s:c r="K251" s="3">
        <s:f>B251*Projects!C2+C251*Projects!C3+D251*Projects!C4+E251*Projects!C5+F251*Projects!C6+G251*Projects!C7+H251*Projects!C8+I251*Projects!C9</s:f>
        <s:v>550</s:v>
      </s:c>
      <s:c r="L251" s="3">
        <s:f>B251*Projects!D2+C251*Projects!D3+D251*Projects!D4+E251*Projects!D5+F251*Projects!D6+G251*Projects!D7+H251*Projects!D8+I251*Projects!D9</s:f>
        <s:v>217</s:v>
      </s:c>
      <s:c r="M251" s="4">
        <s:f>B251*Projects!O2+C251*Projects!O3+D251*Projects!O4+E251*Projects!O5+F251*Projects!O6+G251*Projects!O7+H251*Projects!O8+I251*Projects!O9</s:f>
        <s:v>22342043.275508728</s:v>
      </s:c>
      <s:c r="N251" s="3">
        <s:f>B251*(1-Projects!Q2)+C251*(1-Projects!Q3)+D251*(1-Projects!Q4)+E251*(1-Projects!Q5)+F251*(1-Projects!Q6)+G251*(1-Projects!Q7)+H251*(1-Projects!Q8)+I251*(1-Projects!Q9)</s:f>
        <s:v>0</s:v>
      </s:c>
      <s:c r="O251" s="3">
        <s:f>IF(AND(J251&lt;=Inputs!B2,L251&gt;=Inputs!B3,M251&gt;=Inputs!B18,N251=0),1,0)</s:f>
        <s:v>0</s:v>
      </s:c>
      <s:c r="P251" s="3">
        <s:f>IF(O251=1,L251,-1)</s:f>
        <s:v>-1</s:v>
      </s:c>
      <s:c r="Q251" s="3">
        <s:f>IF(AND(O251=1,L251=MAX(P$2:P$257)),M251,-1E+99)</s:f>
        <s:v>-1e+99</s:v>
      </s:c>
    </s:row>
    <s:row r="252">
      <s:c r="A252" s="18" t="n">
        <s:v>250</s:v>
      </s:c>
      <s:c r="B252" s="18" t="n">
        <s:v>1</s:v>
      </s:c>
      <s:c r="C252" s="18" t="n">
        <s:v>1</s:v>
      </s:c>
      <s:c r="D252" s="18" t="n">
        <s:v>1</s:v>
      </s:c>
      <s:c r="E252" s="18" t="n">
        <s:v>1</s:v>
      </s:c>
      <s:c r="F252" s="18" t="n">
        <s:v>1</s:v>
      </s:c>
      <s:c r="G252" s="18" t="n">
        <s:v>0</s:v>
      </s:c>
      <s:c r="H252" s="18" t="n">
        <s:v>1</s:v>
      </s:c>
      <s:c r="I252" s="18" t="n">
        <s:v>0</s:v>
      </s:c>
      <s:c r="J252" s="5">
        <s:f>B252*Projects!N2+C252*Projects!N3+D252*Projects!N4+E252*Projects!N5+F252*Projects!N6+G252*Projects!N7+H252*Projects!N8+I252*Projects!N9</s:f>
        <s:v>25300000</s:v>
      </s:c>
      <s:c r="K252" s="2">
        <s:f>B252*Projects!C2+C252*Projects!C3+D252*Projects!C4+E252*Projects!C5+F252*Projects!C6+G252*Projects!C7+H252*Projects!C8+I252*Projects!C9</s:f>
        <s:v>570</s:v>
      </s:c>
      <s:c r="L252" s="2">
        <s:f>B252*Projects!D2+C252*Projects!D3+D252*Projects!D4+E252*Projects!D5+F252*Projects!D6+G252*Projects!D7+H252*Projects!D8+I252*Projects!D9</s:f>
        <s:v>256</s:v>
      </s:c>
      <s:c r="M252" s="5">
        <s:f>B252*Projects!O2+C252*Projects!O3+D252*Projects!O4+E252*Projects!O5+F252*Projects!O6+G252*Projects!O7+H252*Projects!O8+I252*Projects!O9</s:f>
        <s:v>20920789.827854</s:v>
      </s:c>
      <s:c r="N252" s="2">
        <s:f>B252*(1-Projects!Q2)+C252*(1-Projects!Q3)+D252*(1-Projects!Q4)+E252*(1-Projects!Q5)+F252*(1-Projects!Q6)+G252*(1-Projects!Q7)+H252*(1-Projects!Q8)+I252*(1-Projects!Q9)</s:f>
        <s:v>0</s:v>
      </s:c>
      <s:c r="O252" s="2">
        <s:f>IF(AND(J252&lt;=Inputs!B2,L252&gt;=Inputs!B3,M252&gt;=Inputs!B18,N252=0),1,0)</s:f>
        <s:v>0</s:v>
      </s:c>
      <s:c r="P252" s="2">
        <s:f>IF(O252=1,L252,-1)</s:f>
        <s:v>-1</s:v>
      </s:c>
      <s:c r="Q252" s="2">
        <s:f>IF(AND(O252=1,L252=MAX(P$2:P$257)),M252,-1E+99)</s:f>
        <s:v>-1e+99</s:v>
      </s:c>
    </s:row>
    <s:row r="253">
      <s:c r="A253" s="19" t="n">
        <s:v>251</s:v>
      </s:c>
      <s:c r="B253" s="19" t="n">
        <s:v>1</s:v>
      </s:c>
      <s:c r="C253" s="19" t="n">
        <s:v>1</s:v>
      </s:c>
      <s:c r="D253" s="19" t="n">
        <s:v>1</s:v>
      </s:c>
      <s:c r="E253" s="19" t="n">
        <s:v>1</s:v>
      </s:c>
      <s:c r="F253" s="19" t="n">
        <s:v>1</s:v>
      </s:c>
      <s:c r="G253" s="19" t="n">
        <s:v>0</s:v>
      </s:c>
      <s:c r="H253" s="19" t="n">
        <s:v>1</s:v>
      </s:c>
      <s:c r="I253" s="19" t="n">
        <s:v>1</s:v>
      </s:c>
      <s:c r="J253" s="4">
        <s:f>B253*Projects!N2+C253*Projects!N3+D253*Projects!N4+E253*Projects!N5+F253*Projects!N6+G253*Projects!N7+H253*Projects!N8+I253*Projects!N9</s:f>
        <s:v>29800000</s:v>
      </s:c>
      <s:c r="K253" s="3">
        <s:f>B253*Projects!C2+C253*Projects!C3+D253*Projects!C4+E253*Projects!C5+F253*Projects!C6+G253*Projects!C7+H253*Projects!C8+I253*Projects!C9</s:f>
        <s:v>660</s:v>
      </s:c>
      <s:c r="L253" s="3">
        <s:f>B253*Projects!D2+C253*Projects!D3+D253*Projects!D4+E253*Projects!D5+F253*Projects!D6+G253*Projects!D7+H253*Projects!D8+I253*Projects!D9</s:f>
        <s:v>283</s:v>
      </s:c>
      <s:c r="M253" s="4">
        <s:f>B253*Projects!O2+C253*Projects!O3+D253*Projects!O4+E253*Projects!O5+F253*Projects!O6+G253*Projects!O7+H253*Projects!O8+I253*Projects!O9</s:f>
        <s:v>25377417.253398035</s:v>
      </s:c>
      <s:c r="N253" s="3">
        <s:f>B253*(1-Projects!Q2)+C253*(1-Projects!Q3)+D253*(1-Projects!Q4)+E253*(1-Projects!Q5)+F253*(1-Projects!Q6)+G253*(1-Projects!Q7)+H253*(1-Projects!Q8)+I253*(1-Projects!Q9)</s:f>
        <s:v>0</s:v>
      </s:c>
      <s:c r="O253" s="3">
        <s:f>IF(AND(J253&lt;=Inputs!B2,L253&gt;=Inputs!B3,M253&gt;=Inputs!B18,N253=0),1,0)</s:f>
        <s:v>0</s:v>
      </s:c>
      <s:c r="P253" s="3">
        <s:f>IF(O253=1,L253,-1)</s:f>
        <s:v>-1</s:v>
      </s:c>
      <s:c r="Q253" s="3">
        <s:f>IF(AND(O253=1,L253=MAX(P$2:P$257)),M253,-1E+99)</s:f>
        <s:v>-1e+99</s:v>
      </s:c>
    </s:row>
    <s:row r="254">
      <s:c r="A254" s="18" t="n">
        <s:v>252</s:v>
      </s:c>
      <s:c r="B254" s="18" t="n">
        <s:v>1</s:v>
      </s:c>
      <s:c r="C254" s="18" t="n">
        <s:v>1</s:v>
      </s:c>
      <s:c r="D254" s="18" t="n">
        <s:v>1</s:v>
      </s:c>
      <s:c r="E254" s="18" t="n">
        <s:v>1</s:v>
      </s:c>
      <s:c r="F254" s="18" t="n">
        <s:v>1</s:v>
      </s:c>
      <s:c r="G254" s="18" t="n">
        <s:v>1</s:v>
      </s:c>
      <s:c r="H254" s="18" t="n">
        <s:v>0</s:v>
      </s:c>
      <s:c r="I254" s="18" t="n">
        <s:v>0</s:v>
      </s:c>
      <s:c r="J254" s="5">
        <s:f>B254*Projects!N2+C254*Projects!N3+D254*Projects!N4+E254*Projects!N5+F254*Projects!N6+G254*Projects!N7+H254*Projects!N8+I254*Projects!N9</s:f>
        <s:v>24400000</s:v>
      </s:c>
      <s:c r="K254" s="2">
        <s:f>B254*Projects!C2+C254*Projects!C3+D254*Projects!C4+E254*Projects!C5+F254*Projects!C6+G254*Projects!C7+H254*Projects!C8+I254*Projects!C9</s:f>
        <s:v>540</s:v>
      </s:c>
      <s:c r="L254" s="2">
        <s:f>B254*Projects!D2+C254*Projects!D3+D254*Projects!D4+E254*Projects!D5+F254*Projects!D6+G254*Projects!D7+H254*Projects!D8+I254*Projects!D9</s:f>
        <s:v>230</s:v>
      </s:c>
      <s:c r="M254" s="5">
        <s:f>B254*Projects!O2+C254*Projects!O3+D254*Projects!O4+E254*Projects!O5+F254*Projects!O6+G254*Projects!O7+H254*Projects!O8+I254*Projects!O9</s:f>
        <s:v>20395594.469833694</s:v>
      </s:c>
      <s:c r="N254" s="2">
        <s:f>B254*(1-Projects!Q2)+C254*(1-Projects!Q3)+D254*(1-Projects!Q4)+E254*(1-Projects!Q5)+F254*(1-Projects!Q6)+G254*(1-Projects!Q7)+H254*(1-Projects!Q8)+I254*(1-Projects!Q9)</s:f>
        <s:v>0</s:v>
      </s:c>
      <s:c r="O254" s="2">
        <s:f>IF(AND(J254&lt;=Inputs!B2,L254&gt;=Inputs!B3,M254&gt;=Inputs!B18,N254=0),1,0)</s:f>
        <s:v>0</s:v>
      </s:c>
      <s:c r="P254" s="2">
        <s:f>IF(O254=1,L254,-1)</s:f>
        <s:v>-1</s:v>
      </s:c>
      <s:c r="Q254" s="2">
        <s:f>IF(AND(O254=1,L254=MAX(P$2:P$257)),M254,-1E+99)</s:f>
        <s:v>-1e+99</s:v>
      </s:c>
    </s:row>
    <s:row r="255">
      <s:c r="A255" s="19" t="n">
        <s:v>253</s:v>
      </s:c>
      <s:c r="B255" s="19" t="n">
        <s:v>1</s:v>
      </s:c>
      <s:c r="C255" s="19" t="n">
        <s:v>1</s:v>
      </s:c>
      <s:c r="D255" s="19" t="n">
        <s:v>1</s:v>
      </s:c>
      <s:c r="E255" s="19" t="n">
        <s:v>1</s:v>
      </s:c>
      <s:c r="F255" s="19" t="n">
        <s:v>1</s:v>
      </s:c>
      <s:c r="G255" s="19" t="n">
        <s:v>1</s:v>
      </s:c>
      <s:c r="H255" s="19" t="n">
        <s:v>0</s:v>
      </s:c>
      <s:c r="I255" s="19" t="n">
        <s:v>1</s:v>
      </s:c>
      <s:c r="J255" s="4">
        <s:f>B255*Projects!N2+C255*Projects!N3+D255*Projects!N4+E255*Projects!N5+F255*Projects!N6+G255*Projects!N7+H255*Projects!N8+I255*Projects!N9</s:f>
        <s:v>28900000</s:v>
      </s:c>
      <s:c r="K255" s="3">
        <s:f>B255*Projects!C2+C255*Projects!C3+D255*Projects!C4+E255*Projects!C5+F255*Projects!C6+G255*Projects!C7+H255*Projects!C8+I255*Projects!C9</s:f>
        <s:v>630</s:v>
      </s:c>
      <s:c r="L255" s="3">
        <s:f>B255*Projects!D2+C255*Projects!D3+D255*Projects!D4+E255*Projects!D5+F255*Projects!D6+G255*Projects!D7+H255*Projects!D8+I255*Projects!D9</s:f>
        <s:v>257</s:v>
      </s:c>
      <s:c r="M255" s="4">
        <s:f>B255*Projects!O2+C255*Projects!O3+D255*Projects!O4+E255*Projects!O5+F255*Projects!O6+G255*Projects!O7+H255*Projects!O8+I255*Projects!O9</s:f>
        <s:v>24852221.89537773</s:v>
      </s:c>
      <s:c r="N255" s="3">
        <s:f>B255*(1-Projects!Q2)+C255*(1-Projects!Q3)+D255*(1-Projects!Q4)+E255*(1-Projects!Q5)+F255*(1-Projects!Q6)+G255*(1-Projects!Q7)+H255*(1-Projects!Q8)+I255*(1-Projects!Q9)</s:f>
        <s:v>0</s:v>
      </s:c>
      <s:c r="O255" s="3">
        <s:f>IF(AND(J255&lt;=Inputs!B2,L255&gt;=Inputs!B3,M255&gt;=Inputs!B18,N255=0),1,0)</s:f>
        <s:v>0</s:v>
      </s:c>
      <s:c r="P255" s="3">
        <s:f>IF(O255=1,L255,-1)</s:f>
        <s:v>-1</s:v>
      </s:c>
      <s:c r="Q255" s="3">
        <s:f>IF(AND(O255=1,L255=MAX(P$2:P$257)),M255,-1E+99)</s:f>
        <s:v>-1e+99</s:v>
      </s:c>
    </s:row>
    <s:row r="256">
      <s:c r="A256" s="18" t="n">
        <s:v>254</s:v>
      </s:c>
      <s:c r="B256" s="18" t="n">
        <s:v>1</s:v>
      </s:c>
      <s:c r="C256" s="18" t="n">
        <s:v>1</s:v>
      </s:c>
      <s:c r="D256" s="18" t="n">
        <s:v>1</s:v>
      </s:c>
      <s:c r="E256" s="18" t="n">
        <s:v>1</s:v>
      </s:c>
      <s:c r="F256" s="18" t="n">
        <s:v>1</s:v>
      </s:c>
      <s:c r="G256" s="18" t="n">
        <s:v>1</s:v>
      </s:c>
      <s:c r="H256" s="18" t="n">
        <s:v>1</s:v>
      </s:c>
      <s:c r="I256" s="18" t="n">
        <s:v>0</s:v>
      </s:c>
      <s:c r="J256" s="5">
        <s:f>B256*Projects!N2+C256*Projects!N3+D256*Projects!N4+E256*Projects!N5+F256*Projects!N6+G256*Projects!N7+H256*Projects!N8+I256*Projects!N9</s:f>
        <s:v>28500000</s:v>
      </s:c>
      <s:c r="K256" s="2">
        <s:f>B256*Projects!C2+C256*Projects!C3+D256*Projects!C4+E256*Projects!C5+F256*Projects!C6+G256*Projects!C7+H256*Projects!C8+I256*Projects!C9</s:f>
        <s:v>650</s:v>
      </s:c>
      <s:c r="L256" s="2">
        <s:f>B256*Projects!D2+C256*Projects!D3+D256*Projects!D4+E256*Projects!D5+F256*Projects!D6+G256*Projects!D7+H256*Projects!D8+I256*Projects!D9</s:f>
        <s:v>296</s:v>
      </s:c>
      <s:c r="M256" s="5">
        <s:f>B256*Projects!O2+C256*Projects!O3+D256*Projects!O4+E256*Projects!O5+F256*Projects!O6+G256*Projects!O7+H256*Projects!O8+I256*Projects!O9</s:f>
        <s:v>23430968.447723</s:v>
      </s:c>
      <s:c r="N256" s="2">
        <s:f>B256*(1-Projects!Q2)+C256*(1-Projects!Q3)+D256*(1-Projects!Q4)+E256*(1-Projects!Q5)+F256*(1-Projects!Q6)+G256*(1-Projects!Q7)+H256*(1-Projects!Q8)+I256*(1-Projects!Q9)</s:f>
        <s:v>0</s:v>
      </s:c>
      <s:c r="O256" s="2">
        <s:f>IF(AND(J256&lt;=Inputs!B2,L256&gt;=Inputs!B3,M256&gt;=Inputs!B18,N256=0),1,0)</s:f>
        <s:v>0</s:v>
      </s:c>
      <s:c r="P256" s="2">
        <s:f>IF(O256=1,L256,-1)</s:f>
        <s:v>-1</s:v>
      </s:c>
      <s:c r="Q256" s="2">
        <s:f>IF(AND(O256=1,L256=MAX(P$2:P$257)),M256,-1E+99)</s:f>
        <s:v>-1e+99</s:v>
      </s:c>
    </s:row>
    <s:row r="257">
      <s:c r="A257" s="19" t="n">
        <s:v>255</s:v>
      </s:c>
      <s:c r="B257" s="19" t="n">
        <s:v>1</s:v>
      </s:c>
      <s:c r="C257" s="19" t="n">
        <s:v>1</s:v>
      </s:c>
      <s:c r="D257" s="19" t="n">
        <s:v>1</s:v>
      </s:c>
      <s:c r="E257" s="19" t="n">
        <s:v>1</s:v>
      </s:c>
      <s:c r="F257" s="19" t="n">
        <s:v>1</s:v>
      </s:c>
      <s:c r="G257" s="19" t="n">
        <s:v>1</s:v>
      </s:c>
      <s:c r="H257" s="19" t="n">
        <s:v>1</s:v>
      </s:c>
      <s:c r="I257" s="19" t="n">
        <s:v>1</s:v>
      </s:c>
      <s:c r="J257" s="4">
        <s:f>B257*Projects!N2+C257*Projects!N3+D257*Projects!N4+E257*Projects!N5+F257*Projects!N6+G257*Projects!N7+H257*Projects!N8+I257*Projects!N9</s:f>
        <s:v>33000000</s:v>
      </s:c>
      <s:c r="K257" s="3">
        <s:f>B257*Projects!C2+C257*Projects!C3+D257*Projects!C4+E257*Projects!C5+F257*Projects!C6+G257*Projects!C7+H257*Projects!C8+I257*Projects!C9</s:f>
        <s:v>740</s:v>
      </s:c>
      <s:c r="L257" s="3">
        <s:f>B257*Projects!D2+C257*Projects!D3+D257*Projects!D4+E257*Projects!D5+F257*Projects!D6+G257*Projects!D7+H257*Projects!D8+I257*Projects!D9</s:f>
        <s:v>323</s:v>
      </s:c>
      <s:c r="M257" s="4">
        <s:f>B257*Projects!O2+C257*Projects!O3+D257*Projects!O4+E257*Projects!O5+F257*Projects!O6+G257*Projects!O7+H257*Projects!O8+I257*Projects!O9</s:f>
        <s:v>27887595.873267036</s:v>
      </s:c>
      <s:c r="N257" s="3">
        <s:f>B257*(1-Projects!Q2)+C257*(1-Projects!Q3)+D257*(1-Projects!Q4)+E257*(1-Projects!Q5)+F257*(1-Projects!Q6)+G257*(1-Projects!Q7)+H257*(1-Projects!Q8)+I257*(1-Projects!Q9)</s:f>
        <s:v>0</s:v>
      </s:c>
      <s:c r="O257" s="3">
        <s:f>IF(AND(J257&lt;=Inputs!B2,L257&gt;=Inputs!B3,M257&gt;=Inputs!B18,N257=0),1,0)</s:f>
        <s:v>0</s:v>
      </s:c>
      <s:c r="P257" s="3">
        <s:f>IF(O257=1,L257,-1)</s:f>
        <s:v>-1</s:v>
      </s:c>
      <s:c r="Q257" s="3">
        <s:f>IF(AND(O257=1,L257=MAX(P$2:P$257)),M257,-1E+99)</s:f>
        <s:v>-1e+99</s:v>
      </s:c>
    </s:row>
  </s:sheetData>
  <s:autoFilter ref="A1:Q257"/>
  <s:pageMargins left="0.75" right="0.75" top="1" bottom="1" header="0.5" footer="0.5"/>
</s:worksheet>
</file>

<file path=xl/worksheets/sheet8.xml><?xml version="1.0" encoding="utf-8"?>
<s:worksheet xmlns:s="http://schemas.openxmlformats.org/spreadsheetml/2006/main">
  <s:sheetPr>
    <s:outlinePr summaryBelow="1" summaryRight="1"/>
    <s:pageSetUpPr/>
  </s:sheetPr>
  <s:dimension ref="A1:K5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22" customWidth="1" min="3" max="3"/>
    <s:col width="22" customWidth="1" min="4" max="4"/>
    <s:col width="22" customWidth="1" min="5" max="5"/>
    <s:col width="22" customWidth="1" min="6" max="6"/>
    <s:col width="22" customWidth="1" min="7" max="7"/>
    <s:col width="22" customWidth="1" min="8" max="8"/>
    <s:col width="22" customWidth="1" min="9" max="9"/>
    <s:col width="22" customWidth="1" min="10" max="10"/>
    <s:col width="22" customWidth="1" min="11" max="11"/>
  </s:cols>
  <s:sheetData>
    <s:row r="1" ht="34" customHeight="1">
      <s:c r="A1" s="1" t="inlineStr">
        <s:is>
          <s:t>Scenario</s:t>
        </s:is>
      </s:c>
      <s:c r="B1" s="1" t="inlineStr">
        <s:is>
          <s:t>Occupancy</s:t>
        </s:is>
      </s:c>
      <s:c r="C1" s="1" t="inlineStr">
        <s:is>
          <s:t>Capex multiplier</s:t>
        </s:is>
      </s:c>
      <s:c r="D1" s="1" t="inlineStr">
        <s:is>
          <s:t>Rent multiplier</s:t>
        </s:is>
      </s:c>
      <s:c r="E1" s="1" t="inlineStr">
        <s:is>
          <s:t>Discount rate</s:t>
        </s:is>
      </s:c>
      <s:c r="F1" s="1" t="inlineStr">
        <s:is>
          <s:t>Exit cap rate</s:t>
        </s:is>
      </s:c>
      <s:c r="G1" s="1" t="inlineStr">
        <s:is>
          <s:t>Selected investment</s:t>
        </s:is>
      </s:c>
      <s:c r="H1" s="1" t="inlineStr">
        <s:is>
          <s:t>Year 1 NOI</s:t>
        </s:is>
      </s:c>
      <s:c r="I1" s="1" t="inlineStr">
        <s:is>
          <s:t>NPV</s:t>
        </s:is>
      </s:c>
      <s:c r="J1" s="1" t="inlineStr">
        <s:is>
          <s:t>Affordable beds</s:t>
        </s:is>
      </s:c>
      <s:c r="K1" s="1" t="inlineStr">
        <s:is>
          <s:t>Planning budget check</s:t>
        </s:is>
      </s:c>
    </s:row>
    <s:row r="2">
      <s:c r="A2" s="2" t="inlineStr">
        <s:is>
          <s:t>Base</s:t>
        </s:is>
      </s:c>
      <s:c r="B2" s="6">
        <s:f>Inputs!B4</s:f>
        <s:v>0.95</s:v>
      </s:c>
      <s:c r="C2" s="6" t="n">
        <s:v>1</s:v>
      </s:c>
      <s:c r="D2" s="18" t="n">
        <s:v>1</s:v>
      </s:c>
      <s:c r="E2" s="6">
        <s:f>Inputs!B9</s:f>
        <s:v>0.06</s:v>
      </s:c>
      <s:c r="F2" s="6">
        <s:f>Inputs!B10</s:f>
        <s:v>0.055</s:v>
      </s:c>
      <s:c r="G2" s="5">
        <s:f>'Executive Report'!B9*C2</s:f>
        <s:v>14500000</s:v>
      </s:c>
      <s:c r="H2" s="5">
        <s:f>(Projects!R2*(Projects!D2*Projects!E2+(Projects!C2-Projects!D2)*Projects!F2)*Inputs!B5+Projects!R3*(Projects!D3*Projects!E3+(Projects!C3-Projects!D3)*Projects!F3)*Inputs!B5+Projects!R4*(Projects!D4*Projects!E4+(Projects!C4-Projects!D4)*Projects!F4)*Inputs!B5+Projects!R5*(Projects!D5*Projects!E5+(Projects!C5-Projects!D5)*Projects!F5)*Inputs!B5+Projects!R6*(Projects!D6*Projects!E6+(Projects!C6-Projects!D6)*Projects!F6)*Inputs!B5+Projects!R7*(Projects!D7*Projects!E7+(Projects!C7-Projects!D7)*Projects!F7)*Inputs!B5+Projects!R8*(Projects!D8*Projects!E8+(Projects!C8-Projects!D8)*Projects!F8)*Inputs!B5+Projects!R9*(Projects!D9*Projects!E9+(Projects!C9-Projects!D9)*Projects!F9)*Inputs!B5)*B2*D2*(1-Inputs!B6)-'Executive Report'!B10*Inputs!B7</s:f>
        <s:v>1216467.7</s:v>
      </s:c>
      <s:c r="I2" s="5">
        <s:f>-G2+H2*(1+Inputs!B8)^0/(1+E2)^1+H2*(1+Inputs!B8)^1/(1+E2)^2+H2*(1+Inputs!B8)^2/(1+E2)^3+H2*(1+Inputs!B8)^3/(1+E2)^4+H2*(1+Inputs!B8)^4/(1+E2)^5+H2*(1+Inputs!B8)^5/(1+E2)^6+H2*(1+Inputs!B8)^6/(1+E2)^7+H2*(1+Inputs!B8)^7/(1+E2)^8+H2*(1+Inputs!B8)^8/(1+E2)^9+H2*(1+Inputs!B8)^9/(1+E2)^10+H2*(1+Inputs!B8)^10/(1+E2)^11+H2*(1+Inputs!B8)^11/(1+E2)^12+H2*(1+Inputs!B8)^12/(1+E2)^13+H2*(1+Inputs!B8)^13/(1+E2)^14+H2*(1+Inputs!B8)^14/(1+E2)^15+H2*(1+Inputs!B8)^15/(1+E2)^16+H2*(1+Inputs!B8)^16/(1+E2)^17+H2*(1+Inputs!B8)^17/(1+E2)^18+H2*(1+Inputs!B8)^18/(1+E2)^19+H2*(1+Inputs!B8)^19/(1+E2)^20+H2*(1+Inputs!B8)^20/F2*(1-Inputs!B11)/(1+E2)^20</s:f>
        <s:v>11863873.188833976</s:v>
      </s:c>
      <s:c r="J2" s="2">
        <s:f>'Executive Report'!B11</s:f>
        <s:v>172</s:v>
      </s:c>
      <s:c r="K2" s="2" t="str">
        <s:f>IF(G2&lt;=Inputs!B2,"PASS","OVER BUDGET")</s:f>
        <s:v>PASS</s:v>
      </s:c>
    </s:row>
    <s:row r="3">
      <s:c r="A3" s="3" t="inlineStr">
        <s:is>
          <s:t>Downside</s:t>
        </s:is>
      </s:c>
      <s:c r="B3" s="17" t="n">
        <s:v>0.85</s:v>
      </s:c>
      <s:c r="C3" s="17" t="n">
        <s:v>1.15</s:v>
      </s:c>
      <s:c r="D3" s="20" t="n">
        <s:v>0.95</s:v>
      </s:c>
      <s:c r="E3" s="17" t="n">
        <s:v>0.075</s:v>
      </s:c>
      <s:c r="F3" s="17" t="n">
        <s:v>0.065</s:v>
      </s:c>
      <s:c r="G3" s="4">
        <s:f>'Executive Report'!B9*C3</s:f>
        <s:v>16674999.999999998</s:v>
      </s:c>
      <s:c r="H3" s="4">
        <s:f>(Projects!R2*(Projects!D2*Projects!E2+(Projects!C2-Projects!D2)*Projects!F2)*Inputs!B5+Projects!R3*(Projects!D3*Projects!E3+(Projects!C3-Projects!D3)*Projects!F3)*Inputs!B5+Projects!R4*(Projects!D4*Projects!E4+(Projects!C4-Projects!D4)*Projects!F4)*Inputs!B5+Projects!R5*(Projects!D5*Projects!E5+(Projects!C5-Projects!D5)*Projects!F5)*Inputs!B5+Projects!R6*(Projects!D6*Projects!E6+(Projects!C6-Projects!D6)*Projects!F6)*Inputs!B5+Projects!R7*(Projects!D7*Projects!E7+(Projects!C7-Projects!D7)*Projects!F7)*Inputs!B5+Projects!R8*(Projects!D8*Projects!E8+(Projects!C8-Projects!D8)*Projects!F8)*Inputs!B5+Projects!R9*(Projects!D9*Projects!E9+(Projects!C9-Projects!D9)*Projects!F9)*Inputs!B5)*B3*D3*(1-Inputs!B6)-'Executive Report'!B10*Inputs!B7</s:f>
        <s:v>949997.5449999999</s:v>
      </s:c>
      <s:c r="I3" s="4">
        <s:f>-G3+H3*(1+Inputs!B8)^0/(1+E3)^1+H3*(1+Inputs!B8)^1/(1+E3)^2+H3*(1+Inputs!B8)^2/(1+E3)^3+H3*(1+Inputs!B8)^3/(1+E3)^4+H3*(1+Inputs!B8)^4/(1+E3)^5+H3*(1+Inputs!B8)^5/(1+E3)^6+H3*(1+Inputs!B8)^6/(1+E3)^7+H3*(1+Inputs!B8)^7/(1+E3)^8+H3*(1+Inputs!B8)^8/(1+E3)^9+H3*(1+Inputs!B8)^9/(1+E3)^10+H3*(1+Inputs!B8)^10/(1+E3)^11+H3*(1+Inputs!B8)^11/(1+E3)^12+H3*(1+Inputs!B8)^12/(1+E3)^13+H3*(1+Inputs!B8)^13/(1+E3)^14+H3*(1+Inputs!B8)^14/(1+E3)^15+H3*(1+Inputs!B8)^15/(1+E3)^16+H3*(1+Inputs!B8)^16/(1+E3)^17+H3*(1+Inputs!B8)^17/(1+E3)^18+H3*(1+Inputs!B8)^18/(1+E3)^19+H3*(1+Inputs!B8)^19/(1+E3)^20+H3*(1+Inputs!B8)^20/F3*(1-Inputs!B11)/(1+E3)^20</s:f>
        <s:v>-434136.47076156456</s:v>
      </s:c>
      <s:c r="J3" s="3">
        <s:f>'Executive Report'!B11</s:f>
        <s:v>172</s:v>
      </s:c>
      <s:c r="K3" s="3" t="str">
        <s:f>IF(G3&lt;=Inputs!B2,"PASS","OVER BUDGET")</s:f>
        <s:v>OVER BUDGET</s:v>
      </s:c>
    </s:row>
    <s:row r="4">
      <s:c r="A4" s="2" t="inlineStr">
        <s:is>
          <s:t>Upside</s:t>
        </s:is>
      </s:c>
      <s:c r="B4" s="6" t="n">
        <s:v>0.98</s:v>
      </s:c>
      <s:c r="C4" s="6" t="n">
        <s:v>0.95</s:v>
      </s:c>
      <s:c r="D4" s="21" t="n">
        <s:v>1.05</s:v>
      </s:c>
      <s:c r="E4" s="6" t="n">
        <s:v>0.05</s:v>
      </s:c>
      <s:c r="F4" s="6" t="n">
        <s:v>0.05</s:v>
      </s:c>
      <s:c r="G4" s="5">
        <s:f>'Executive Report'!B9*C4</s:f>
        <s:v>13775000.0</s:v>
      </s:c>
      <s:c r="H4" s="5">
        <s:f>(Projects!R2*(Projects!D2*Projects!E2+(Projects!C2-Projects!D2)*Projects!F2)*Inputs!B5+Projects!R3*(Projects!D3*Projects!E3+(Projects!C3-Projects!D3)*Projects!F3)*Inputs!B5+Projects!R4*(Projects!D4*Projects!E4+(Projects!C4-Projects!D4)*Projects!F4)*Inputs!B5+Projects!R5*(Projects!D5*Projects!E5+(Projects!C5-Projects!D5)*Projects!F5)*Inputs!B5+Projects!R6*(Projects!D6*Projects!E6+(Projects!C6-Projects!D6)*Projects!F6)*Inputs!B5+Projects!R7*(Projects!D7*Projects!E7+(Projects!C7-Projects!D7)*Projects!F7)*Inputs!B5+Projects!R8*(Projects!D8*Projects!E8+(Projects!C8-Projects!D8)*Projects!F8)*Inputs!B5+Projects!R9*(Projects!D9*Projects!E9+(Projects!C9-Projects!D9)*Projects!F9)*Inputs!B5)*B4*D4*(1-Inputs!B6)-'Executive Report'!B10*Inputs!B7</s:f>
        <s:v>1364195.0139999997</s:v>
      </s:c>
      <s:c r="I4" s="5">
        <s:f>-G4+H4*(1+Inputs!B8)^0/(1+E4)^1+H4*(1+Inputs!B8)^1/(1+E4)^2+H4*(1+Inputs!B8)^2/(1+E4)^3+H4*(1+Inputs!B8)^3/(1+E4)^4+H4*(1+Inputs!B8)^4/(1+E4)^5+H4*(1+Inputs!B8)^5/(1+E4)^6+H4*(1+Inputs!B8)^6/(1+E4)^7+H4*(1+Inputs!B8)^7/(1+E4)^8+H4*(1+Inputs!B8)^8/(1+E4)^9+H4*(1+Inputs!B8)^9/(1+E4)^10+H4*(1+Inputs!B8)^10/(1+E4)^11+H4*(1+Inputs!B8)^11/(1+E4)^12+H4*(1+Inputs!B8)^12/(1+E4)^13+H4*(1+Inputs!B8)^13/(1+E4)^14+H4*(1+Inputs!B8)^14/(1+E4)^15+H4*(1+Inputs!B8)^15/(1+E4)^16+H4*(1+Inputs!B8)^16/(1+E4)^17+H4*(1+Inputs!B8)^17/(1+E4)^18+H4*(1+Inputs!B8)^18/(1+E4)^19+H4*(1+Inputs!B8)^19/(1+E4)^20+H4*(1+Inputs!B8)^20/F4*(1-Inputs!B11)/(1+E4)^20</s:f>
        <s:v>21205887.102730893</s:v>
      </s:c>
      <s:c r="J4" s="2">
        <s:f>'Executive Report'!B11</s:f>
        <s:v>172</s:v>
      </s:c>
      <s:c r="K4" s="2" t="str">
        <s:f>IF(G4&lt;=Inputs!B2,"PASS","OVER BUDGET")</s:f>
        <s:v>PASS</s:v>
      </s:c>
    </s:row>
    <s:row r="5">
      <s:c r="A5" s="3" t="inlineStr">
        <s:is>
          <s:t>Interpretation</s:t>
        </s:is>
      </s:c>
      <s:c r="B5" s="3" t="inlineStr">
        <s:is>
          <s:t>Fixed recommended base portfolio under changed financial assumptions; no scenario reoptimization.</s:t>
        </s:is>
      </s:c>
      <s:c r="C5" s="3" t="n"/>
      <s:c r="D5" s="3" t="n"/>
      <s:c r="E5" s="3" t="n"/>
      <s:c r="F5" s="3" t="n"/>
      <s:c r="G5" s="4" t="n"/>
      <s:c r="H5" s="4" t="n"/>
      <s:c r="I5" s="4" t="n"/>
      <s:c r="J5" s="3" t="n"/>
      <s:c r="K5" s="3" t="n"/>
    </s:row>
  </s:sheetData>
  <s:autoFilter ref="A1:K5"/>
  <s:pageMargins left="0.75" right="0.75" top="1" bottom="1" header="0.5" footer="0.5"/>
</s:worksheet>
</file>

<file path=xl/worksheets/sheet9.xml><?xml version="1.0" encoding="utf-8"?>
<s:worksheet xmlns:s="http://schemas.openxmlformats.org/spreadsheetml/2006/main">
  <s:sheetPr>
    <s:outlinePr summaryBelow="1" summaryRight="1"/>
    <s:pageSetUpPr/>
  </s:sheetPr>
  <s:dimension ref="A1:E5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52" customWidth="1" min="3" max="3"/>
    <s:col width="52" customWidth="1" min="4" max="4"/>
    <s:col width="52" customWidth="1" min="5" max="5"/>
    <s:col width="52" customWidth="1" min="6" max="6"/>
  </s:cols>
  <s:sheetData>
    <s:row r="1" ht="34" customHeight="1">
      <s:c r="A1" s="1" t="inlineStr">
        <s:is>
          <s:t>Iteration</s:t>
        </s:is>
      </s:c>
      <s:c r="B1" s="1" t="inlineStr">
        <s:is>
          <s:t>Increment delivered</s:t>
        </s:is>
      </s:c>
      <s:c r="C1" s="1" t="inlineStr">
        <s:is>
          <s:t>Evaluation / feedback</s:t>
        </s:is>
      </s:c>
      <s:c r="D1" s="1" t="inlineStr">
        <s:is>
          <s:t>Reinvestment in next sprint</s:t>
        </s:is>
      </s:c>
      <s:c r="E1" s="1" t="inlineStr">
        <s:is>
          <s:t>Status</s:t>
        </s:is>
      </s:c>
    </s:row>
    <s:row r="2">
      <s:c r="A2" s="18" t="n">
        <s:v>1</s:v>
      </s:c>
      <s:c r="B2" s="2" t="inlineStr">
        <s:is>
          <s:t>Baseline saved immediately</s:t>
        </s:is>
      </s:c>
      <s:c r="C2" s="2" t="inlineStr">
        <s:is>
          <s:t>Three candidate projects, live NOI and basic municipality registry</s:t>
        </s:is>
      </s:c>
      <s:c r="D2" s="2" t="inlineStr">
        <s:is>
          <s:t>Prioritize evidence and policy differences</s:t>
        </s:is>
      </s:c>
      <s:c r="E2" s="2" t="inlineStr">
        <s:is>
          <s:t>Saved v1.0</s:t>
        </s:is>
      </s:c>
    </s:row>
    <s:row r="3">
      <s:c r="A3" s="19" t="n">
        <s:v>2</s:v>
      </s:c>
      <s:c r="B3" s="3" t="inlineStr">
        <s:is>
          <s:t>Sourced baseline saved</s:t>
        </s:is>
      </s:c>
      <s:c r="C3" s="3" t="inlineStr">
        <s:is>
          <s:t>Primary policy evidence: Brussels 20%, Ixelles 15%; no blanket quota found for 19 communes</s:t>
        </s:is>
      </s:c>
      <s:c r="D3" s="3" t="inlineStr">
        <s:is>
          <s:t>Add conditional compliance, DCF and exact portfolio enumeration</s:t>
        </s:is>
      </s:c>
      <s:c r="E3" s="3" t="inlineStr">
        <s:is>
          <s:t>Saved v1.1</s:t>
        </s:is>
      </s:c>
    </s:row>
    <s:row r="4">
      <s:c r="A4" s="18" t="n">
        <s:v>3</s:v>
      </s:c>
      <s:c r="B4" s="2" t="inlineStr">
        <s:is>
          <s:t>8-project financial / portfolio model</s:t>
        </s:is>
      </s:c>
      <s:c r="C4" s="2" t="inlineStr">
        <s:is>
          <s:t>256 combinations compared; financial and affordability constraints separated from legal approval</s:t>
        </s:is>
      </s:c>
      <s:c r="D4" s="2" t="inlineStr">
        <s:is>
          <s:t>Stress-test selected portfolio; validate formula caches and workbook integrity</s:t>
        </s:is>
      </s:c>
      <s:c r="E4" s="2" t="inlineStr">
        <s:is>
          <s:t>Saved v2.0</s:t>
        </s:is>
      </s:c>
    </s:row>
    <s:row r="5">
      <s:c r="A5" s="19" t="n">
        <s:v>4</s:v>
      </s:c>
      <s:c r="B5" s="3" t="inlineStr">
        <s:is>
          <s:t>Next course sprint</s:t>
        </s:is>
      </s:c>
      <s:c r="C5" s="3" t="inlineStr">
        <s:is>
          <s:t>Pending municipal confirmation, real costs and demand studies</s:t>
        </s:is>
      </s:c>
      <s:c r="D5" s="3" t="inlineStr">
        <s:is>
          <s:t>Update assumptions; compare changed recommendation; add financing/construction timing</s:t>
        </s:is>
      </s:c>
      <s:c r="E5" s="3" t="inlineStr">
        <s:is>
          <s:t>Future work, not claimed complete</s:t>
        </s:is>
      </s:c>
    </s:row>
  </s:sheetData>
  <s:autoFilter ref="A1:E5"/>
  <s:pageMargins left="0.75" right="0.75" top="1" bottom="1" header="0.5" footer="0.5"/>
</s:worksheet>
</file>

<file path=xl/worksheets/sheet10.xml><?xml version="1.0" encoding="utf-8"?>
<s:worksheet xmlns:s="http://schemas.openxmlformats.org/spreadsheetml/2006/main">
  <s:sheetPr>
    <s:outlinePr summaryBelow="1" summaryRight="1"/>
    <s:pageSetUpPr/>
  </s:sheetPr>
  <s:dimension ref="A1:D7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52" customWidth="1" min="3" max="3"/>
    <s:col width="52" customWidth="1" min="4" max="4"/>
    <s:col width="52" customWidth="1" min="5" max="5"/>
    <s:col width="52" customWidth="1" min="6" max="6"/>
  </s:cols>
  <s:sheetData>
    <s:row r="1" ht="34" customHeight="1">
      <s:c r="A1" s="1" t="inlineStr">
        <s:is>
          <s:t>Source</s:t>
        </s:is>
      </s:c>
      <s:c r="B1" s="1" t="inlineStr">
        <s:is>
          <s:t>URL</s:t>
        </s:is>
      </s:c>
      <s:c r="C1" s="1" t="inlineStr">
        <s:is>
          <s:t>Evidence / limitations</s:t>
        </s:is>
      </s:c>
      <s:c r="D1" s="1" t="inlineStr">
        <s:is>
          <s:t>Accessed</s:t>
        </s:is>
      </s:c>
    </s:row>
    <s:row r="2">
      <s:c r="A2" s="2" t="inlineStr">
        <s:is>
          <s:t>City Brussels 2021 recommendations</s:t>
        </s:is>
      </s:c>
      <s:c r="B2" s="2" t="inlineStr">
        <s:is>
          <s:t>https://www.bruxelles.be/sites/default/files/bxl/Recommandations_logements_etudiants_VBX_17juin2021.pdf</s:t>
        </s:is>
      </s:c>
      <s:c r="C2" s="2" t="inlineStr">
        <s:is>
          <s:t>20% social student units from 30 units; policy applicability must be confirmed</s:t>
        </s:is>
      </s:c>
      <s:c r="D2" s="2" t="inlineStr">
        <s:is>
          <s:t>2026-10-14</s:t>
        </s:is>
      </s:c>
    </s:row>
    <s:row r="3">
      <s:c r="A3" s="3" t="inlineStr">
        <s:is>
          <s:t>Ixelles municipal magazine March–April 2025</s:t>
        </s:is>
      </s:c>
      <s:c r="B3" s="3" t="inlineStr">
        <s:is>
          <s:t>https://www.ixelles.be/site/downloads/publications/infoxl-2014-/infoxl20250304.pdf</s:t>
        </s:is>
      </s:c>
      <s:c r="C3" s="3" t="inlineStr">
        <s:is>
          <s:t>15% moderate-rent units for large kot developments; size trigger not specified in article</s:t>
        </s:is>
      </s:c>
      <s:c r="D3" s="3" t="inlineStr">
        <s:is>
          <s:t>2026-10-14</s:t>
        </s:is>
      </s:c>
    </s:row>
    <s:row r="4">
      <s:c r="A4" s="2" t="inlineStr">
        <s:is>
          <s:t>Perspective monitoring January 2026</s:t>
        </s:is>
      </s:c>
      <s:c r="B4" s="2" t="inlineStr">
        <s:is>
          <s:t>https://perspective.brussels/fr/actualites/un-etudiant-sur-trois-trouve-un-kot-dans-un-logement-qui-lui-est-destine</s:t>
        </s:is>
      </s:c>
      <s:c r="C4" s="2" t="inlineStr">
        <s:is>
          <s:t>11,305 dedicated units in 2025; around 37,000 housed students in 2022–2023; different reference years</s:t>
        </s:is>
      </s:c>
      <s:c r="D4" s="2" t="inlineStr">
        <s:is>
          <s:t>2026-10-14</s:t>
        </s:is>
      </s:c>
    </s:row>
    <s:row r="5">
      <s:c r="A5" s="3" t="inlineStr">
        <s:is>
          <s:t>Kotkompas pricing 2025–2026</s:t>
        </s:is>
      </s:c>
      <s:c r="B5" s="3" t="inlineStr">
        <s:is>
          <s:t>https://www.diggitstudentlife.eu/sites/default/files/2025-11/Kotkompas%20Pricing%20Update%202025Q4%20-%20E_0.pdf</s:t>
        </s:is>
      </s:c>
      <s:c r="C5" s="3" t="inlineStr">
        <s:is>
          <s:t>Brussels average base rent EUR570 + EUR125 costs = EUR695 total; indicative industry sample</s:t>
        </s:is>
      </s:c>
      <s:c r="D5" s="3" t="inlineStr">
        <s:is>
          <s:t>2026-10-14</s:t>
        </s:is>
      </s:c>
    </s:row>
    <s:row r="6">
      <s:c r="A6" s="2" t="inlineStr">
        <s:is>
          <s:t>Assumption register</s:t>
        </s:is>
      </s:c>
      <s:c r="B6" s="2" t="inlineStr">
        <s:is>
          <s:t>Course model</s:t>
        </s:is>
      </s:c>
      <s:c r="C6" s="2" t="inlineStr">
        <s:is>
          <s:t>All project beds, rents, capex and financial inputs are illustrative; only cited policy shares and benchmark are sourced</s:t>
        </s:is>
      </s:c>
      <s:c r="D6" s="2" t="inlineStr">
        <s:is>
          <s:t>2026-10-14</s:t>
        </s:is>
      </s:c>
    </s:row>
    <s:row r="7">
      <s:c r="A7" s="3" t="inlineStr">
        <s:is>
          <s:t>Assumption register</s:t>
        </s:is>
      </s:c>
      <s:c r="B7" s="3" t="inlineStr">
        <s:is>
          <s:t>Course model</s:t>
        </s:is>
      </s:c>
      <s:c r="C7" s="3" t="inlineStr">
        <s:is>
          <s:t>All project beds, rents, capex and financial inputs are illustrative; only cited policy shares and benchmark are sourced</s:t>
        </s:is>
      </s:c>
      <s:c r="D7" s="3" t="inlineStr">
        <s:is>
          <s:t>2026-10-14</s:t>
        </s:is>
      </s:c>
    </s:row>
  </s:sheetData>
  <s:autoFilter ref="A1:D7"/>
  <s:pageMargins left="0.75" right="0.75" top="1" bottom="1" header="0.5" footer="0.5"/>
</s:worksheet>
</file>

<file path=xl/worksheets/sheet11.xml><?xml version="1.0" encoding="utf-8"?>
<s:worksheet xmlns:s="http://schemas.openxmlformats.org/spreadsheetml/2006/main">
  <s:sheetPr>
    <s:outlinePr summaryBelow="1" summaryRight="1"/>
    <s:pageSetUpPr/>
  </s:sheetPr>
  <s:dimension ref="A1:C7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52" customWidth="1" min="3" max="3"/>
    <s:col width="52" customWidth="1" min="4" max="4"/>
    <s:col width="52" customWidth="1" min="5" max="5"/>
    <s:col width="52" customWidth="1" min="6" max="6"/>
  </s:cols>
  <s:sheetData>
    <s:row r="1" ht="34" customHeight="1">
      <s:c r="A1" s="1" t="inlineStr">
        <s:is>
          <s:t>Check</s:t>
        </s:is>
      </s:c>
      <s:c r="B1" s="1" t="inlineStr">
        <s:is>
          <s:t>Result</s:t>
        </s:is>
      </s:c>
      <s:c r="C1" s="1" t="inlineStr">
        <s:is>
          <s:t>Interpretation</s:t>
        </s:is>
      </s:c>
    </s:row>
    <s:row r="2">
      <s:c r="A2" s="2" t="inlineStr">
        <s:is>
          <s:t>Budget</s:t>
        </s:is>
      </s:c>
      <s:c r="B2" s="2" t="str">
        <s:f>IF('Executive Report'!B9&lt;=Inputs!B2,"PASS","FAIL")</s:f>
        <s:v>PASS</s:v>
      </s:c>
      <s:c r="C2" s="2" t="inlineStr">
        <s:is>
          <s:t>Recommended cost &lt;= budget</s:t>
        </s:is>
      </s:c>
    </s:row>
    <s:row r="3">
      <s:c r="A3" s="3" t="inlineStr">
        <s:is>
          <s:t>Target</s:t>
        </s:is>
      </s:c>
      <s:c r="B3" s="3" t="str">
        <s:f>IF('Executive Report'!B11&gt;=Inputs!B3,"PASS","FAIL")</s:f>
        <s:v>PASS</s:v>
      </s:c>
      <s:c r="C3" s="3" t="inlineStr">
        <s:is>
          <s:t>Affordable beds &gt;= target</s:t>
        </s:is>
      </s:c>
    </s:row>
    <s:row r="4">
      <s:c r="A4" s="2" t="inlineStr">
        <s:is>
          <s:t>Search coverage</s:t>
        </s:is>
      </s:c>
      <s:c r="B4" s="2" t="str">
        <s:f>IF(COUNTA(Portfolios!A2:A257)=256,"PASS","FAIL")</s:f>
        <s:v>PASS</s:v>
      </s:c>
      <s:c r="C4" s="2" t="inlineStr">
        <s:is>
          <s:t>All 2^8 portfolios</s:t>
        </s:is>
      </s:c>
    </s:row>
    <s:row r="5">
      <s:c r="A5" s="3" t="inlineStr">
        <s:is>
          <s:t>Planning validity</s:t>
        </s:is>
      </s:c>
      <s:c r="B5" s="3" t="str">
        <s:f>IF(SUMPRODUCT(Projects!R2:R9,Projects!Q2:Q9)=SUM(Projects!R2:R9),"PASS","FAIL")</s:f>
        <s:v>PASS</s:v>
      </s:c>
      <s:c r="C5" s="3" t="inlineStr">
        <s:is>
          <s:t>Every recommended project satisfies planning checks</s:t>
        </s:is>
      </s:c>
    </s:row>
    <s:row r="6">
      <s:c r="A6" s="2" t="inlineStr">
        <s:is>
          <s:t>Legal approval</s:t>
        </s:is>
      </s:c>
      <s:c r="B6" s="2" t="inlineStr">
        <s:is>
          <s:t>UNVERIFIED</s:t>
        </s:is>
      </s:c>
      <s:c r="C6" s="2" t="inlineStr">
        <s:is>
          <s:t>All municipalities need current project-specific confirmation; no approval inferred</s:t>
        </s:is>
      </s:c>
    </s:row>
    <s:row r="7">
      <s:c r="A7" s="3" t="inlineStr">
        <s:is>
          <s:t>Formula cache</s:t>
        </s:is>
      </s:c>
      <s:c r="B7" s="3" t="inlineStr">
        <s:is>
          <s:t>PASS</s:t>
        </s:is>
      </s:c>
      <s:c r="C7" s="3" t="inlineStr">
        <s:is>
          <s:t>Cached values independently computed at build; Excel recalculates on open</s:t>
        </s:is>
      </s:c>
    </s:row>
  </s:sheetData>
  <s:autoFilter ref="A1:C7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2026-10-14T19:23:55Z</dcterms:created>
  <dcterms:modified xsi:type="dcterms:W3CDTF">2026-10-14T19:23:55Z</dcterms:modified>
</cp:coreProperties>
</file>