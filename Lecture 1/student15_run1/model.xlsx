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report" sheetId="1" state="visible" r:id="rId1"/>
    <sheet name="Inputs" sheetId="2" state="visible" r:id="rId2"/>
    <sheet name="Market evidence" sheetId="3" state="visible" r:id="rId3"/>
    <sheet name="Development budget" sheetId="4" state="visible" r:id="rId4"/>
    <sheet name="Cash flows" sheetId="5" state="visible" r:id="rId5"/>
    <sheet name="Sensitivity" sheetId="6" state="visible" r:id="rId6"/>
    <sheet name="Regulations" sheetId="7" state="visible" r:id="rId7"/>
    <sheet name="Sources" sheetId="8" state="visible" r:id="rId8"/>
    <sheet name="Methods" sheetId="9" state="visible" r:id="rId9"/>
    <sheet name="Scenario cash flows" sheetId="10" state="visible" r:id="rId10"/>
  </sheets>
  <definedNames>
    <definedName name="_xlnm._FilterDatabase" localSheetId="0" hidden="1">'Executive report'!$A$1:$B$29</definedName>
    <definedName name="_xlnm.Print_Titles" localSheetId="0">'Executive report'!$1:$1</definedName>
    <definedName name="_xlnm._FilterDatabase" localSheetId="1" hidden="1">'Inputs'!$A$1:$E$30</definedName>
    <definedName name="_xlnm.Print_Titles" localSheetId="1">'Inputs'!$1:$1</definedName>
    <definedName name="_xlnm._FilterDatabase" localSheetId="2" hidden="1">'Market evidence'!$A$1:$C$12</definedName>
    <definedName name="_xlnm.Print_Titles" localSheetId="2">'Market evidence'!$1:$1</definedName>
    <definedName name="_xlnm._FilterDatabase" localSheetId="3" hidden="1">'Development budget'!$A$1:$C$9</definedName>
    <definedName name="_xlnm.Print_Titles" localSheetId="3">'Development budget'!$1:$1</definedName>
    <definedName name="_xlnm._FilterDatabase" localSheetId="4" hidden="1">'Cash flows'!$A$1:$S$33</definedName>
    <definedName name="_xlnm.Print_Titles" localSheetId="4">'Cash flows'!$1:$1</definedName>
    <definedName name="_xlnm._FilterDatabase" localSheetId="5" hidden="1">'Sensitivity'!$A$1:$H$7</definedName>
    <definedName name="_xlnm.Print_Titles" localSheetId="5">'Sensitivity'!$1:$1</definedName>
    <definedName name="_xlnm._FilterDatabase" localSheetId="6" hidden="1">'Regulations'!$A$1:$C$6</definedName>
    <definedName name="_xlnm.Print_Titles" localSheetId="6">'Regulations'!$1:$1</definedName>
    <definedName name="_xlnm._FilterDatabase" localSheetId="7" hidden="1">'Sources'!$A$1:$F$7</definedName>
    <definedName name="_xlnm.Print_Titles" localSheetId="7">'Sources'!$1:$1</definedName>
    <definedName name="_xlnm._FilterDatabase" localSheetId="8" hidden="1">'Methods'!$A$1:$B$12</definedName>
    <definedName name="_xlnm.Print_Titles" localSheetId="8">'Methods'!$1:$1</definedName>
    <definedName name="_xlnm._FilterDatabase" localSheetId="9" hidden="1">'Scenario cash flows'!$A$1:$G$33</definedName>
    <definedName name="_xlnm.Print_Titles" localSheetId="9">'Scenario cash flows'!$1:$1</definedName>
  </definedNames>
  <calcPr calcId="191029" fullCalcOnLoad="1"/>
</workbook>
</file>

<file path=xl/styles.xml><?xml version="1.0" encoding="utf-8"?>
<styleSheet xmlns="http://schemas.openxmlformats.org/spreadsheetml/2006/main">
  <numFmts count="2">
    <numFmt numFmtId="164" formatCode="#,##0.00;[Red](#,##0.00)"/>
    <numFmt numFmtId="165" formatCode="0.0%"/>
  </numFmts>
  <fonts count="5">
    <font>
      <name val="Calibri"/>
      <family val="2"/>
      <color theme="1"/>
      <sz val="11"/>
      <scheme val="minor"/>
    </font>
    <font>
      <b val="1"/>
      <color rgb="00FFFFFF"/>
    </font>
    <font>
      <color rgb="00172B4D"/>
    </font>
    <font>
      <color rgb="001565C0"/>
    </font>
    <font>
      <color rgb="0000804A"/>
    </font>
  </fonts>
  <fills count="5">
    <fill>
      <patternFill/>
    </fill>
    <fill>
      <patternFill patternType="gray125"/>
    </fill>
    <fill>
      <patternFill patternType="solid">
        <fgColor rgb="0016324F"/>
      </patternFill>
    </fill>
    <fill>
      <patternFill patternType="solid">
        <fgColor rgb="00EDF4FF"/>
      </patternFill>
    </fill>
    <fill>
      <patternFill patternType="solid">
        <fgColor rgb="00E9F6E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0" applyAlignment="1" pivotButton="0" quotePrefix="0" xfId="0">
      <alignment vertical="top" wrapText="1"/>
    </xf>
    <xf numFmtId="164" fontId="2" fillId="0" borderId="0" applyAlignment="1" pivotButton="0" quotePrefix="0" xfId="0">
      <alignment vertical="top" wrapText="1"/>
    </xf>
    <xf numFmtId="10" fontId="2" fillId="0" borderId="0" applyAlignment="1" pivotButton="0" quotePrefix="0" xfId="0">
      <alignment vertical="top" wrapText="1"/>
    </xf>
    <xf numFmtId="0" fontId="3" fillId="3" borderId="0" applyAlignment="1" pivotButton="0" quotePrefix="0" xfId="0">
      <alignment vertical="top" wrapText="1"/>
    </xf>
    <xf numFmtId="0" fontId="4" fillId="4" borderId="0" applyAlignment="1" pivotButton="0" quotePrefix="0" xfId="0">
      <alignment vertical="top" wrapText="1"/>
    </xf>
    <xf numFmtId="165" fontId="3" fillId="3" borderId="0" applyAlignment="1" pivotButton="0" quotePrefix="0" xfId="0">
      <alignment vertical="top" wrapText="1"/>
    </xf>
    <xf numFmtId="165"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p>
            <a:pPr>
              <a:defRPr/>
            </a:pPr>
            <a:r>
              <a:t>Cumulative project cash flows</a:t>
            </a:r>
          </a:p>
        </rich>
      </tx>
    </title>
    <plotArea>
      <lineChart>
        <grouping val="standard"/>
        <ser>
          <idx val="0"/>
          <order val="0"/>
          <tx>
            <strRef>
              <f>'Cash flows'!O1</f>
            </strRef>
          </tx>
          <spPr>
            <a:ln>
              <a:prstDash val="solid"/>
            </a:ln>
          </spPr>
          <marker>
            <symbol val="none"/>
            <spPr>
              <a:ln>
                <a:prstDash val="solid"/>
              </a:ln>
            </spPr>
          </marker>
          <cat>
            <numRef>
              <f>'Cash flows'!$A$2:$A$33</f>
            </numRef>
          </cat>
          <val>
            <numRef>
              <f>'Cash flows'!$O$2:$O$33</f>
            </numRef>
          </val>
        </ser>
        <ser>
          <idx val="1"/>
          <order val="1"/>
          <tx>
            <strRef>
              <f>'Cash flows'!P1</f>
            </strRef>
          </tx>
          <spPr>
            <a:ln>
              <a:prstDash val="solid"/>
            </a:ln>
          </spPr>
          <marker>
            <symbol val="none"/>
            <spPr>
              <a:ln>
                <a:prstDash val="solid"/>
              </a:ln>
            </spPr>
          </marker>
          <cat>
            <numRef>
              <f>'Cash flows'!$A$2:$A$33</f>
            </numRef>
          </cat>
          <val>
            <numRef>
              <f>'Cash flows'!$P$2:$P$33</f>
            </numRef>
          </val>
        </ser>
        <axId val="10"/>
        <axId val="100"/>
      </lineChart>
      <catAx>
        <axId val="10"/>
        <scaling>
          <orientation val="minMax"/>
        </scaling>
        <axPos val="l"/>
        <title>
          <tx>
            <rich>
              <a:bodyPr/>
              <a:p>
                <a:pPr>
                  <a:defRPr/>
                </a:pPr>
                <a:r>
                  <a:t>Year</a:t>
                </a:r>
              </a:p>
            </rich>
          </tx>
        </title>
        <majorTickMark val="none"/>
        <minorTickMark val="none"/>
        <crossAx val="100"/>
        <lblOffset val="100"/>
      </catAx>
      <valAx>
        <axId val="100"/>
        <scaling>
          <orientation val="minMax"/>
        </scaling>
        <axPos val="l"/>
        <majorGridlines/>
        <title>
          <tx>
            <rich>
              <a:bodyPr/>
              <a:p>
                <a:pPr>
                  <a:defRPr/>
                </a:pPr>
                <a:r>
                  <a:t>EUR</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31</row>
      <rowOff>0</rowOff>
    </from>
    <ext cx="9000000" cy="43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8.xml.rels><Relationships xmlns="http://schemas.openxmlformats.org/package/2006/relationships"><Relationship Type="http://schemas.openxmlformats.org/officeDocument/2006/relationships/hyperlink" Target="https://perspective.brussels/sites/default/files/documents/rapport_enquete_panorama_de_la_vie_etudiante.pdf" TargetMode="External" Id="rId1" /><Relationship Type="http://schemas.openxmlformats.org/officeDocument/2006/relationships/hyperlink" Target="https://be.brussels/fr/logement/location/bail-dhabitation/garantie-locative" TargetMode="External" Id="rId2" /><Relationship Type="http://schemas.openxmlformats.org/officeDocument/2006/relationships/hyperlink" Target="https://be.brussels/fr/logement/location/bail-dhabitation/contrat-de-bail-modeles-et-annexe" TargetMode="External" Id="rId3" /><Relationship Type="http://schemas.openxmlformats.org/officeDocument/2006/relationships/hyperlink" Target="https://perspective.brussels/sites/default/files/documents/fr_monitoring_logement_etudiant_final2026.pdf" TargetMode="External" Id="rId4" /><Relationship Type="http://schemas.openxmlformats.org/officeDocument/2006/relationships/hyperlink" Target="https://be.brussels/fr/logement/location/conformite-logement/label-logement-etudiant" TargetMode="External" Id="rId5" /><Relationship Type="http://schemas.openxmlformats.org/officeDocument/2006/relationships/hyperlink" Target="https://statbel.fgov.be/fr/themes/construction-logement/indice-des-prix-des-logements" TargetMode="External" Id="rId6" /></Relationships>
</file>

<file path=xl/worksheets/sheet1.xml><?xml version="1.0" encoding="utf-8"?>
<worksheet xmlns="http://schemas.openxmlformats.org/spreadsheetml/2006/main" xmlns:r="http://schemas.openxmlformats.org/officeDocument/2006/relationships">
  <sheetPr>
    <outlinePr summaryBelow="1" summaryRight="1"/>
    <pageSetUpPr fitToPage="1"/>
  </sheetPr>
  <dimension ref="A1:B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9" customWidth="1" min="1" max="1"/>
    <col width="115" customWidth="1" min="2" max="2"/>
  </cols>
  <sheetData>
    <row r="1" ht="30" customHeight="1">
      <c r="A1" s="1" t="inlineStr">
        <is>
          <t>Brussels student accommodation | decision model</t>
        </is>
      </c>
      <c r="B1" s="1" t="inlineStr">
        <is>
          <t>Value / assessment</t>
        </is>
      </c>
    </row>
    <row r="2" ht="62" customHeight="1">
      <c r="A2" s="2" t="inlineStr">
        <is>
          <t>Decision</t>
        </is>
      </c>
      <c r="B2" s="3" t="str">
        <f>IF(AND(B13&gt;=0,B14&gt;=Inputs!B22),"PASS numerical screen; verify all project inputs before commitment","DEFER: NPV / IRR fail the assumed investment hurdle")</f>
        <v>DEFER: NPV / IRR fail the assumed investment hurdle</v>
      </c>
    </row>
    <row r="3" ht="62" customHeight="1">
      <c r="A3" s="2" t="inlineStr">
        <is>
          <t>Evidence and scope</t>
        </is>
      </c>
      <c r="B3" s="2" t="inlineStr">
        <is>
          <t>Official regional benchmarks + explicitly marked project assumptions. Nominal EUR; unlevered, before income tax; 30 operating years.</t>
        </is>
      </c>
    </row>
    <row r="4">
      <c r="A4" s="2" t="n"/>
      <c r="B4" s="2" t="n"/>
    </row>
    <row r="5">
      <c r="A5" s="2" t="inlineStr">
        <is>
          <t>Policy affordable all-in threshold</t>
        </is>
      </c>
      <c r="B5" s="3">
        <f>Inputs!$B$7*Inputs!$B$8</f>
        <v>250.04999999999998</v>
      </c>
    </row>
    <row r="6">
      <c r="A6" s="2" t="inlineStr">
        <is>
          <t>Affordable rooms</t>
        </is>
      </c>
      <c r="B6" s="3">
        <f>Inputs!$B$2*Inputs!$B$6</f>
        <v>20</v>
      </c>
    </row>
    <row r="7">
      <c r="A7" s="2" t="inlineStr">
        <is>
          <t>Blended all-in monthly price</t>
        </is>
      </c>
      <c r="B7" s="3">
        <f>(1-Inputs!$B$6)*Inputs!$B$3+Inputs!$B$6*MIN(B5,Inputs!$B$3)</f>
        <v>530.01</v>
      </c>
    </row>
    <row r="8">
      <c r="A8" s="2" t="inlineStr">
        <is>
          <t>Monthly rent collection incl bundled charges</t>
        </is>
      </c>
      <c r="B8" s="3">
        <f>B7-(1-Inputs!$B$5)*Inputs!$B$4</f>
        <v>530.01</v>
      </c>
    </row>
    <row r="9">
      <c r="A9" s="2" t="inlineStr">
        <is>
          <t>Separate monthly utility charge</t>
        </is>
      </c>
      <c r="B9" s="3">
        <f>(1-Inputs!$B$5)*Inputs!$B$4</f>
        <v>0</v>
      </c>
    </row>
    <row r="10">
      <c r="A10" s="2" t="inlineStr">
        <is>
          <t>Maximum deposit / market room</t>
        </is>
      </c>
      <c r="B10" s="3">
        <f>Inputs!$B$27*MAX(0,Inputs!$B$3-Inputs!$B$4)</f>
        <v>1050</v>
      </c>
    </row>
    <row r="11">
      <c r="A11" s="2" t="inlineStr">
        <is>
          <t>Initial investment</t>
        </is>
      </c>
      <c r="B11" s="3">
        <f>'Development budget'!B9</f>
        <v>11538752.0</v>
      </c>
    </row>
    <row r="12">
      <c r="A12" s="2" t="inlineStr">
        <is>
          <t>Average base rent excluding utility charges</t>
        </is>
      </c>
      <c r="B12" s="3">
        <f>B7-Inputs!$B$4</f>
        <v>455.01</v>
      </c>
    </row>
    <row r="13">
      <c r="A13" s="2" t="inlineStr">
        <is>
          <t>Net present value (NPV)</t>
        </is>
      </c>
      <c r="B13" s="3">
        <f>NPV(Inputs!B22,'Cash flows'!L3:L33)+'Cash flows'!L2</f>
        <v>-5367708.16580499</v>
      </c>
    </row>
    <row r="14">
      <c r="A14" s="2" t="inlineStr">
        <is>
          <t>Internal rate of return (IRR)</t>
        </is>
      </c>
      <c r="B14" s="4">
        <f>IFERROR(IRR('Cash flows'!L2:L33),"No IRR")</f>
        <v>0.034478350972612426</v>
      </c>
    </row>
    <row r="15">
      <c r="A15" s="2" t="inlineStr">
        <is>
          <t>Simple payback incl sale (years)</t>
        </is>
      </c>
      <c r="B15" s="3">
        <f>IF(SUM('Cash flows'!R3:R33)=0,"Not recovered",SUM('Cash flows'!R3:R33))</f>
        <v>27.099085056175266</v>
      </c>
    </row>
    <row r="16">
      <c r="A16" s="2" t="inlineStr">
        <is>
          <t>Discounted payback incl sale (years)</t>
        </is>
      </c>
      <c r="B16" s="3" t="str">
        <f>IF(SUM('Cash flows'!S3:S33)=0,"Not recovered",SUM('Cash flows'!S3:S33))</f>
        <v>Not recovered</v>
      </c>
    </row>
    <row r="17">
      <c r="A17" s="2" t="inlineStr">
        <is>
          <t>Operating-only recovery by horizon</t>
        </is>
      </c>
      <c r="B17" s="3" t="str">
        <f>IF('Cash flows'!Q33&gt;=0,"Recovered","Not recovered")</f>
        <v>Recovered</v>
      </c>
    </row>
    <row r="18">
      <c r="A18" s="2" t="inlineStr">
        <is>
          <t>First operating-year NOI</t>
        </is>
      </c>
      <c r="B18" s="3">
        <f>'Cash flows'!I4</f>
        <v>352711.4</v>
      </c>
    </row>
    <row r="19">
      <c r="A19" s="2" t="inlineStr">
        <is>
          <t>NPV break-even initial spend</t>
        </is>
      </c>
      <c r="B19" s="3">
        <f>B11+B13</f>
        <v>6171043.83419501</v>
      </c>
    </row>
    <row r="20">
      <c r="A20" s="2" t="n"/>
      <c r="B20" s="2" t="n"/>
    </row>
    <row r="21" ht="62" customHeight="1">
      <c r="A21" s="2" t="inlineStr">
        <is>
          <t>Interpretation</t>
        </is>
      </c>
      <c r="B21" s="2" t="inlineStr">
        <is>
          <t>The default case mixes 80% market rooms with 20% policy affordable rooms. Results are illustrative, not an official forecast. Negative NPV and IRR below the hurdle argue against this budget.</t>
        </is>
      </c>
    </row>
    <row r="22" ht="62" customHeight="1">
      <c r="A22" s="2" t="inlineStr">
        <is>
          <t>Affordability</t>
        </is>
      </c>
      <c r="B22" s="2" t="inlineStr">
        <is>
          <t>A 30% housing share of the reported student-housing budget gives a policy ceiling of EUR250.05 including utilities. Spending budget is not income; this is a chosen policy, not a legal threshold. Compare EUR525 shared median and EUR600 all-in median (S1).</t>
        </is>
      </c>
    </row>
    <row r="23" ht="62" customHeight="1">
      <c r="A23" s="2" t="inlineStr">
        <is>
          <t>Advantages</t>
        </is>
      </c>
      <c r="B23" s="2" t="inlineStr">
        <is>
          <t>Adds purpose-built beds, may reduce pressure on ordinary housing and deliver efficient, accessible accommodation. Campus proximity and transparent all-in charges can support tenant appeal. These benefits do not establish profitable occupancy.</t>
        </is>
      </c>
    </row>
    <row r="24" ht="62" customHeight="1">
      <c r="A24" s="2" t="inlineStr">
        <is>
          <t>Drawbacks</t>
        </is>
      </c>
      <c r="B24" s="2" t="inlineStr">
        <is>
          <t>Land and build cost uncertainty; permits and construction delays; annual turnover and summer vacancies; affordable rents reduce receipts; energy, repair and major replacement exposure; competition and terminal valuation risk.</t>
        </is>
      </c>
    </row>
    <row r="25" ht="62" customHeight="1">
      <c r="A25" s="2" t="inlineStr">
        <is>
          <t>Location recommendation</t>
        </is>
      </c>
      <c r="B25" s="2" t="inlineStr">
        <is>
          <t>Shortlist sites near target campuses and transit, then compare acquisition price, zoning, walking time, safety and local competing pipeline. Ixelles/Etterbeek, central Brussels, Alma and Erasme/CERIA are candidate campus areas, not an official location ranking (S1 p8).</t>
        </is>
      </c>
    </row>
    <row r="26" ht="62" customHeight="1">
      <c r="A26" s="2" t="inlineStr">
        <is>
          <t>Investment gates</t>
        </is>
      </c>
      <c r="B26" s="2" t="inlineStr">
        <is>
          <t>Obtain site valuation, quantity-surveyor budget, tax treatment, operator cost plan, current rent comparables, vacancies, planning/fire/energy approvals and campus-specific demand evidence. Proceed only if updated NPV &gt;= 0, IRR &gt;= hurdle and the affordable share remains deliverable.</t>
        </is>
      </c>
    </row>
    <row r="27" ht="62" customHeight="1">
      <c r="A27" s="2" t="inlineStr">
        <is>
          <t>Material limits</t>
        </is>
      </c>
      <c r="B27" s="2" t="inlineStr">
        <is>
          <t>Income tax, debt, interest, construction payment phasing, working capital and grants are excluded. Property tax is an unverified component of other operating expenses. Deposits are refundable liabilities, excluded from revenue and project returns.</t>
        </is>
      </c>
    </row>
    <row r="28" ht="62" customHeight="1">
      <c r="A28" s="2" t="inlineStr">
        <is>
          <t>Timing and payback</t>
        </is>
      </c>
      <c r="B28" s="2" t="inlineStr">
        <is>
          <t>All cost at t=0; opening after one full year; first receipts at t=2; sale at t=31. Payback interpolates the crossing year and can depend on sale; operating-only recovery is separately shown. Annual timing is a simplification.</t>
        </is>
      </c>
    </row>
    <row r="29" ht="62" customHeight="1">
      <c r="A29" s="2" t="inlineStr">
        <is>
          <t>Use</t>
        </is>
      </c>
      <c r="B29" s="2" t="inlineStr">
        <is>
          <t>Blue inputs are editable assumptions; green inputs are official historical benchmarks. Workbook recalculates in Excel. Operating years and opening delay are fixed to this timeline and locked by validation; change code to extend it.</t>
        </is>
      </c>
    </row>
  </sheetData>
  <autoFilter ref="A1:B29"/>
  <pageMargins left="0.75" right="0.75" top="1" bottom="1" header="0.5" footer="0.5"/>
  <pageSetup orientation="landscape" paperSize="9" fitToHeight="0" fitToWidth="1"/>
  <drawing r:id="rId1"/>
</worksheet>
</file>

<file path=xl/worksheets/sheet2.xml><?xml version="1.0" encoding="utf-8"?>
<worksheet xmlns="http://schemas.openxmlformats.org/spreadsheetml/2006/main">
  <sheetPr>
    <outlinePr summaryBelow="1" summaryRight="1"/>
    <pageSetUpPr fitToPage="1"/>
  </sheetPr>
  <dimension ref="A1:E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9" customWidth="1" min="1" max="1"/>
    <col width="23" customWidth="1" min="2" max="2"/>
    <col width="23" customWidth="1" min="3" max="3"/>
    <col width="46" customWidth="1" min="4" max="4"/>
    <col width="46" customWidth="1" min="5" max="5"/>
  </cols>
  <sheetData>
    <row r="1">
      <c r="A1" s="1" t="inlineStr">
        <is>
          <t>Input</t>
        </is>
      </c>
      <c r="B1" s="1" t="inlineStr">
        <is>
          <t>Value</t>
        </is>
      </c>
      <c r="C1" s="1" t="inlineStr">
        <is>
          <t>Unit</t>
        </is>
      </c>
      <c r="D1" s="1" t="inlineStr">
        <is>
          <t>Classification</t>
        </is>
      </c>
      <c r="E1" s="1" t="inlineStr">
        <is>
          <t>Source / interpretation</t>
        </is>
      </c>
    </row>
    <row r="2">
      <c r="A2" s="2" t="inlineStr">
        <is>
          <t>Rooms</t>
        </is>
      </c>
      <c r="B2" s="5" t="n">
        <v>100</v>
      </c>
      <c r="C2" s="2" t="inlineStr">
        <is>
          <t>rooms</t>
        </is>
      </c>
      <c r="D2" s="2" t="inlineStr">
        <is>
          <t>ASSUMPTION</t>
        </is>
      </c>
      <c r="E2" s="2" t="inlineStr">
        <is>
          <t>Design brief required</t>
        </is>
      </c>
    </row>
    <row r="3">
      <c r="A3" s="2" t="inlineStr">
        <is>
          <t>Market all-in monthly price</t>
        </is>
      </c>
      <c r="B3" s="6" t="n">
        <v>600</v>
      </c>
      <c r="C3" s="2" t="inlineStr">
        <is>
          <t>EUR/room/month</t>
        </is>
      </c>
      <c r="D3" s="2" t="inlineStr">
        <is>
          <t>OFFICIAL BENCHMARK</t>
        </is>
      </c>
      <c r="E3" s="2" t="inlineStr">
        <is>
          <t>S1 p55; survey 2023–24, all typologies; not a 2026 quotation</t>
        </is>
      </c>
    </row>
    <row r="4">
      <c r="A4" s="2" t="inlineStr">
        <is>
          <t>Monthly utility cost</t>
        </is>
      </c>
      <c r="B4" s="5" t="n">
        <v>75</v>
      </c>
      <c r="C4" s="2" t="inlineStr">
        <is>
          <t>EUR/occupied room/month</t>
        </is>
      </c>
      <c r="D4" s="2" t="inlineStr">
        <is>
          <t>ASSUMPTION</t>
        </is>
      </c>
      <c r="E4" s="2" t="inlineStr">
        <is>
          <t>Obtain energy/water/service quotes</t>
        </is>
      </c>
    </row>
    <row r="5">
      <c r="A5" s="2" t="inlineStr">
        <is>
          <t>Utilities included? (1=yes; 0=separate)</t>
        </is>
      </c>
      <c r="B5" s="5" t="n">
        <v>1</v>
      </c>
      <c r="C5" s="2" t="inlineStr">
        <is>
          <t>binary</t>
        </is>
      </c>
      <c r="D5" s="2" t="inlineStr">
        <is>
          <t>POLICY</t>
        </is>
      </c>
      <c r="E5" s="2" t="inlineStr">
        <is>
          <t>All-in affordability is unchanged by billing mode</t>
        </is>
      </c>
    </row>
    <row r="6">
      <c r="A6" s="2" t="inlineStr">
        <is>
          <t>Affordable room share</t>
        </is>
      </c>
      <c r="B6" s="7" t="n">
        <v>0.2</v>
      </c>
      <c r="C6" s="2" t="inlineStr">
        <is>
          <t>fraction</t>
        </is>
      </c>
      <c r="D6" s="2" t="inlineStr">
        <is>
          <t>POLICY</t>
        </is>
      </c>
      <c r="E6" s="2" t="inlineStr">
        <is>
          <t>20% illustrative project commitment</t>
        </is>
      </c>
    </row>
    <row r="7">
      <c r="A7" s="2" t="inlineStr">
        <is>
          <t>Housing share of student budget</t>
        </is>
      </c>
      <c r="B7" s="7" t="n">
        <v>0.3</v>
      </c>
      <c r="C7" s="2" t="inlineStr">
        <is>
          <t>fraction</t>
        </is>
      </c>
      <c r="D7" s="2" t="inlineStr">
        <is>
          <t>POLICY</t>
        </is>
      </c>
      <c r="E7" s="2" t="inlineStr">
        <is>
          <t>30% illustrative; no official student affordability threshold found</t>
        </is>
      </c>
    </row>
    <row r="8">
      <c r="A8" s="2" t="inlineStr">
        <is>
          <t>Student housing monthly budget</t>
        </is>
      </c>
      <c r="B8" s="6" t="n">
        <v>833.5</v>
      </c>
      <c r="C8" s="2" t="inlineStr">
        <is>
          <t>EUR/month</t>
        </is>
      </c>
      <c r="D8" s="2" t="inlineStr">
        <is>
          <t>OFFICIAL BENCHMARK</t>
        </is>
      </c>
      <c r="E8" s="2" t="inlineStr">
        <is>
          <t>S1 p110; mean spending budget, not household income</t>
        </is>
      </c>
    </row>
    <row r="9">
      <c r="A9" s="2" t="inlineStr">
        <is>
          <t>Paid months per year</t>
        </is>
      </c>
      <c r="B9" s="5" t="n">
        <v>12</v>
      </c>
      <c r="C9" s="2" t="inlineStr">
        <is>
          <t>months</t>
        </is>
      </c>
      <c r="D9" s="2" t="inlineStr">
        <is>
          <t>ASSUMPTION</t>
        </is>
      </c>
      <c r="E9" s="2" t="inlineStr">
        <is>
          <t>S3 maximum lease 12 months does not ensure collection for 12 months</t>
        </is>
      </c>
    </row>
    <row r="10">
      <c r="A10" s="2" t="inlineStr">
        <is>
          <t>Occupancy / collection factor</t>
        </is>
      </c>
      <c r="B10" s="7" t="n">
        <v>0.95</v>
      </c>
      <c r="C10" s="2" t="inlineStr">
        <is>
          <t>fraction</t>
        </is>
      </c>
      <c r="D10" s="2" t="inlineStr">
        <is>
          <t>ASSUMPTION</t>
        </is>
      </c>
      <c r="E10" s="2" t="inlineStr">
        <is>
          <t>Vacancy and nonpayment combined; not official occupancy</t>
        </is>
      </c>
    </row>
    <row r="11">
      <c r="A11" s="2" t="inlineStr">
        <is>
          <t>Gross floor area per room</t>
        </is>
      </c>
      <c r="B11" s="5" t="n">
        <v>30</v>
      </c>
      <c r="C11" s="2" t="inlineStr">
        <is>
          <t>m2/room</t>
        </is>
      </c>
      <c r="D11" s="2" t="inlineStr">
        <is>
          <t>ASSUMPTION</t>
        </is>
      </c>
      <c r="E11" s="2" t="inlineStr">
        <is>
          <t>Includes common space; architect must verify</t>
        </is>
      </c>
    </row>
    <row r="12">
      <c r="A12" s="2" t="inlineStr">
        <is>
          <t>Construction unit cost ex VAT</t>
        </is>
      </c>
      <c r="B12" s="5" t="n">
        <v>2200</v>
      </c>
      <c r="C12" s="2" t="inlineStr">
        <is>
          <t>EUR/m2</t>
        </is>
      </c>
      <c r="D12" s="2" t="inlineStr">
        <is>
          <t>ASSUMPTION</t>
        </is>
      </c>
      <c r="E12" s="2" t="inlineStr">
        <is>
          <t>No official Brussels PBSA EUR/m2 quotation verified</t>
        </is>
      </c>
    </row>
    <row r="13">
      <c r="A13" s="2" t="inlineStr">
        <is>
          <t>Land and acquisition all-in</t>
        </is>
      </c>
      <c r="B13" s="5" t="n">
        <v>1500000</v>
      </c>
      <c r="C13" s="2" t="inlineStr">
        <is>
          <t>EUR</t>
        </is>
      </c>
      <c r="D13" s="2" t="inlineStr">
        <is>
          <t>ASSUMPTION</t>
        </is>
      </c>
      <c r="E13" s="2" t="inlineStr">
        <is>
          <t>Include land purchase tax and fees; obtain site valuation</t>
        </is>
      </c>
    </row>
    <row r="14">
      <c r="A14" s="2" t="inlineStr">
        <is>
          <t>Professional fees / hard cost</t>
        </is>
      </c>
      <c r="B14" s="7" t="n">
        <v>0.12</v>
      </c>
      <c r="C14" s="2" t="inlineStr">
        <is>
          <t>fraction</t>
        </is>
      </c>
      <c r="D14" s="2" t="inlineStr">
        <is>
          <t>ASSUMPTION</t>
        </is>
      </c>
      <c r="E14" s="2" t="inlineStr">
        <is>
          <t>Design, permits and project management</t>
        </is>
      </c>
    </row>
    <row r="15">
      <c r="A15" s="2" t="inlineStr">
        <is>
          <t>Contingency / hard cost plus fees</t>
        </is>
      </c>
      <c r="B15" s="7" t="n">
        <v>0.1</v>
      </c>
      <c r="C15" s="2" t="inlineStr">
        <is>
          <t>fraction</t>
        </is>
      </c>
      <c r="D15" s="2" t="inlineStr">
        <is>
          <t>ASSUMPTION</t>
        </is>
      </c>
      <c r="E15" s="2" t="inlineStr">
        <is>
          <t>Cost overrun allowance</t>
        </is>
      </c>
    </row>
    <row r="16">
      <c r="A16" s="2" t="inlineStr">
        <is>
          <t>Effective unrecoverable VAT on works</t>
        </is>
      </c>
      <c r="B16" s="7" t="n">
        <v>0.21</v>
      </c>
      <c r="C16" s="2" t="inlineStr">
        <is>
          <t>fraction</t>
        </is>
      </c>
      <c r="D16" s="2" t="inlineStr">
        <is>
          <t>ASSUMPTION</t>
        </is>
      </c>
      <c r="E16" s="2" t="inlineStr">
        <is>
          <t>Conservative budget allowance, not tax advice; verify entity and regime</t>
        </is>
      </c>
    </row>
    <row r="17">
      <c r="A17" s="2" t="inlineStr">
        <is>
          <t>Furniture per room all-in</t>
        </is>
      </c>
      <c r="B17" s="5" t="n">
        <v>2000</v>
      </c>
      <c r="C17" s="2" t="inlineStr">
        <is>
          <t>EUR/room</t>
        </is>
      </c>
      <c r="D17" s="2" t="inlineStr">
        <is>
          <t>ASSUMPTION</t>
        </is>
      </c>
      <c r="E17" s="2" t="inlineStr">
        <is>
          <t>Supplier quote required</t>
        </is>
      </c>
    </row>
    <row r="18">
      <c r="A18" s="2" t="inlineStr">
        <is>
          <t>Annual maintenance / hard cost</t>
        </is>
      </c>
      <c r="B18" s="7" t="n">
        <v>0.01</v>
      </c>
      <c r="C18" s="2" t="inlineStr">
        <is>
          <t>fraction</t>
        </is>
      </c>
      <c r="D18" s="2" t="inlineStr">
        <is>
          <t>ASSUMPTION</t>
        </is>
      </c>
      <c r="E18" s="2" t="inlineStr">
        <is>
          <t>Cash maintenance; obtain lifecycle plan</t>
        </is>
      </c>
    </row>
    <row r="19">
      <c r="A19" s="2" t="inlineStr">
        <is>
          <t>Annual other operating expenses</t>
        </is>
      </c>
      <c r="B19" s="5" t="n">
        <v>100000</v>
      </c>
      <c r="C19" s="2" t="inlineStr">
        <is>
          <t>EUR/year</t>
        </is>
      </c>
      <c r="D19" s="2" t="inlineStr">
        <is>
          <t>ASSUMPTION</t>
        </is>
      </c>
      <c r="E19" s="2" t="inlineStr">
        <is>
          <t>Management, insurance, property tax, common areas; replace with quotes</t>
        </is>
      </c>
    </row>
    <row r="20">
      <c r="A20" s="2" t="inlineStr">
        <is>
          <t>Nominal annual rent growth</t>
        </is>
      </c>
      <c r="B20" s="7" t="n">
        <v>0.02</v>
      </c>
      <c r="C20" s="2" t="inlineStr">
        <is>
          <t>fraction</t>
        </is>
      </c>
      <c r="D20" s="2" t="inlineStr">
        <is>
          <t>ASSUMPTION</t>
        </is>
      </c>
      <c r="E20" s="2" t="inlineStr">
        <is>
          <t>Forecast, not actual statutory indexation</t>
        </is>
      </c>
    </row>
    <row r="21">
      <c r="A21" s="2" t="inlineStr">
        <is>
          <t>Nominal annual cost growth</t>
        </is>
      </c>
      <c r="B21" s="7" t="n">
        <v>0.02</v>
      </c>
      <c r="C21" s="2" t="inlineStr">
        <is>
          <t>fraction</t>
        </is>
      </c>
      <c r="D21" s="2" t="inlineStr">
        <is>
          <t>ASSUMPTION</t>
        </is>
      </c>
      <c r="E21" s="2" t="inlineStr">
        <is>
          <t>Forecast; future inflation is unknown</t>
        </is>
      </c>
    </row>
    <row r="22">
      <c r="A22" s="2" t="inlineStr">
        <is>
          <t>Nominal required return</t>
        </is>
      </c>
      <c r="B22" s="7" t="n">
        <v>0.07000000000000001</v>
      </c>
      <c r="C22" s="2" t="inlineStr">
        <is>
          <t>fraction</t>
        </is>
      </c>
      <c r="D22" s="2" t="inlineStr">
        <is>
          <t>INVESTOR INPUT</t>
        </is>
      </c>
      <c r="E22" s="2" t="inlineStr">
        <is>
          <t>Unlevered pre-income-tax hurdle</t>
        </is>
      </c>
    </row>
    <row r="23">
      <c r="A23" s="2" t="inlineStr">
        <is>
          <t>Operating years</t>
        </is>
      </c>
      <c r="B23" s="5" t="n">
        <v>30</v>
      </c>
      <c r="C23" s="2" t="inlineStr">
        <is>
          <t>years</t>
        </is>
      </c>
      <c r="D23" s="2" t="inlineStr">
        <is>
          <t>INVESTOR INPUT</t>
        </is>
      </c>
      <c r="E23" s="2" t="inlineStr">
        <is>
          <t>Fixed model horizon: 30 years</t>
        </is>
      </c>
    </row>
    <row r="24">
      <c r="A24" s="2" t="inlineStr">
        <is>
          <t>Years to opening</t>
        </is>
      </c>
      <c r="B24" s="5" t="n">
        <v>1</v>
      </c>
      <c r="C24" s="2" t="inlineStr">
        <is>
          <t>years</t>
        </is>
      </c>
      <c r="D24" s="2" t="inlineStr">
        <is>
          <t>ASSUMPTION</t>
        </is>
      </c>
      <c r="E24" s="2" t="inlineStr">
        <is>
          <t>Whole-year delay; all development spending at time zero</t>
        </is>
      </c>
    </row>
    <row r="25">
      <c r="A25" s="2" t="inlineStr">
        <is>
          <t>Terminal capitalization rate</t>
        </is>
      </c>
      <c r="B25" s="7" t="n">
        <v>0.06</v>
      </c>
      <c r="C25" s="2" t="inlineStr">
        <is>
          <t>fraction</t>
        </is>
      </c>
      <c r="D25" s="2" t="inlineStr">
        <is>
          <t>ASSUMPTION</t>
        </is>
      </c>
      <c r="E25" s="2" t="inlineStr">
        <is>
          <t>Sale on next-year NOI; not official market yield</t>
        </is>
      </c>
    </row>
    <row r="26">
      <c r="A26" s="2" t="inlineStr">
        <is>
          <t>Terminal selling cost</t>
        </is>
      </c>
      <c r="B26" s="7" t="n">
        <v>0.02</v>
      </c>
      <c r="C26" s="2" t="inlineStr">
        <is>
          <t>fraction</t>
        </is>
      </c>
      <c r="D26" s="2" t="inlineStr">
        <is>
          <t>ASSUMPTION</t>
        </is>
      </c>
      <c r="E26" s="2" t="inlineStr">
        <is>
          <t>Deducted from terminal gross sale</t>
        </is>
      </c>
    </row>
    <row r="27">
      <c r="A27" s="2" t="inlineStr">
        <is>
          <t>Deposit months requested</t>
        </is>
      </c>
      <c r="B27" s="5" t="n">
        <v>2</v>
      </c>
      <c r="C27" s="2" t="inlineStr">
        <is>
          <t>months</t>
        </is>
      </c>
      <c r="D27" s="2" t="inlineStr">
        <is>
          <t>POLICY / LEGAL CAP</t>
        </is>
      </c>
      <c r="E27" s="2" t="inlineStr">
        <is>
          <t>S2 maximum two months; average actual deposit unknown</t>
        </is>
      </c>
    </row>
    <row r="28">
      <c r="A28" s="2" t="inlineStr">
        <is>
          <t>Major replacement year</t>
        </is>
      </c>
      <c r="B28" s="5" t="n">
        <v>15</v>
      </c>
      <c r="C28" s="2" t="inlineStr">
        <is>
          <t>operating year</t>
        </is>
      </c>
      <c r="D28" s="2" t="inlineStr">
        <is>
          <t>ASSUMPTION</t>
        </is>
      </c>
      <c r="E28" s="2" t="inlineStr">
        <is>
          <t>Furniture/plant replacement</t>
        </is>
      </c>
    </row>
    <row r="29">
      <c r="A29" s="2" t="inlineStr">
        <is>
          <t>Major replacement amount year-1 prices</t>
        </is>
      </c>
      <c r="B29" s="5" t="n">
        <v>300000</v>
      </c>
      <c r="C29" s="2" t="inlineStr">
        <is>
          <t>EUR</t>
        </is>
      </c>
      <c r="D29" s="2" t="inlineStr">
        <is>
          <t>ASSUMPTION</t>
        </is>
      </c>
      <c r="E29" s="2" t="inlineStr">
        <is>
          <t>Escalated with cost growth; distinct from recurring maintenance</t>
        </is>
      </c>
    </row>
    <row r="30">
      <c r="A30" s="2" t="inlineStr">
        <is>
          <t>Include terminal sale (1/0)</t>
        </is>
      </c>
      <c r="B30" s="5" t="n">
        <v>1</v>
      </c>
      <c r="C30" s="2" t="inlineStr">
        <is>
          <t>binary</t>
        </is>
      </c>
      <c r="D30" s="2" t="inlineStr">
        <is>
          <t>INVESTOR INPUT</t>
        </is>
      </c>
      <c r="E30" s="2" t="inlineStr">
        <is>
          <t>Test zero for no-sale downside</t>
        </is>
      </c>
    </row>
  </sheetData>
  <autoFilter ref="A1:E30"/>
  <dataValidations count="29">
    <dataValidation sqref="B2" showDropDown="0" showInputMessage="0" showErrorMessage="1" allowBlank="0" errorTitle="Invalid input" error="Use a nonnegative value" type="decimal" operator="between">
      <formula1>0</formula1>
      <formula2>1000000000.0</formula2>
    </dataValidation>
    <dataValidation sqref="B3" showDropDown="0" showInputMessage="0" showErrorMessage="1" allowBlank="0" errorTitle="Invalid input" error="Use a nonnegative value" type="decimal" operator="between">
      <formula1>0</formula1>
      <formula2>1000000000.0</formula2>
    </dataValidation>
    <dataValidation sqref="B4" showDropDown="0" showInputMessage="0" showErrorMessage="1" allowBlank="0" errorTitle="Invalid input" error="Use a nonnegative value" type="decimal" operator="between">
      <formula1>0</formula1>
      <formula2>1000000000.0</formula2>
    </dataValidation>
    <dataValidation sqref="B5" showDropDown="0" showInputMessage="0" showErrorMessage="1" allowBlank="0" errorTitle="Invalid input" error="Use a nonnegative value" type="whole" operator="between">
      <formula1>0</formula1>
      <formula2>1</formula2>
    </dataValidation>
    <dataValidation sqref="B6" showDropDown="0" showInputMessage="0" showErrorMessage="1" allowBlank="0" errorTitle="Invalid input" error="Use a nonnegative value" type="decimal" operator="between">
      <formula1>0</formula1>
      <formula2>1</formula2>
    </dataValidation>
    <dataValidation sqref="B7" showDropDown="0" showInputMessage="0" showErrorMessage="1" allowBlank="0" errorTitle="Invalid input" error="Use a nonnegative value" type="decimal" operator="between">
      <formula1>0</formula1>
      <formula2>1</formula2>
    </dataValidation>
    <dataValidation sqref="B8" showDropDown="0" showInputMessage="0" showErrorMessage="1" allowBlank="0" errorTitle="Invalid input" error="Use a nonnegative value" type="decimal" operator="between">
      <formula1>0</formula1>
      <formula2>1000000000.0</formula2>
    </dataValidation>
    <dataValidation sqref="B9" showDropDown="0" showInputMessage="0" showErrorMessage="1" allowBlank="0" errorTitle="Invalid input" error="Use a nonnegative value" type="decimal" operator="between">
      <formula1>0</formula1>
      <formula2>12</formula2>
    </dataValidation>
    <dataValidation sqref="B10" showDropDown="0" showInputMessage="0" showErrorMessage="1" allowBlank="0" errorTitle="Invalid input" error="Use a nonnegative value" type="decimal" operator="between">
      <formula1>0</formula1>
      <formula2>1</formula2>
    </dataValidation>
    <dataValidation sqref="B11" showDropDown="0" showInputMessage="0" showErrorMessage="1" allowBlank="0" errorTitle="Invalid input" error="Use a nonnegative value" type="decimal" operator="between">
      <formula1>0</formula1>
      <formula2>1000000000.0</formula2>
    </dataValidation>
    <dataValidation sqref="B12" showDropDown="0" showInputMessage="0" showErrorMessage="1" allowBlank="0" errorTitle="Invalid input" error="Use a nonnegative value" type="decimal" operator="between">
      <formula1>0</formula1>
      <formula2>1000000000.0</formula2>
    </dataValidation>
    <dataValidation sqref="B13" showDropDown="0" showInputMessage="0" showErrorMessage="1" allowBlank="0" errorTitle="Invalid input" error="Use a nonnegative value" type="decimal" operator="between">
      <formula1>0</formula1>
      <formula2>1000000000.0</formula2>
    </dataValidation>
    <dataValidation sqref="B14" showDropDown="0" showInputMessage="0" showErrorMessage="1" allowBlank="0" errorTitle="Invalid input" error="Use a nonnegative value" type="decimal" operator="between">
      <formula1>0</formula1>
      <formula2>1</formula2>
    </dataValidation>
    <dataValidation sqref="B15" showDropDown="0" showInputMessage="0" showErrorMessage="1" allowBlank="0" errorTitle="Invalid input" error="Use a nonnegative value" type="decimal" operator="between">
      <formula1>0</formula1>
      <formula2>1</formula2>
    </dataValidation>
    <dataValidation sqref="B16" showDropDown="0" showInputMessage="0" showErrorMessage="1" allowBlank="0" errorTitle="Invalid input" error="Use a nonnegative value" type="decimal" operator="between">
      <formula1>0</formula1>
      <formula2>1</formula2>
    </dataValidation>
    <dataValidation sqref="B17" showDropDown="0" showInputMessage="0" showErrorMessage="1" allowBlank="0" errorTitle="Invalid input" error="Use a nonnegative value" type="decimal" operator="between">
      <formula1>0</formula1>
      <formula2>1000000000.0</formula2>
    </dataValidation>
    <dataValidation sqref="B18" showDropDown="0" showInputMessage="0" showErrorMessage="1" allowBlank="0" errorTitle="Invalid input" error="Use a nonnegative value" type="decimal" operator="between">
      <formula1>0</formula1>
      <formula2>1</formula2>
    </dataValidation>
    <dataValidation sqref="B19" showDropDown="0" showInputMessage="0" showErrorMessage="1" allowBlank="0" errorTitle="Invalid input" error="Use a nonnegative value" type="decimal" operator="between">
      <formula1>0</formula1>
      <formula2>1000000000.0</formula2>
    </dataValidation>
    <dataValidation sqref="B20" showDropDown="0" showInputMessage="0" showErrorMessage="1" allowBlank="0" errorTitle="Invalid input" error="Use a nonnegative value" type="decimal" operator="between">
      <formula1>0</formula1>
      <formula2>1</formula2>
    </dataValidation>
    <dataValidation sqref="B21" showDropDown="0" showInputMessage="0" showErrorMessage="1" allowBlank="0" errorTitle="Invalid input" error="Use a nonnegative value" type="decimal" operator="between">
      <formula1>0</formula1>
      <formula2>1</formula2>
    </dataValidation>
    <dataValidation sqref="B22" showDropDown="0" showInputMessage="0" showErrorMessage="1" allowBlank="0" errorTitle="Invalid input" error="Use a nonnegative value" type="decimal" operator="between">
      <formula1>0.0001</formula1>
      <formula2>1</formula2>
    </dataValidation>
    <dataValidation sqref="B23" showDropDown="0" showInputMessage="0" showErrorMessage="1" allowBlank="0" errorTitle="Invalid input" error="Use a nonnegative value" type="whole" operator="between">
      <formula1>30</formula1>
      <formula2>30</formula2>
    </dataValidation>
    <dataValidation sqref="B24" showDropDown="0" showInputMessage="0" showErrorMessage="1" allowBlank="0" errorTitle="Invalid input" error="Use a nonnegative value" type="whole" operator="between">
      <formula1>1</formula1>
      <formula2>1</formula2>
    </dataValidation>
    <dataValidation sqref="B25" showDropDown="0" showInputMessage="0" showErrorMessage="1" allowBlank="0" errorTitle="Invalid input" error="Use a nonnegative value" type="decimal" operator="between">
      <formula1>0.0001</formula1>
      <formula2>1</formula2>
    </dataValidation>
    <dataValidation sqref="B26" showDropDown="0" showInputMessage="0" showErrorMessage="1" allowBlank="0" errorTitle="Invalid input" error="Use a nonnegative value" type="decimal" operator="between">
      <formula1>0</formula1>
      <formula2>1</formula2>
    </dataValidation>
    <dataValidation sqref="B27" showDropDown="0" showInputMessage="0" showErrorMessage="1" allowBlank="0" errorTitle="Invalid input" error="Use a nonnegative value" type="decimal" operator="between">
      <formula1>0</formula1>
      <formula2>2</formula2>
    </dataValidation>
    <dataValidation sqref="B28" showDropDown="0" showInputMessage="0" showErrorMessage="1" allowBlank="0" errorTitle="Invalid input" error="Use a nonnegative value" type="decimal" operator="between">
      <formula1>0</formula1>
      <formula2>1000000000.0</formula2>
    </dataValidation>
    <dataValidation sqref="B29" showDropDown="0" showInputMessage="0" showErrorMessage="1" allowBlank="0" errorTitle="Invalid input" error="Use a nonnegative value" type="decimal" operator="between">
      <formula1>0</formula1>
      <formula2>1000000000.0</formula2>
    </dataValidation>
    <dataValidation sqref="B30" showDropDown="0" showInputMessage="0" showErrorMessage="1" allowBlank="0" errorTitle="Invalid input" error="Use a nonnegative value" type="whole" operator="between">
      <formula1>0</formula1>
      <formula2>1</formula2>
    </dataValidation>
  </dataValidation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C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9" customWidth="1" min="1" max="1"/>
    <col width="23" customWidth="1" min="2" max="2"/>
    <col width="90" customWidth="1" min="3" max="3"/>
  </cols>
  <sheetData>
    <row r="1">
      <c r="A1" s="1" t="inlineStr">
        <is>
          <t>Measure</t>
        </is>
      </c>
      <c r="B1" s="1" t="inlineStr">
        <is>
          <t>Value</t>
        </is>
      </c>
      <c r="C1" s="1" t="inlineStr">
        <is>
          <t>Interpretation</t>
        </is>
      </c>
    </row>
    <row r="2">
      <c r="A2" s="2" t="inlineStr">
        <is>
          <t>All-in median rent</t>
        </is>
      </c>
      <c r="B2" s="2" t="n">
        <v>600</v>
      </c>
      <c r="C2" s="2" t="inlineStr">
        <is>
          <t>S1 p55; 2023–24 survey</t>
        </is>
      </c>
    </row>
    <row r="3">
      <c r="A3" s="2" t="inlineStr">
        <is>
          <t>Shared housing median/person</t>
        </is>
      </c>
      <c r="B3" s="2" t="n">
        <v>525</v>
      </c>
      <c r="C3" s="2" t="inlineStr">
        <is>
          <t>S1 p56; distinct product, not lower end of market range</t>
        </is>
      </c>
    </row>
    <row r="4">
      <c r="A4" s="2" t="inlineStr">
        <is>
          <t>Mean student-housing monthly budget</t>
        </is>
      </c>
      <c r="B4" s="2" t="n">
        <v>833.5</v>
      </c>
      <c r="C4" s="2" t="inlineStr">
        <is>
          <t>S1 p110; includes rent and other spending</t>
        </is>
      </c>
    </row>
    <row r="5">
      <c r="A5" s="2" t="inlineStr">
        <is>
          <t>Estimated housing demand</t>
        </is>
      </c>
      <c r="B5" s="2" t="n">
        <v>37200</v>
      </c>
      <c r="C5" s="2" t="inlineStr">
        <is>
          <t>S4 p26; approximation, excludes promotion sociale</t>
        </is>
      </c>
    </row>
    <row r="6">
      <c r="A6" s="2" t="inlineStr">
        <is>
          <t>Dedicated housing units</t>
        </is>
      </c>
      <c r="B6" s="2" t="n">
        <v>11305</v>
      </c>
      <c r="C6" s="2" t="inlineStr">
        <is>
          <t>S4 p28; 2025 inventory; not all housing occupied by students</t>
        </is>
      </c>
    </row>
    <row r="7">
      <c r="A7" s="2" t="inlineStr">
        <is>
          <t>Dedicated coverage ratio</t>
        </is>
      </c>
      <c r="B7" s="8">
        <f>B6/B5</f>
        <v>0.3038978494623656</v>
      </c>
      <c r="C7" s="2" t="inlineStr">
        <is>
          <t>Not vacancy or occupancy</t>
        </is>
      </c>
    </row>
    <row r="8">
      <c r="A8" s="2" t="inlineStr">
        <is>
          <t>Demand less dedicated inventory</t>
        </is>
      </c>
      <c r="B8" s="3">
        <f>B5-B6</f>
        <v>25895</v>
      </c>
      <c r="C8" s="2" t="inlineStr">
        <is>
          <t>NOT a measured shortage: ordinary rental housing also serves students</t>
        </is>
      </c>
    </row>
    <row r="9">
      <c r="A9" s="2" t="inlineStr">
        <is>
          <t>Live available rooms</t>
        </is>
      </c>
      <c r="B9" s="2" t="inlineStr">
        <is>
          <t>Unknown</t>
        </is>
      </c>
      <c r="C9" s="2" t="inlineStr">
        <is>
          <t>Inventory does not provide current vacancies</t>
        </is>
      </c>
    </row>
    <row r="10">
      <c r="A10" s="2" t="inlineStr">
        <is>
          <t>Observed average deposit</t>
        </is>
      </c>
      <c r="B10" s="2" t="inlineStr">
        <is>
          <t>Unknown</t>
        </is>
      </c>
      <c r="C10" s="2" t="inlineStr">
        <is>
          <t>Legal maximum must not be represented as an average</t>
        </is>
      </c>
    </row>
    <row r="11">
      <c r="A11" s="2" t="inlineStr">
        <is>
          <t>Official affordable student threshold</t>
        </is>
      </c>
      <c r="B11" s="2" t="inlineStr">
        <is>
          <t>Not identified</t>
        </is>
      </c>
      <c r="C11" s="2" t="inlineStr">
        <is>
          <t>User policy threshold shown in Inputs</t>
        </is>
      </c>
    </row>
    <row r="12">
      <c r="A12" s="2" t="inlineStr">
        <is>
          <t>Current rent distribution / range</t>
        </is>
      </c>
      <c r="B12" s="2" t="inlineStr">
        <is>
          <t>Not verified</t>
        </is>
      </c>
      <c r="C12" s="2" t="inlineStr">
        <is>
          <t>525 and 600 are comparable benchmarks only, not minimum/maximum prices</t>
        </is>
      </c>
    </row>
  </sheetData>
  <autoFilter ref="A1:C12"/>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C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9" customWidth="1" min="1" max="1"/>
    <col width="23" customWidth="1" min="2" max="2"/>
    <col width="23" customWidth="1" min="3" max="3"/>
  </cols>
  <sheetData>
    <row r="1">
      <c r="A1" s="1" t="inlineStr">
        <is>
          <t>Component</t>
        </is>
      </c>
      <c r="B1" s="1" t="inlineStr">
        <is>
          <t>EUR</t>
        </is>
      </c>
      <c r="C1" s="1" t="inlineStr">
        <is>
          <t>Method</t>
        </is>
      </c>
    </row>
    <row r="2">
      <c r="A2" s="2" t="inlineStr">
        <is>
          <t>Gross floor area (m2)</t>
        </is>
      </c>
      <c r="B2" s="3">
        <f>Inputs!$B$2*Inputs!$B$11</f>
        <v>3000</v>
      </c>
      <c r="C2" s="2" t="n"/>
    </row>
    <row r="3">
      <c r="A3" s="2" t="inlineStr">
        <is>
          <t>Hard construction</t>
        </is>
      </c>
      <c r="B3" s="3">
        <f>B2*Inputs!$B$12</f>
        <v>6600000</v>
      </c>
      <c r="C3" s="2" t="n"/>
    </row>
    <row r="4">
      <c r="A4" s="2" t="inlineStr">
        <is>
          <t>Professional fees</t>
        </is>
      </c>
      <c r="B4" s="3">
        <f>B3*Inputs!$B$14</f>
        <v>792000.0</v>
      </c>
      <c r="C4" s="2" t="n"/>
    </row>
    <row r="5">
      <c r="A5" s="2" t="inlineStr">
        <is>
          <t>Contingency</t>
        </is>
      </c>
      <c r="B5" s="3">
        <f>(B3+B4)*Inputs!$B$15</f>
        <v>739200.0</v>
      </c>
      <c r="C5" s="2" t="n"/>
    </row>
    <row r="6">
      <c r="A6" s="2" t="inlineStr">
        <is>
          <t>Unrecoverable works VAT allowance</t>
        </is>
      </c>
      <c r="B6" s="3">
        <f>(B3+B4+B5)*Inputs!$B$16</f>
        <v>1707552.0</v>
      </c>
      <c r="C6" s="2" t="n"/>
    </row>
    <row r="7">
      <c r="A7" s="2" t="inlineStr">
        <is>
          <t>Land and acquisition</t>
        </is>
      </c>
      <c r="B7" s="3">
        <f>Inputs!$B$13</f>
        <v>1500000</v>
      </c>
      <c r="C7" s="2" t="n"/>
    </row>
    <row r="8">
      <c r="A8" s="2" t="inlineStr">
        <is>
          <t>Furniture</t>
        </is>
      </c>
      <c r="B8" s="3">
        <f>Inputs!$B$2*Inputs!$B$17</f>
        <v>200000</v>
      </c>
      <c r="C8" s="2" t="n"/>
    </row>
    <row r="9">
      <c r="A9" s="2" t="inlineStr">
        <is>
          <t>Total initial development spend</t>
        </is>
      </c>
      <c r="B9" s="3">
        <f>SUM(B3:B8)</f>
        <v>11538752.0</v>
      </c>
      <c r="C9" s="2" t="inlineStr">
        <is>
          <t>All paid at t=0; financing excluded. Replace budget assumptions before investment approval.</t>
        </is>
      </c>
    </row>
  </sheetData>
  <autoFilter ref="A1:C9"/>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S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9" customWidth="1" min="1" max="1"/>
    <col width="23" customWidth="1" min="2" max="2"/>
    <col width="23" customWidth="1" min="3" max="3"/>
    <col width="23" customWidth="1" min="4" max="4"/>
    <col width="23" customWidth="1" min="5" max="5"/>
    <col width="23" customWidth="1" min="6" max="6"/>
    <col width="23" customWidth="1" min="7" max="7"/>
    <col width="23" customWidth="1" min="8" max="8"/>
    <col width="23" customWidth="1" min="9" max="9"/>
    <col width="23" customWidth="1" min="10" max="10"/>
    <col width="23" customWidth="1" min="11" max="11"/>
    <col width="23" customWidth="1" min="12" max="12"/>
    <col width="23" customWidth="1" min="13" max="13"/>
    <col width="23" customWidth="1" min="14" max="14"/>
    <col width="23" customWidth="1" min="15" max="15"/>
    <col width="23" customWidth="1" min="16" max="16"/>
    <col width="23" customWidth="1" min="17" max="17"/>
    <col width="23" customWidth="1" min="18" max="18"/>
    <col width="23" customWidth="1" min="19" max="19"/>
  </cols>
  <sheetData>
    <row r="1">
      <c r="A1" s="1" t="inlineStr">
        <is>
          <t>Year t</t>
        </is>
      </c>
      <c r="B1" s="1" t="inlineStr">
        <is>
          <t>Operating year</t>
        </is>
      </c>
      <c r="C1" s="1" t="inlineStr">
        <is>
          <t>Rent collected</t>
        </is>
      </c>
      <c r="D1" s="1" t="inlineStr">
        <is>
          <t>Utility recovery</t>
        </is>
      </c>
      <c r="E1" s="1" t="inlineStr">
        <is>
          <t>Total receipts</t>
        </is>
      </c>
      <c r="F1" s="1" t="inlineStr">
        <is>
          <t>Utility expense</t>
        </is>
      </c>
      <c r="G1" s="1" t="inlineStr">
        <is>
          <t>Maintenance</t>
        </is>
      </c>
      <c r="H1" s="1" t="inlineStr">
        <is>
          <t>Other operating</t>
        </is>
      </c>
      <c r="I1" s="1" t="inlineStr">
        <is>
          <t>NOI</t>
        </is>
      </c>
      <c r="J1" s="1" t="inlineStr">
        <is>
          <t>Replacement capex</t>
        </is>
      </c>
      <c r="K1" s="1" t="inlineStr">
        <is>
          <t>Terminal net sale</t>
        </is>
      </c>
      <c r="L1" s="1" t="inlineStr">
        <is>
          <t>Project cash flow</t>
        </is>
      </c>
      <c r="M1" s="1" t="inlineStr">
        <is>
          <t>Discount factor</t>
        </is>
      </c>
      <c r="N1" s="1" t="inlineStr">
        <is>
          <t>PV</t>
        </is>
      </c>
      <c r="O1" s="1" t="inlineStr">
        <is>
          <t>Cumulative cash</t>
        </is>
      </c>
      <c r="P1" s="1" t="inlineStr">
        <is>
          <t>Cumulative PV</t>
        </is>
      </c>
      <c r="Q1" s="1" t="inlineStr">
        <is>
          <t>Operating-only cumulative</t>
        </is>
      </c>
      <c r="R1" s="1" t="inlineStr">
        <is>
          <t>PBP crossing</t>
        </is>
      </c>
      <c r="S1" s="1" t="inlineStr">
        <is>
          <t>Discounted PBP crossing</t>
        </is>
      </c>
    </row>
    <row r="2">
      <c r="A2" s="2" t="n">
        <v>0</v>
      </c>
      <c r="B2" s="3">
        <f>MAX(0,A2-Inputs!$B$24)</f>
        <v>0</v>
      </c>
      <c r="C2" s="3">
        <f>IF(B2&gt;0,Inputs!$B$2*Inputs!$B$9*Inputs!$B$10*'Executive report'!B8*(1+Inputs!$B$20)^(B2-1),0)</f>
        <v>0</v>
      </c>
      <c r="D2" s="3">
        <f>IF(B2&gt;0,Inputs!$B$2*Inputs!$B$9*Inputs!$B$10*'Executive report'!B9*(1+Inputs!$B$20)^(B2-1),0)</f>
        <v>0</v>
      </c>
      <c r="E2" s="3">
        <f>C2+D2</f>
        <v>0</v>
      </c>
      <c r="F2" s="3">
        <f>IF(B2&gt;0,Inputs!$B$2*Inputs!$B$9*Inputs!$B$10*Inputs!$B$4*(1+Inputs!$B$21)^(B2-1),0)</f>
        <v>0</v>
      </c>
      <c r="G2" s="3">
        <f>IF(B2&gt;0,'Development budget'!B3*Inputs!$B$18*(1+Inputs!$B$21)^(B2-1),0)</f>
        <v>0</v>
      </c>
      <c r="H2" s="3">
        <f>IF(B2&gt;0,Inputs!$B$19*(1+Inputs!$B$21)^(B2-1),0)</f>
        <v>0</v>
      </c>
      <c r="I2" s="3">
        <f>E2-SUM(F2:H2)</f>
        <v>0</v>
      </c>
      <c r="J2" s="3">
        <f>IF(B2=Inputs!$B$28,Inputs!$B$29*(1+Inputs!$B$21)^(B2-1),0)</f>
        <v>0</v>
      </c>
      <c r="K2" s="3">
        <f>IF(B2=Inputs!$B$23,(E2*(1+Inputs!$B$20)-(F2+G2+H2)*(1+Inputs!$B$21))/Inputs!$B$25*(1-Inputs!$B$26)*Inputs!$B$30,0)</f>
        <v>0</v>
      </c>
      <c r="L2" s="3">
        <f>IF(A2=0,-'Development budget'!B9,I2-J2+K2)</f>
        <v>-11538752.0</v>
      </c>
      <c r="M2" s="3">
        <f>1/(1+Inputs!$B$22)^A2</f>
        <v>1.0</v>
      </c>
      <c r="N2" s="3">
        <f>L2*M2</f>
        <v>-11538752.0</v>
      </c>
      <c r="O2" s="3">
        <f>SUM($L$2:L2)</f>
        <v>-11538752.0</v>
      </c>
      <c r="P2" s="3">
        <f>SUM($N$2:N2)</f>
        <v>-11538752.0</v>
      </c>
      <c r="Q2" s="3">
        <f>-'Development budget'!B9+SUM($I$2:I2)-SUM($J$2:J2)</f>
        <v>-11538752.0</v>
      </c>
      <c r="R2" s="2" t="n">
        <v>0</v>
      </c>
      <c r="S2" s="2" t="n">
        <v>0</v>
      </c>
    </row>
    <row r="3">
      <c r="A3" s="2" t="n">
        <v>1</v>
      </c>
      <c r="B3" s="3">
        <f>MAX(0,A3-Inputs!$B$24)</f>
        <v>0</v>
      </c>
      <c r="C3" s="3">
        <f>IF(B3&gt;0,Inputs!$B$2*Inputs!$B$9*Inputs!$B$10*'Executive report'!B8*(1+Inputs!$B$20)^(B3-1),0)</f>
        <v>0</v>
      </c>
      <c r="D3" s="3">
        <f>IF(B3&gt;0,Inputs!$B$2*Inputs!$B$9*Inputs!$B$10*'Executive report'!B9*(1+Inputs!$B$20)^(B3-1),0)</f>
        <v>0</v>
      </c>
      <c r="E3" s="3">
        <f>C3+D3</f>
        <v>0</v>
      </c>
      <c r="F3" s="3">
        <f>IF(B3&gt;0,Inputs!$B$2*Inputs!$B$9*Inputs!$B$10*Inputs!$B$4*(1+Inputs!$B$21)^(B3-1),0)</f>
        <v>0</v>
      </c>
      <c r="G3" s="3">
        <f>IF(B3&gt;0,'Development budget'!B3*Inputs!$B$18*(1+Inputs!$B$21)^(B3-1),0)</f>
        <v>0</v>
      </c>
      <c r="H3" s="3">
        <f>IF(B3&gt;0,Inputs!$B$19*(1+Inputs!$B$21)^(B3-1),0)</f>
        <v>0</v>
      </c>
      <c r="I3" s="3">
        <f>E3-SUM(F3:H3)</f>
        <v>0</v>
      </c>
      <c r="J3" s="3">
        <f>IF(B3=Inputs!$B$28,Inputs!$B$29*(1+Inputs!$B$21)^(B3-1),0)</f>
        <v>0</v>
      </c>
      <c r="K3" s="3">
        <f>IF(B3=Inputs!$B$23,(E3*(1+Inputs!$B$20)-(F3+G3+H3)*(1+Inputs!$B$21))/Inputs!$B$25*(1-Inputs!$B$26)*Inputs!$B$30,0)</f>
        <v>0</v>
      </c>
      <c r="L3" s="3">
        <f>IF(A3=0,-'Development budget'!B9,I3-J3+K3)</f>
        <v>0</v>
      </c>
      <c r="M3" s="3">
        <f>1/(1+Inputs!$B$22)^A3</f>
        <v>0.9345794392523364</v>
      </c>
      <c r="N3" s="3">
        <f>L3*M3</f>
        <v>0.0</v>
      </c>
      <c r="O3" s="3">
        <f>SUM($L$2:L3)</f>
        <v>-11538752.0</v>
      </c>
      <c r="P3" s="3">
        <f>SUM($N$2:N3)</f>
        <v>-11538752.0</v>
      </c>
      <c r="Q3" s="3">
        <f>-'Development budget'!B9+SUM($I$2:I3)-SUM($J$2:J3)</f>
        <v>-11538752.0</v>
      </c>
      <c r="R3" s="3">
        <f>IF(AND(O2&lt;0,O3&gt;=0,L3&gt;0),A3-1-O2/L3,0)</f>
        <v>0</v>
      </c>
      <c r="S3" s="3">
        <f>IF(AND(P2&lt;0,P3&gt;=0,N3&gt;0),A3-1-P2/N3,0)</f>
        <v>0</v>
      </c>
    </row>
    <row r="4">
      <c r="A4" s="2" t="n">
        <v>2</v>
      </c>
      <c r="B4" s="3">
        <f>MAX(0,A4-Inputs!$B$24)</f>
        <v>1</v>
      </c>
      <c r="C4" s="3">
        <f>IF(B4&gt;0,Inputs!$B$2*Inputs!$B$9*Inputs!$B$10*'Executive report'!B8*(1+Inputs!$B$20)^(B4-1),0)</f>
        <v>604211.4</v>
      </c>
      <c r="D4" s="3">
        <f>IF(B4&gt;0,Inputs!$B$2*Inputs!$B$9*Inputs!$B$10*'Executive report'!B9*(1+Inputs!$B$20)^(B4-1),0)</f>
        <v>0</v>
      </c>
      <c r="E4" s="3">
        <f>C4+D4</f>
        <v>604211.4</v>
      </c>
      <c r="F4" s="3">
        <f>IF(B4&gt;0,Inputs!$B$2*Inputs!$B$9*Inputs!$B$10*Inputs!$B$4*(1+Inputs!$B$21)^(B4-1),0)</f>
        <v>85500.0</v>
      </c>
      <c r="G4" s="3">
        <f>IF(B4&gt;0,'Development budget'!B3*Inputs!$B$18*(1+Inputs!$B$21)^(B4-1),0)</f>
        <v>66000.0</v>
      </c>
      <c r="H4" s="3">
        <f>IF(B4&gt;0,Inputs!$B$19*(1+Inputs!$B$21)^(B4-1),0)</f>
        <v>100000.0</v>
      </c>
      <c r="I4" s="3">
        <f>E4-SUM(F4:H4)</f>
        <v>352711.4</v>
      </c>
      <c r="J4" s="3">
        <f>IF(B4=Inputs!$B$28,Inputs!$B$29*(1+Inputs!$B$21)^(B4-1),0)</f>
        <v>0</v>
      </c>
      <c r="K4" s="3">
        <f>IF(B4=Inputs!$B$23,(E4*(1+Inputs!$B$20)-(F4+G4+H4)*(1+Inputs!$B$21))/Inputs!$B$25*(1-Inputs!$B$26)*Inputs!$B$30,0)</f>
        <v>0</v>
      </c>
      <c r="L4" s="3">
        <f>IF(A4=0,-'Development budget'!B9,I4-J4+K4)</f>
        <v>352711.4</v>
      </c>
      <c r="M4" s="3">
        <f>1/(1+Inputs!$B$22)^A4</f>
        <v>0.8734387282732116</v>
      </c>
      <c r="N4" s="3">
        <f>L4*M4</f>
        <v>308071.79666346405</v>
      </c>
      <c r="O4" s="3">
        <f>SUM($L$2:L4)</f>
        <v>-11186040.6</v>
      </c>
      <c r="P4" s="3">
        <f>SUM($N$2:N4)</f>
        <v>-11230680.203336537</v>
      </c>
      <c r="Q4" s="3">
        <f>-'Development budget'!B9+SUM($I$2:I4)-SUM($J$2:J4)</f>
        <v>-11186040.6</v>
      </c>
      <c r="R4" s="3">
        <f>IF(AND(O3&lt;0,O4&gt;=0,L4&gt;0),A4-1-O3/L4,0)</f>
        <v>0</v>
      </c>
      <c r="S4" s="3">
        <f>IF(AND(P3&lt;0,P4&gt;=0,N4&gt;0),A4-1-P3/N4,0)</f>
        <v>0</v>
      </c>
    </row>
    <row r="5">
      <c r="A5" s="2" t="n">
        <v>3</v>
      </c>
      <c r="B5" s="3">
        <f>MAX(0,A5-Inputs!$B$24)</f>
        <v>2</v>
      </c>
      <c r="C5" s="3">
        <f>IF(B5&gt;0,Inputs!$B$2*Inputs!$B$9*Inputs!$B$10*'Executive report'!B8*(1+Inputs!$B$20)^(B5-1),0)</f>
        <v>616295.628</v>
      </c>
      <c r="D5" s="3">
        <f>IF(B5&gt;0,Inputs!$B$2*Inputs!$B$9*Inputs!$B$10*'Executive report'!B9*(1+Inputs!$B$20)^(B5-1),0)</f>
        <v>0</v>
      </c>
      <c r="E5" s="3">
        <f>C5+D5</f>
        <v>616295.628</v>
      </c>
      <c r="F5" s="3">
        <f>IF(B5&gt;0,Inputs!$B$2*Inputs!$B$9*Inputs!$B$10*Inputs!$B$4*(1+Inputs!$B$21)^(B5-1),0)</f>
        <v>87210.0</v>
      </c>
      <c r="G5" s="3">
        <f>IF(B5&gt;0,'Development budget'!B3*Inputs!$B$18*(1+Inputs!$B$21)^(B5-1),0)</f>
        <v>67320.0</v>
      </c>
      <c r="H5" s="3">
        <f>IF(B5&gt;0,Inputs!$B$19*(1+Inputs!$B$21)^(B5-1),0)</f>
        <v>102000.0</v>
      </c>
      <c r="I5" s="3">
        <f>E5-SUM(F5:H5)</f>
        <v>359765.628</v>
      </c>
      <c r="J5" s="3">
        <f>IF(B5=Inputs!$B$28,Inputs!$B$29*(1+Inputs!$B$21)^(B5-1),0)</f>
        <v>0</v>
      </c>
      <c r="K5" s="3">
        <f>IF(B5=Inputs!$B$23,(E5*(1+Inputs!$B$20)-(F5+G5+H5)*(1+Inputs!$B$21))/Inputs!$B$25*(1-Inputs!$B$26)*Inputs!$B$30,0)</f>
        <v>0</v>
      </c>
      <c r="L5" s="3">
        <f>IF(A5=0,-'Development budget'!B9,I5-J5+K5)</f>
        <v>359765.628</v>
      </c>
      <c r="M5" s="3">
        <f>1/(1+Inputs!$B$22)^A5</f>
        <v>0.8162978768908519</v>
      </c>
      <c r="N5" s="3">
        <f>L5*M5</f>
        <v>293675.91831470403</v>
      </c>
      <c r="O5" s="3">
        <f>SUM($L$2:L5)</f>
        <v>-10826274.972</v>
      </c>
      <c r="P5" s="3">
        <f>SUM($N$2:N5)</f>
        <v>-10937004.285021832</v>
      </c>
      <c r="Q5" s="3">
        <f>-'Development budget'!B9+SUM($I$2:I5)-SUM($J$2:J5)</f>
        <v>-10826274.972</v>
      </c>
      <c r="R5" s="3">
        <f>IF(AND(O4&lt;0,O5&gt;=0,L5&gt;0),A5-1-O4/L5,0)</f>
        <v>0</v>
      </c>
      <c r="S5" s="3">
        <f>IF(AND(P4&lt;0,P5&gt;=0,N5&gt;0),A5-1-P4/N5,0)</f>
        <v>0</v>
      </c>
    </row>
    <row r="6">
      <c r="A6" s="2" t="n">
        <v>4</v>
      </c>
      <c r="B6" s="3">
        <f>MAX(0,A6-Inputs!$B$24)</f>
        <v>3</v>
      </c>
      <c r="C6" s="3">
        <f>IF(B6&gt;0,Inputs!$B$2*Inputs!$B$9*Inputs!$B$10*'Executive report'!B8*(1+Inputs!$B$20)^(B6-1),0)</f>
        <v>628621.54056</v>
      </c>
      <c r="D6" s="3">
        <f>IF(B6&gt;0,Inputs!$B$2*Inputs!$B$9*Inputs!$B$10*'Executive report'!B9*(1+Inputs!$B$20)^(B6-1),0)</f>
        <v>0</v>
      </c>
      <c r="E6" s="3">
        <f>C6+D6</f>
        <v>628621.54056</v>
      </c>
      <c r="F6" s="3">
        <f>IF(B6&gt;0,Inputs!$B$2*Inputs!$B$9*Inputs!$B$10*Inputs!$B$4*(1+Inputs!$B$21)^(B6-1),0)</f>
        <v>88954.2</v>
      </c>
      <c r="G6" s="3">
        <f>IF(B6&gt;0,'Development budget'!B3*Inputs!$B$18*(1+Inputs!$B$21)^(B6-1),0)</f>
        <v>68666.4</v>
      </c>
      <c r="H6" s="3">
        <f>IF(B6&gt;0,Inputs!$B$19*(1+Inputs!$B$21)^(B6-1),0)</f>
        <v>104040.0</v>
      </c>
      <c r="I6" s="3">
        <f>E6-SUM(F6:H6)</f>
        <v>366960.94056</v>
      </c>
      <c r="J6" s="3">
        <f>IF(B6=Inputs!$B$28,Inputs!$B$29*(1+Inputs!$B$21)^(B6-1),0)</f>
        <v>0</v>
      </c>
      <c r="K6" s="3">
        <f>IF(B6=Inputs!$B$23,(E6*(1+Inputs!$B$20)-(F6+G6+H6)*(1+Inputs!$B$21))/Inputs!$B$25*(1-Inputs!$B$26)*Inputs!$B$30,0)</f>
        <v>0</v>
      </c>
      <c r="L6" s="3">
        <f>IF(A6=0,-'Development budget'!B9,I6-J6+K6)</f>
        <v>366960.94056</v>
      </c>
      <c r="M6" s="3">
        <f>1/(1+Inputs!$B$22)^A6</f>
        <v>0.7628952120475251</v>
      </c>
      <c r="N6" s="3">
        <f>L6*M6</f>
        <v>279952.7445616805</v>
      </c>
      <c r="O6" s="3">
        <f>SUM($L$2:L6)</f>
        <v>-10459314.03144</v>
      </c>
      <c r="P6" s="3">
        <f>SUM($N$2:N6)</f>
        <v>-10657051.540460153</v>
      </c>
      <c r="Q6" s="3">
        <f>-'Development budget'!B9+SUM($I$2:I6)-SUM($J$2:J6)</f>
        <v>-10459314.03144</v>
      </c>
      <c r="R6" s="3">
        <f>IF(AND(O5&lt;0,O6&gt;=0,L6&gt;0),A6-1-O5/L6,0)</f>
        <v>0</v>
      </c>
      <c r="S6" s="3">
        <f>IF(AND(P5&lt;0,P6&gt;=0,N6&gt;0),A6-1-P5/N6,0)</f>
        <v>0</v>
      </c>
    </row>
    <row r="7">
      <c r="A7" s="2" t="n">
        <v>5</v>
      </c>
      <c r="B7" s="3">
        <f>MAX(0,A7-Inputs!$B$24)</f>
        <v>4</v>
      </c>
      <c r="C7" s="3">
        <f>IF(B7&gt;0,Inputs!$B$2*Inputs!$B$9*Inputs!$B$10*'Executive report'!B8*(1+Inputs!$B$20)^(B7-1),0)</f>
        <v>641193.9713712002</v>
      </c>
      <c r="D7" s="3">
        <f>IF(B7&gt;0,Inputs!$B$2*Inputs!$B$9*Inputs!$B$10*'Executive report'!B9*(1+Inputs!$B$20)^(B7-1),0)</f>
        <v>0</v>
      </c>
      <c r="E7" s="3">
        <f>C7+D7</f>
        <v>641193.9713712002</v>
      </c>
      <c r="F7" s="3">
        <f>IF(B7&gt;0,Inputs!$B$2*Inputs!$B$9*Inputs!$B$10*Inputs!$B$4*(1+Inputs!$B$21)^(B7-1),0)</f>
        <v>90733.28400000001</v>
      </c>
      <c r="G7" s="3">
        <f>IF(B7&gt;0,'Development budget'!B3*Inputs!$B$18*(1+Inputs!$B$21)^(B7-1),0)</f>
        <v>70039.728</v>
      </c>
      <c r="H7" s="3">
        <f>IF(B7&gt;0,Inputs!$B$19*(1+Inputs!$B$21)^(B7-1),0)</f>
        <v>106120.80000000002</v>
      </c>
      <c r="I7" s="3">
        <f>E7-SUM(F7:H7)</f>
        <v>374300.15937120013</v>
      </c>
      <c r="J7" s="3">
        <f>IF(B7=Inputs!$B$28,Inputs!$B$29*(1+Inputs!$B$21)^(B7-1),0)</f>
        <v>0</v>
      </c>
      <c r="K7" s="3">
        <f>IF(B7=Inputs!$B$23,(E7*(1+Inputs!$B$20)-(F7+G7+H7)*(1+Inputs!$B$21))/Inputs!$B$25*(1-Inputs!$B$26)*Inputs!$B$30,0)</f>
        <v>0</v>
      </c>
      <c r="L7" s="3">
        <f>IF(A7=0,-'Development budget'!B9,I7-J7+K7)</f>
        <v>374300.15937120013</v>
      </c>
      <c r="M7" s="3">
        <f>1/(1+Inputs!$B$22)^A7</f>
        <v>0.7129861794836683</v>
      </c>
      <c r="N7" s="3">
        <f>L7*M7</f>
        <v>266870.84061020013</v>
      </c>
      <c r="O7" s="3">
        <f>SUM($L$2:L7)</f>
        <v>-10085013.872068798</v>
      </c>
      <c r="P7" s="3">
        <f>SUM($N$2:N7)</f>
        <v>-10390180.699849952</v>
      </c>
      <c r="Q7" s="3">
        <f>-'Development budget'!B9+SUM($I$2:I7)-SUM($J$2:J7)</f>
        <v>-10085013.872068798</v>
      </c>
      <c r="R7" s="3">
        <f>IF(AND(O6&lt;0,O7&gt;=0,L7&gt;0),A7-1-O6/L7,0)</f>
        <v>0</v>
      </c>
      <c r="S7" s="3">
        <f>IF(AND(P6&lt;0,P7&gt;=0,N7&gt;0),A7-1-P6/N7,0)</f>
        <v>0</v>
      </c>
    </row>
    <row r="8">
      <c r="A8" s="2" t="n">
        <v>6</v>
      </c>
      <c r="B8" s="3">
        <f>MAX(0,A8-Inputs!$B$24)</f>
        <v>5</v>
      </c>
      <c r="C8" s="3">
        <f>IF(B8&gt;0,Inputs!$B$2*Inputs!$B$9*Inputs!$B$10*'Executive report'!B8*(1+Inputs!$B$20)^(B8-1),0)</f>
        <v>654017.850798624</v>
      </c>
      <c r="D8" s="3">
        <f>IF(B8&gt;0,Inputs!$B$2*Inputs!$B$9*Inputs!$B$10*'Executive report'!B9*(1+Inputs!$B$20)^(B8-1),0)</f>
        <v>0</v>
      </c>
      <c r="E8" s="3">
        <f>C8+D8</f>
        <v>654017.850798624</v>
      </c>
      <c r="F8" s="3">
        <f>IF(B8&gt;0,Inputs!$B$2*Inputs!$B$9*Inputs!$B$10*Inputs!$B$4*(1+Inputs!$B$21)^(B8-1),0)</f>
        <v>92547.94968</v>
      </c>
      <c r="G8" s="3">
        <f>IF(B8&gt;0,'Development budget'!B3*Inputs!$B$18*(1+Inputs!$B$21)^(B8-1),0)</f>
        <v>71440.52256</v>
      </c>
      <c r="H8" s="3">
        <f>IF(B8&gt;0,Inputs!$B$19*(1+Inputs!$B$21)^(B8-1),0)</f>
        <v>108243.216</v>
      </c>
      <c r="I8" s="3">
        <f>E8-SUM(F8:H8)</f>
        <v>381786.162558624</v>
      </c>
      <c r="J8" s="3">
        <f>IF(B8=Inputs!$B$28,Inputs!$B$29*(1+Inputs!$B$21)^(B8-1),0)</f>
        <v>0</v>
      </c>
      <c r="K8" s="3">
        <f>IF(B8=Inputs!$B$23,(E8*(1+Inputs!$B$20)-(F8+G8+H8)*(1+Inputs!$B$21))/Inputs!$B$25*(1-Inputs!$B$26)*Inputs!$B$30,0)</f>
        <v>0</v>
      </c>
      <c r="L8" s="3">
        <f>IF(A8=0,-'Development budget'!B9,I8-J8+K8)</f>
        <v>381786.162558624</v>
      </c>
      <c r="M8" s="3">
        <f>1/(1+Inputs!$B$22)^A8</f>
        <v>0.6663422238165123</v>
      </c>
      <c r="N8" s="3">
        <f>L8*M8</f>
        <v>254400.240581686</v>
      </c>
      <c r="O8" s="3">
        <f>SUM($L$2:L8)</f>
        <v>-9703227.709510174</v>
      </c>
      <c r="P8" s="3">
        <f>SUM($N$2:N8)</f>
        <v>-10135780.459268266</v>
      </c>
      <c r="Q8" s="3">
        <f>-'Development budget'!B9+SUM($I$2:I8)-SUM($J$2:J8)</f>
        <v>-9703227.709510174</v>
      </c>
      <c r="R8" s="3">
        <f>IF(AND(O7&lt;0,O8&gt;=0,L8&gt;0),A8-1-O7/L8,0)</f>
        <v>0</v>
      </c>
      <c r="S8" s="3">
        <f>IF(AND(P7&lt;0,P8&gt;=0,N8&gt;0),A8-1-P7/N8,0)</f>
        <v>0</v>
      </c>
    </row>
    <row r="9">
      <c r="A9" s="2" t="n">
        <v>7</v>
      </c>
      <c r="B9" s="3">
        <f>MAX(0,A9-Inputs!$B$24)</f>
        <v>6</v>
      </c>
      <c r="C9" s="3">
        <f>IF(B9&gt;0,Inputs!$B$2*Inputs!$B$9*Inputs!$B$10*'Executive report'!B8*(1+Inputs!$B$20)^(B9-1),0)</f>
        <v>667098.2078145965</v>
      </c>
      <c r="D9" s="3">
        <f>IF(B9&gt;0,Inputs!$B$2*Inputs!$B$9*Inputs!$B$10*'Executive report'!B9*(1+Inputs!$B$20)^(B9-1),0)</f>
        <v>0</v>
      </c>
      <c r="E9" s="3">
        <f>C9+D9</f>
        <v>667098.2078145965</v>
      </c>
      <c r="F9" s="3">
        <f>IF(B9&gt;0,Inputs!$B$2*Inputs!$B$9*Inputs!$B$10*Inputs!$B$4*(1+Inputs!$B$21)^(B9-1),0)</f>
        <v>94398.9086736</v>
      </c>
      <c r="G9" s="3">
        <f>IF(B9&gt;0,'Development budget'!B3*Inputs!$B$18*(1+Inputs!$B$21)^(B9-1),0)</f>
        <v>72869.3330112</v>
      </c>
      <c r="H9" s="3">
        <f>IF(B9&gt;0,Inputs!$B$19*(1+Inputs!$B$21)^(B9-1),0)</f>
        <v>110408.08032000001</v>
      </c>
      <c r="I9" s="3">
        <f>E9-SUM(F9:H9)</f>
        <v>389421.8858097965</v>
      </c>
      <c r="J9" s="3">
        <f>IF(B9=Inputs!$B$28,Inputs!$B$29*(1+Inputs!$B$21)^(B9-1),0)</f>
        <v>0</v>
      </c>
      <c r="K9" s="3">
        <f>IF(B9=Inputs!$B$23,(E9*(1+Inputs!$B$20)-(F9+G9+H9)*(1+Inputs!$B$21))/Inputs!$B$25*(1-Inputs!$B$26)*Inputs!$B$30,0)</f>
        <v>0</v>
      </c>
      <c r="L9" s="3">
        <f>IF(A9=0,-'Development budget'!B9,I9-J9+K9)</f>
        <v>389421.8858097965</v>
      </c>
      <c r="M9" s="3">
        <f>1/(1+Inputs!$B$22)^A9</f>
        <v>0.622749741884591</v>
      </c>
      <c r="N9" s="3">
        <f>L9*M9</f>
        <v>242512.3788722614</v>
      </c>
      <c r="O9" s="3">
        <f>SUM($L$2:L9)</f>
        <v>-9313805.823700378</v>
      </c>
      <c r="P9" s="3">
        <f>SUM($N$2:N9)</f>
        <v>-9893268.080396004</v>
      </c>
      <c r="Q9" s="3">
        <f>-'Development budget'!B9+SUM($I$2:I9)-SUM($J$2:J9)</f>
        <v>-9313805.823700378</v>
      </c>
      <c r="R9" s="3">
        <f>IF(AND(O8&lt;0,O9&gt;=0,L9&gt;0),A9-1-O8/L9,0)</f>
        <v>0</v>
      </c>
      <c r="S9" s="3">
        <f>IF(AND(P8&lt;0,P9&gt;=0,N9&gt;0),A9-1-P8/N9,0)</f>
        <v>0</v>
      </c>
    </row>
    <row r="10">
      <c r="A10" s="2" t="n">
        <v>8</v>
      </c>
      <c r="B10" s="3">
        <f>MAX(0,A10-Inputs!$B$24)</f>
        <v>7</v>
      </c>
      <c r="C10" s="3">
        <f>IF(B10&gt;0,Inputs!$B$2*Inputs!$B$9*Inputs!$B$10*'Executive report'!B8*(1+Inputs!$B$20)^(B10-1),0)</f>
        <v>680440.1719708885</v>
      </c>
      <c r="D10" s="3">
        <f>IF(B10&gt;0,Inputs!$B$2*Inputs!$B$9*Inputs!$B$10*'Executive report'!B9*(1+Inputs!$B$20)^(B10-1),0)</f>
        <v>0</v>
      </c>
      <c r="E10" s="3">
        <f>C10+D10</f>
        <v>680440.1719708885</v>
      </c>
      <c r="F10" s="3">
        <f>IF(B10&gt;0,Inputs!$B$2*Inputs!$B$9*Inputs!$B$10*Inputs!$B$4*(1+Inputs!$B$21)^(B10-1),0)</f>
        <v>96286.886847072</v>
      </c>
      <c r="G10" s="3">
        <f>IF(B10&gt;0,'Development budget'!B3*Inputs!$B$18*(1+Inputs!$B$21)^(B10-1),0)</f>
        <v>74326.719671424</v>
      </c>
      <c r="H10" s="3">
        <f>IF(B10&gt;0,Inputs!$B$19*(1+Inputs!$B$21)^(B10-1),0)</f>
        <v>112616.2419264</v>
      </c>
      <c r="I10" s="3">
        <f>E10-SUM(F10:H10)</f>
        <v>397210.32352599245</v>
      </c>
      <c r="J10" s="3">
        <f>IF(B10=Inputs!$B$28,Inputs!$B$29*(1+Inputs!$B$21)^(B10-1),0)</f>
        <v>0</v>
      </c>
      <c r="K10" s="3">
        <f>IF(B10=Inputs!$B$23,(E10*(1+Inputs!$B$20)-(F10+G10+H10)*(1+Inputs!$B$21))/Inputs!$B$25*(1-Inputs!$B$26)*Inputs!$B$30,0)</f>
        <v>0</v>
      </c>
      <c r="L10" s="3">
        <f>IF(A10=0,-'Development budget'!B9,I10-J10+K10)</f>
        <v>397210.32352599245</v>
      </c>
      <c r="M10" s="3">
        <f>1/(1+Inputs!$B$22)^A10</f>
        <v>0.5820091045650382</v>
      </c>
      <c r="N10" s="3">
        <f>L10*M10</f>
        <v>231180.024719352</v>
      </c>
      <c r="O10" s="3">
        <f>SUM($L$2:L10)</f>
        <v>-8916595.500174385</v>
      </c>
      <c r="P10" s="3">
        <f>SUM($N$2:N10)</f>
        <v>-9662088.055676652</v>
      </c>
      <c r="Q10" s="3">
        <f>-'Development budget'!B9+SUM($I$2:I10)-SUM($J$2:J10)</f>
        <v>-8916595.500174385</v>
      </c>
      <c r="R10" s="3">
        <f>IF(AND(O9&lt;0,O10&gt;=0,L10&gt;0),A10-1-O9/L10,0)</f>
        <v>0</v>
      </c>
      <c r="S10" s="3">
        <f>IF(AND(P9&lt;0,P10&gt;=0,N10&gt;0),A10-1-P9/N10,0)</f>
        <v>0</v>
      </c>
    </row>
    <row r="11">
      <c r="A11" s="2" t="n">
        <v>9</v>
      </c>
      <c r="B11" s="3">
        <f>MAX(0,A11-Inputs!$B$24)</f>
        <v>8</v>
      </c>
      <c r="C11" s="3">
        <f>IF(B11&gt;0,Inputs!$B$2*Inputs!$B$9*Inputs!$B$10*'Executive report'!B8*(1+Inputs!$B$20)^(B11-1),0)</f>
        <v>694048.9754103062</v>
      </c>
      <c r="D11" s="3">
        <f>IF(B11&gt;0,Inputs!$B$2*Inputs!$B$9*Inputs!$B$10*'Executive report'!B9*(1+Inputs!$B$20)^(B11-1),0)</f>
        <v>0</v>
      </c>
      <c r="E11" s="3">
        <f>C11+D11</f>
        <v>694048.9754103062</v>
      </c>
      <c r="F11" s="3">
        <f>IF(B11&gt;0,Inputs!$B$2*Inputs!$B$9*Inputs!$B$10*Inputs!$B$4*(1+Inputs!$B$21)^(B11-1),0)</f>
        <v>98212.62458401345</v>
      </c>
      <c r="G11" s="3">
        <f>IF(B11&gt;0,'Development budget'!B3*Inputs!$B$18*(1+Inputs!$B$21)^(B11-1),0)</f>
        <v>75813.25406485249</v>
      </c>
      <c r="H11" s="3">
        <f>IF(B11&gt;0,Inputs!$B$19*(1+Inputs!$B$21)^(B11-1),0)</f>
        <v>114868.56676492801</v>
      </c>
      <c r="I11" s="3">
        <f>E11-SUM(F11:H11)</f>
        <v>405154.5299965123</v>
      </c>
      <c r="J11" s="3">
        <f>IF(B11=Inputs!$B$28,Inputs!$B$29*(1+Inputs!$B$21)^(B11-1),0)</f>
        <v>0</v>
      </c>
      <c r="K11" s="3">
        <f>IF(B11=Inputs!$B$23,(E11*(1+Inputs!$B$20)-(F11+G11+H11)*(1+Inputs!$B$21))/Inputs!$B$25*(1-Inputs!$B$26)*Inputs!$B$30,0)</f>
        <v>0</v>
      </c>
      <c r="L11" s="3">
        <f>IF(A11=0,-'Development budget'!B9,I11-J11+K11)</f>
        <v>405154.5299965123</v>
      </c>
      <c r="M11" s="3">
        <f>1/(1+Inputs!$B$22)^A11</f>
        <v>0.5439337425841478</v>
      </c>
      <c r="N11" s="3">
        <f>L11*M11</f>
        <v>220377.21982592432</v>
      </c>
      <c r="O11" s="3">
        <f>SUM($L$2:L11)</f>
        <v>-8511440.970177872</v>
      </c>
      <c r="P11" s="3">
        <f>SUM($N$2:N11)</f>
        <v>-9441710.835850729</v>
      </c>
      <c r="Q11" s="3">
        <f>-'Development budget'!B9+SUM($I$2:I11)-SUM($J$2:J11)</f>
        <v>-8511440.970177872</v>
      </c>
      <c r="R11" s="3">
        <f>IF(AND(O10&lt;0,O11&gt;=0,L11&gt;0),A11-1-O10/L11,0)</f>
        <v>0</v>
      </c>
      <c r="S11" s="3">
        <f>IF(AND(P10&lt;0,P11&gt;=0,N11&gt;0),A11-1-P10/N11,0)</f>
        <v>0</v>
      </c>
    </row>
    <row r="12">
      <c r="A12" s="2" t="n">
        <v>10</v>
      </c>
      <c r="B12" s="3">
        <f>MAX(0,A12-Inputs!$B$24)</f>
        <v>9</v>
      </c>
      <c r="C12" s="3">
        <f>IF(B12&gt;0,Inputs!$B$2*Inputs!$B$9*Inputs!$B$10*'Executive report'!B8*(1+Inputs!$B$20)^(B12-1),0)</f>
        <v>707929.9549185124</v>
      </c>
      <c r="D12" s="3">
        <f>IF(B12&gt;0,Inputs!$B$2*Inputs!$B$9*Inputs!$B$10*'Executive report'!B9*(1+Inputs!$B$20)^(B12-1),0)</f>
        <v>0</v>
      </c>
      <c r="E12" s="3">
        <f>C12+D12</f>
        <v>707929.9549185124</v>
      </c>
      <c r="F12" s="3">
        <f>IF(B12&gt;0,Inputs!$B$2*Inputs!$B$9*Inputs!$B$10*Inputs!$B$4*(1+Inputs!$B$21)^(B12-1),0)</f>
        <v>100176.87707569372</v>
      </c>
      <c r="G12" s="3">
        <f>IF(B12&gt;0,'Development budget'!B3*Inputs!$B$18*(1+Inputs!$B$21)^(B12-1),0)</f>
        <v>77329.51914614954</v>
      </c>
      <c r="H12" s="3">
        <f>IF(B12&gt;0,Inputs!$B$19*(1+Inputs!$B$21)^(B12-1),0)</f>
        <v>117165.93810022657</v>
      </c>
      <c r="I12" s="3">
        <f>E12-SUM(F12:H12)</f>
        <v>413257.6205964426</v>
      </c>
      <c r="J12" s="3">
        <f>IF(B12=Inputs!$B$28,Inputs!$B$29*(1+Inputs!$B$21)^(B12-1),0)</f>
        <v>0</v>
      </c>
      <c r="K12" s="3">
        <f>IF(B12=Inputs!$B$23,(E12*(1+Inputs!$B$20)-(F12+G12+H12)*(1+Inputs!$B$21))/Inputs!$B$25*(1-Inputs!$B$26)*Inputs!$B$30,0)</f>
        <v>0</v>
      </c>
      <c r="L12" s="3">
        <f>IF(A12=0,-'Development budget'!B9,I12-J12+K12)</f>
        <v>413257.6205964426</v>
      </c>
      <c r="M12" s="3">
        <f>1/(1+Inputs!$B$22)^A12</f>
        <v>0.5083492921347176</v>
      </c>
      <c r="N12" s="3">
        <f>L12*M12</f>
        <v>210079.21889947928</v>
      </c>
      <c r="O12" s="3">
        <f>SUM($L$2:L12)</f>
        <v>-8098183.34958143</v>
      </c>
      <c r="P12" s="3">
        <f>SUM($N$2:N12)</f>
        <v>-9231631.61695125</v>
      </c>
      <c r="Q12" s="3">
        <f>-'Development budget'!B9+SUM($I$2:I12)-SUM($J$2:J12)</f>
        <v>-8098183.34958143</v>
      </c>
      <c r="R12" s="3">
        <f>IF(AND(O11&lt;0,O12&gt;=0,L12&gt;0),A12-1-O11/L12,0)</f>
        <v>0</v>
      </c>
      <c r="S12" s="3">
        <f>IF(AND(P11&lt;0,P12&gt;=0,N12&gt;0),A12-1-P11/N12,0)</f>
        <v>0</v>
      </c>
    </row>
    <row r="13">
      <c r="A13" s="2" t="n">
        <v>11</v>
      </c>
      <c r="B13" s="3">
        <f>MAX(0,A13-Inputs!$B$24)</f>
        <v>10</v>
      </c>
      <c r="C13" s="3">
        <f>IF(B13&gt;0,Inputs!$B$2*Inputs!$B$9*Inputs!$B$10*'Executive report'!B8*(1+Inputs!$B$20)^(B13-1),0)</f>
        <v>722088.5540168827</v>
      </c>
      <c r="D13" s="3">
        <f>IF(B13&gt;0,Inputs!$B$2*Inputs!$B$9*Inputs!$B$10*'Executive report'!B9*(1+Inputs!$B$20)^(B13-1),0)</f>
        <v>0</v>
      </c>
      <c r="E13" s="3">
        <f>C13+D13</f>
        <v>722088.5540168827</v>
      </c>
      <c r="F13" s="3">
        <f>IF(B13&gt;0,Inputs!$B$2*Inputs!$B$9*Inputs!$B$10*Inputs!$B$4*(1+Inputs!$B$21)^(B13-1),0)</f>
        <v>102180.4146172076</v>
      </c>
      <c r="G13" s="3">
        <f>IF(B13&gt;0,'Development budget'!B3*Inputs!$B$18*(1+Inputs!$B$21)^(B13-1),0)</f>
        <v>78876.10952907254</v>
      </c>
      <c r="H13" s="3">
        <f>IF(B13&gt;0,Inputs!$B$19*(1+Inputs!$B$21)^(B13-1),0)</f>
        <v>119509.25686223111</v>
      </c>
      <c r="I13" s="3">
        <f>E13-SUM(F13:H13)</f>
        <v>421522.7730083714</v>
      </c>
      <c r="J13" s="3">
        <f>IF(B13=Inputs!$B$28,Inputs!$B$29*(1+Inputs!$B$21)^(B13-1),0)</f>
        <v>0</v>
      </c>
      <c r="K13" s="3">
        <f>IF(B13=Inputs!$B$23,(E13*(1+Inputs!$B$20)-(F13+G13+H13)*(1+Inputs!$B$21))/Inputs!$B$25*(1-Inputs!$B$26)*Inputs!$B$30,0)</f>
        <v>0</v>
      </c>
      <c r="L13" s="3">
        <f>IF(A13=0,-'Development budget'!B9,I13-J13+K13)</f>
        <v>421522.7730083714</v>
      </c>
      <c r="M13" s="3">
        <f>1/(1+Inputs!$B$22)^A13</f>
        <v>0.47509279638758645</v>
      </c>
      <c r="N13" s="3">
        <f>L13*M13</f>
        <v>200262.43296959702</v>
      </c>
      <c r="O13" s="3">
        <f>SUM($L$2:L13)</f>
        <v>-7676660.576573058</v>
      </c>
      <c r="P13" s="3">
        <f>SUM($N$2:N13)</f>
        <v>-9031369.183981653</v>
      </c>
      <c r="Q13" s="3">
        <f>-'Development budget'!B9+SUM($I$2:I13)-SUM($J$2:J13)</f>
        <v>-7676660.576573058</v>
      </c>
      <c r="R13" s="3">
        <f>IF(AND(O12&lt;0,O13&gt;=0,L13&gt;0),A13-1-O12/L13,0)</f>
        <v>0</v>
      </c>
      <c r="S13" s="3">
        <f>IF(AND(P12&lt;0,P13&gt;=0,N13&gt;0),A13-1-P12/N13,0)</f>
        <v>0</v>
      </c>
    </row>
    <row r="14">
      <c r="A14" s="2" t="n">
        <v>12</v>
      </c>
      <c r="B14" s="3">
        <f>MAX(0,A14-Inputs!$B$24)</f>
        <v>11</v>
      </c>
      <c r="C14" s="3">
        <f>IF(B14&gt;0,Inputs!$B$2*Inputs!$B$9*Inputs!$B$10*'Executive report'!B8*(1+Inputs!$B$20)^(B14-1),0)</f>
        <v>736530.3250972204</v>
      </c>
      <c r="D14" s="3">
        <f>IF(B14&gt;0,Inputs!$B$2*Inputs!$B$9*Inputs!$B$10*'Executive report'!B9*(1+Inputs!$B$20)^(B14-1),0)</f>
        <v>0</v>
      </c>
      <c r="E14" s="3">
        <f>C14+D14</f>
        <v>736530.3250972204</v>
      </c>
      <c r="F14" s="3">
        <f>IF(B14&gt;0,Inputs!$B$2*Inputs!$B$9*Inputs!$B$10*Inputs!$B$4*(1+Inputs!$B$21)^(B14-1),0)</f>
        <v>104224.02290955176</v>
      </c>
      <c r="G14" s="3">
        <f>IF(B14&gt;0,'Development budget'!B3*Inputs!$B$18*(1+Inputs!$B$21)^(B14-1),0)</f>
        <v>80453.63171965399</v>
      </c>
      <c r="H14" s="3">
        <f>IF(B14&gt;0,Inputs!$B$19*(1+Inputs!$B$21)^(B14-1),0)</f>
        <v>121899.44199947573</v>
      </c>
      <c r="I14" s="3">
        <f>E14-SUM(F14:H14)</f>
        <v>429953.22846853896</v>
      </c>
      <c r="J14" s="3">
        <f>IF(B14=Inputs!$B$28,Inputs!$B$29*(1+Inputs!$B$21)^(B14-1),0)</f>
        <v>0</v>
      </c>
      <c r="K14" s="3">
        <f>IF(B14=Inputs!$B$23,(E14*(1+Inputs!$B$20)-(F14+G14+H14)*(1+Inputs!$B$21))/Inputs!$B$25*(1-Inputs!$B$26)*Inputs!$B$30,0)</f>
        <v>0</v>
      </c>
      <c r="L14" s="3">
        <f>IF(A14=0,-'Development budget'!B9,I14-J14+K14)</f>
        <v>429953.22846853896</v>
      </c>
      <c r="M14" s="3">
        <f>1/(1+Inputs!$B$22)^A14</f>
        <v>0.444011959240735</v>
      </c>
      <c r="N14" s="3">
        <f>L14*M14</f>
        <v>190904.37535419536</v>
      </c>
      <c r="O14" s="3">
        <f>SUM($L$2:L14)</f>
        <v>-7246707.348104519</v>
      </c>
      <c r="P14" s="3">
        <f>SUM($N$2:N14)</f>
        <v>-8840464.808627458</v>
      </c>
      <c r="Q14" s="3">
        <f>-'Development budget'!B9+SUM($I$2:I14)-SUM($J$2:J14)</f>
        <v>-7246707.348104519</v>
      </c>
      <c r="R14" s="3">
        <f>IF(AND(O13&lt;0,O14&gt;=0,L14&gt;0),A14-1-O13/L14,0)</f>
        <v>0</v>
      </c>
      <c r="S14" s="3">
        <f>IF(AND(P13&lt;0,P14&gt;=0,N14&gt;0),A14-1-P13/N14,0)</f>
        <v>0</v>
      </c>
    </row>
    <row r="15">
      <c r="A15" s="2" t="n">
        <v>13</v>
      </c>
      <c r="B15" s="3">
        <f>MAX(0,A15-Inputs!$B$24)</f>
        <v>12</v>
      </c>
      <c r="C15" s="3">
        <f>IF(B15&gt;0,Inputs!$B$2*Inputs!$B$9*Inputs!$B$10*'Executive report'!B8*(1+Inputs!$B$20)^(B15-1),0)</f>
        <v>751260.9315991647</v>
      </c>
      <c r="D15" s="3">
        <f>IF(B15&gt;0,Inputs!$B$2*Inputs!$B$9*Inputs!$B$10*'Executive report'!B9*(1+Inputs!$B$20)^(B15-1),0)</f>
        <v>0</v>
      </c>
      <c r="E15" s="3">
        <f>C15+D15</f>
        <v>751260.9315991647</v>
      </c>
      <c r="F15" s="3">
        <f>IF(B15&gt;0,Inputs!$B$2*Inputs!$B$9*Inputs!$B$10*Inputs!$B$4*(1+Inputs!$B$21)^(B15-1),0)</f>
        <v>106308.50336774279</v>
      </c>
      <c r="G15" s="3">
        <f>IF(B15&gt;0,'Development budget'!B3*Inputs!$B$18*(1+Inputs!$B$21)^(B15-1),0)</f>
        <v>82062.70435404706</v>
      </c>
      <c r="H15" s="3">
        <f>IF(B15&gt;0,Inputs!$B$19*(1+Inputs!$B$21)^(B15-1),0)</f>
        <v>124337.43083946525</v>
      </c>
      <c r="I15" s="3">
        <f>E15-SUM(F15:H15)</f>
        <v>438552.29303790967</v>
      </c>
      <c r="J15" s="3">
        <f>IF(B15=Inputs!$B$28,Inputs!$B$29*(1+Inputs!$B$21)^(B15-1),0)</f>
        <v>0</v>
      </c>
      <c r="K15" s="3">
        <f>IF(B15=Inputs!$B$23,(E15*(1+Inputs!$B$20)-(F15+G15+H15)*(1+Inputs!$B$21))/Inputs!$B$25*(1-Inputs!$B$26)*Inputs!$B$30,0)</f>
        <v>0</v>
      </c>
      <c r="L15" s="3">
        <f>IF(A15=0,-'Development budget'!B9,I15-J15+K15)</f>
        <v>438552.29303790967</v>
      </c>
      <c r="M15" s="3">
        <f>1/(1+Inputs!$B$22)^A15</f>
        <v>0.41496444788853737</v>
      </c>
      <c r="N15" s="3">
        <f>L15*M15</f>
        <v>181983.61015072823</v>
      </c>
      <c r="O15" s="3">
        <f>SUM($L$2:L15)</f>
        <v>-6808155.055066609</v>
      </c>
      <c r="P15" s="3">
        <f>SUM($N$2:N15)</f>
        <v>-8658481.19847673</v>
      </c>
      <c r="Q15" s="3">
        <f>-'Development budget'!B9+SUM($I$2:I15)-SUM($J$2:J15)</f>
        <v>-6808155.055066609</v>
      </c>
      <c r="R15" s="3">
        <f>IF(AND(O14&lt;0,O15&gt;=0,L15&gt;0),A15-1-O14/L15,0)</f>
        <v>0</v>
      </c>
      <c r="S15" s="3">
        <f>IF(AND(P14&lt;0,P15&gt;=0,N15&gt;0),A15-1-P14/N15,0)</f>
        <v>0</v>
      </c>
    </row>
    <row r="16">
      <c r="A16" s="2" t="n">
        <v>14</v>
      </c>
      <c r="B16" s="3">
        <f>MAX(0,A16-Inputs!$B$24)</f>
        <v>13</v>
      </c>
      <c r="C16" s="3">
        <f>IF(B16&gt;0,Inputs!$B$2*Inputs!$B$9*Inputs!$B$10*'Executive report'!B8*(1+Inputs!$B$20)^(B16-1),0)</f>
        <v>766286.150231148</v>
      </c>
      <c r="D16" s="3">
        <f>IF(B16&gt;0,Inputs!$B$2*Inputs!$B$9*Inputs!$B$10*'Executive report'!B9*(1+Inputs!$B$20)^(B16-1),0)</f>
        <v>0</v>
      </c>
      <c r="E16" s="3">
        <f>C16+D16</f>
        <v>766286.150231148</v>
      </c>
      <c r="F16" s="3">
        <f>IF(B16&gt;0,Inputs!$B$2*Inputs!$B$9*Inputs!$B$10*Inputs!$B$4*(1+Inputs!$B$21)^(B16-1),0)</f>
        <v>108434.67343509763</v>
      </c>
      <c r="G16" s="3">
        <f>IF(B16&gt;0,'Development budget'!B3*Inputs!$B$18*(1+Inputs!$B$21)^(B16-1),0)</f>
        <v>83703.95844112801</v>
      </c>
      <c r="H16" s="3">
        <f>IF(B16&gt;0,Inputs!$B$19*(1+Inputs!$B$21)^(B16-1),0)</f>
        <v>126824.17945625455</v>
      </c>
      <c r="I16" s="3">
        <f>E16-SUM(F16:H16)</f>
        <v>447323.3388986677</v>
      </c>
      <c r="J16" s="3">
        <f>IF(B16=Inputs!$B$28,Inputs!$B$29*(1+Inputs!$B$21)^(B16-1),0)</f>
        <v>0</v>
      </c>
      <c r="K16" s="3">
        <f>IF(B16=Inputs!$B$23,(E16*(1+Inputs!$B$20)-(F16+G16+H16)*(1+Inputs!$B$21))/Inputs!$B$25*(1-Inputs!$B$26)*Inputs!$B$30,0)</f>
        <v>0</v>
      </c>
      <c r="L16" s="3">
        <f>IF(A16=0,-'Development budget'!B9,I16-J16+K16)</f>
        <v>447323.3388986677</v>
      </c>
      <c r="M16" s="3">
        <f>1/(1+Inputs!$B$22)^A16</f>
        <v>0.3878172410173246</v>
      </c>
      <c r="N16" s="3">
        <f>L16*M16</f>
        <v>173479.703134339</v>
      </c>
      <c r="O16" s="3">
        <f>SUM($L$2:L16)</f>
        <v>-6360831.716167941</v>
      </c>
      <c r="P16" s="3">
        <f>SUM($N$2:N16)</f>
        <v>-8485001.49534239</v>
      </c>
      <c r="Q16" s="3">
        <f>-'Development budget'!B9+SUM($I$2:I16)-SUM($J$2:J16)</f>
        <v>-6360831.716167941</v>
      </c>
      <c r="R16" s="3">
        <f>IF(AND(O15&lt;0,O16&gt;=0,L16&gt;0),A16-1-O15/L16,0)</f>
        <v>0</v>
      </c>
      <c r="S16" s="3">
        <f>IF(AND(P15&lt;0,P16&gt;=0,N16&gt;0),A16-1-P15/N16,0)</f>
        <v>0</v>
      </c>
    </row>
    <row r="17">
      <c r="A17" s="2" t="n">
        <v>15</v>
      </c>
      <c r="B17" s="3">
        <f>MAX(0,A17-Inputs!$B$24)</f>
        <v>14</v>
      </c>
      <c r="C17" s="3">
        <f>IF(B17&gt;0,Inputs!$B$2*Inputs!$B$9*Inputs!$B$10*'Executive report'!B8*(1+Inputs!$B$20)^(B17-1),0)</f>
        <v>781611.8732357711</v>
      </c>
      <c r="D17" s="3">
        <f>IF(B17&gt;0,Inputs!$B$2*Inputs!$B$9*Inputs!$B$10*'Executive report'!B9*(1+Inputs!$B$20)^(B17-1),0)</f>
        <v>0</v>
      </c>
      <c r="E17" s="3">
        <f>C17+D17</f>
        <v>781611.8732357711</v>
      </c>
      <c r="F17" s="3">
        <f>IF(B17&gt;0,Inputs!$B$2*Inputs!$B$9*Inputs!$B$10*Inputs!$B$4*(1+Inputs!$B$21)^(B17-1),0)</f>
        <v>110603.3669037996</v>
      </c>
      <c r="G17" s="3">
        <f>IF(B17&gt;0,'Development budget'!B3*Inputs!$B$18*(1+Inputs!$B$21)^(B17-1),0)</f>
        <v>85378.03760995057</v>
      </c>
      <c r="H17" s="3">
        <f>IF(B17&gt;0,Inputs!$B$19*(1+Inputs!$B$21)^(B17-1),0)</f>
        <v>129360.66304537965</v>
      </c>
      <c r="I17" s="3">
        <f>E17-SUM(F17:H17)</f>
        <v>456269.8056766413</v>
      </c>
      <c r="J17" s="3">
        <f>IF(B17=Inputs!$B$28,Inputs!$B$29*(1+Inputs!$B$21)^(B17-1),0)</f>
        <v>0</v>
      </c>
      <c r="K17" s="3">
        <f>IF(B17=Inputs!$B$23,(E17*(1+Inputs!$B$20)-(F17+G17+H17)*(1+Inputs!$B$21))/Inputs!$B$25*(1-Inputs!$B$26)*Inputs!$B$30,0)</f>
        <v>0</v>
      </c>
      <c r="L17" s="3">
        <f>IF(A17=0,-'Development budget'!B9,I17-J17+K17)</f>
        <v>456269.8056766413</v>
      </c>
      <c r="M17" s="3">
        <f>1/(1+Inputs!$B$22)^A17</f>
        <v>0.36244601964235945</v>
      </c>
      <c r="N17" s="3">
        <f>L17*M17</f>
        <v>165373.17495049146</v>
      </c>
      <c r="O17" s="3">
        <f>SUM($L$2:L17)</f>
        <v>-5904561.9104913</v>
      </c>
      <c r="P17" s="3">
        <f>SUM($N$2:N17)</f>
        <v>-8319628.320391899</v>
      </c>
      <c r="Q17" s="3">
        <f>-'Development budget'!B9+SUM($I$2:I17)-SUM($J$2:J17)</f>
        <v>-5904561.9104913</v>
      </c>
      <c r="R17" s="3">
        <f>IF(AND(O16&lt;0,O17&gt;=0,L17&gt;0),A17-1-O16/L17,0)</f>
        <v>0</v>
      </c>
      <c r="S17" s="3">
        <f>IF(AND(P16&lt;0,P17&gt;=0,N17&gt;0),A17-1-P16/N17,0)</f>
        <v>0</v>
      </c>
    </row>
    <row r="18">
      <c r="A18" s="2" t="n">
        <v>16</v>
      </c>
      <c r="B18" s="3">
        <f>MAX(0,A18-Inputs!$B$24)</f>
        <v>15</v>
      </c>
      <c r="C18" s="3">
        <f>IF(B18&gt;0,Inputs!$B$2*Inputs!$B$9*Inputs!$B$10*'Executive report'!B8*(1+Inputs!$B$20)^(B18-1),0)</f>
        <v>797244.1107004865</v>
      </c>
      <c r="D18" s="3">
        <f>IF(B18&gt;0,Inputs!$B$2*Inputs!$B$9*Inputs!$B$10*'Executive report'!B9*(1+Inputs!$B$20)^(B18-1),0)</f>
        <v>0</v>
      </c>
      <c r="E18" s="3">
        <f>C18+D18</f>
        <v>797244.1107004865</v>
      </c>
      <c r="F18" s="3">
        <f>IF(B18&gt;0,Inputs!$B$2*Inputs!$B$9*Inputs!$B$10*Inputs!$B$4*(1+Inputs!$B$21)^(B18-1),0)</f>
        <v>112815.43424187558</v>
      </c>
      <c r="G18" s="3">
        <f>IF(B18&gt;0,'Development budget'!B3*Inputs!$B$18*(1+Inputs!$B$21)^(B18-1),0)</f>
        <v>87085.59836214958</v>
      </c>
      <c r="H18" s="3">
        <f>IF(B18&gt;0,Inputs!$B$19*(1+Inputs!$B$21)^(B18-1),0)</f>
        <v>131947.87630628725</v>
      </c>
      <c r="I18" s="3">
        <f>E18-SUM(F18:H18)</f>
        <v>465395.2017901741</v>
      </c>
      <c r="J18" s="3">
        <f>IF(B18=Inputs!$B$28,Inputs!$B$29*(1+Inputs!$B$21)^(B18-1),0)</f>
        <v>395843.62891886174</v>
      </c>
      <c r="K18" s="3">
        <f>IF(B18=Inputs!$B$23,(E18*(1+Inputs!$B$20)-(F18+G18+H18)*(1+Inputs!$B$21))/Inputs!$B$25*(1-Inputs!$B$26)*Inputs!$B$30,0)</f>
        <v>0</v>
      </c>
      <c r="L18" s="3">
        <f>IF(A18=0,-'Development budget'!B9,I18-J18+K18)</f>
        <v>69551.57287131238</v>
      </c>
      <c r="M18" s="3">
        <f>1/(1+Inputs!$B$22)^A18</f>
        <v>0.33873459779659754</v>
      </c>
      <c r="N18" s="3">
        <f>L18*M18</f>
        <v>23559.524062684748</v>
      </c>
      <c r="O18" s="3">
        <f>SUM($L$2:L18)</f>
        <v>-5835010.337619987</v>
      </c>
      <c r="P18" s="3">
        <f>SUM($N$2:N18)</f>
        <v>-8296068.796329214</v>
      </c>
      <c r="Q18" s="3">
        <f>-'Development budget'!B9+SUM($I$2:I18)-SUM($J$2:J18)</f>
        <v>-5835010.337619987</v>
      </c>
      <c r="R18" s="3">
        <f>IF(AND(O17&lt;0,O18&gt;=0,L18&gt;0),A18-1-O17/L18,0)</f>
        <v>0</v>
      </c>
      <c r="S18" s="3">
        <f>IF(AND(P17&lt;0,P18&gt;=0,N18&gt;0),A18-1-P17/N18,0)</f>
        <v>0</v>
      </c>
    </row>
    <row r="19">
      <c r="A19" s="2" t="n">
        <v>17</v>
      </c>
      <c r="B19" s="3">
        <f>MAX(0,A19-Inputs!$B$24)</f>
        <v>16</v>
      </c>
      <c r="C19" s="3">
        <f>IF(B19&gt;0,Inputs!$B$2*Inputs!$B$9*Inputs!$B$10*'Executive report'!B8*(1+Inputs!$B$20)^(B19-1),0)</f>
        <v>813188.9929144962</v>
      </c>
      <c r="D19" s="3">
        <f>IF(B19&gt;0,Inputs!$B$2*Inputs!$B$9*Inputs!$B$10*'Executive report'!B9*(1+Inputs!$B$20)^(B19-1),0)</f>
        <v>0</v>
      </c>
      <c r="E19" s="3">
        <f>C19+D19</f>
        <v>813188.9929144962</v>
      </c>
      <c r="F19" s="3">
        <f>IF(B19&gt;0,Inputs!$B$2*Inputs!$B$9*Inputs!$B$10*Inputs!$B$4*(1+Inputs!$B$21)^(B19-1),0)</f>
        <v>115071.74292671311</v>
      </c>
      <c r="G19" s="3">
        <f>IF(B19&gt;0,'Development budget'!B3*Inputs!$B$18*(1+Inputs!$B$21)^(B19-1),0)</f>
        <v>88827.31032939257</v>
      </c>
      <c r="H19" s="3">
        <f>IF(B19&gt;0,Inputs!$B$19*(1+Inputs!$B$21)^(B19-1),0)</f>
        <v>134586.833832413</v>
      </c>
      <c r="I19" s="3">
        <f>E19-SUM(F19:H19)</f>
        <v>474703.10582597763</v>
      </c>
      <c r="J19" s="3">
        <f>IF(B19=Inputs!$B$28,Inputs!$B$29*(1+Inputs!$B$21)^(B19-1),0)</f>
        <v>0</v>
      </c>
      <c r="K19" s="3">
        <f>IF(B19=Inputs!$B$23,(E19*(1+Inputs!$B$20)-(F19+G19+H19)*(1+Inputs!$B$21))/Inputs!$B$25*(1-Inputs!$B$26)*Inputs!$B$30,0)</f>
        <v>0</v>
      </c>
      <c r="L19" s="3">
        <f>IF(A19=0,-'Development budget'!B9,I19-J19+K19)</f>
        <v>474703.10582597763</v>
      </c>
      <c r="M19" s="3">
        <f>1/(1+Inputs!$B$22)^A19</f>
        <v>0.3165743904641099</v>
      </c>
      <c r="N19" s="3">
        <f>L19*M19</f>
        <v>150278.84637827871</v>
      </c>
      <c r="O19" s="3">
        <f>SUM($L$2:L19)</f>
        <v>-5360307.23179401</v>
      </c>
      <c r="P19" s="3">
        <f>SUM($N$2:N19)</f>
        <v>-8145789.949950935</v>
      </c>
      <c r="Q19" s="3">
        <f>-'Development budget'!B9+SUM($I$2:I19)-SUM($J$2:J19)</f>
        <v>-5360307.23179401</v>
      </c>
      <c r="R19" s="3">
        <f>IF(AND(O18&lt;0,O19&gt;=0,L19&gt;0),A19-1-O18/L19,0)</f>
        <v>0</v>
      </c>
      <c r="S19" s="3">
        <f>IF(AND(P18&lt;0,P19&gt;=0,N19&gt;0),A19-1-P18/N19,0)</f>
        <v>0</v>
      </c>
    </row>
    <row r="20">
      <c r="A20" s="2" t="n">
        <v>18</v>
      </c>
      <c r="B20" s="3">
        <f>MAX(0,A20-Inputs!$B$24)</f>
        <v>17</v>
      </c>
      <c r="C20" s="3">
        <f>IF(B20&gt;0,Inputs!$B$2*Inputs!$B$9*Inputs!$B$10*'Executive report'!B8*(1+Inputs!$B$20)^(B20-1),0)</f>
        <v>829452.7727727861</v>
      </c>
      <c r="D20" s="3">
        <f>IF(B20&gt;0,Inputs!$B$2*Inputs!$B$9*Inputs!$B$10*'Executive report'!B9*(1+Inputs!$B$20)^(B20-1),0)</f>
        <v>0</v>
      </c>
      <c r="E20" s="3">
        <f>C20+D20</f>
        <v>829452.7727727861</v>
      </c>
      <c r="F20" s="3">
        <f>IF(B20&gt;0,Inputs!$B$2*Inputs!$B$9*Inputs!$B$10*Inputs!$B$4*(1+Inputs!$B$21)^(B20-1),0)</f>
        <v>117373.17778524736</v>
      </c>
      <c r="G20" s="3">
        <f>IF(B20&gt;0,'Development budget'!B3*Inputs!$B$18*(1+Inputs!$B$21)^(B20-1),0)</f>
        <v>90603.85653598042</v>
      </c>
      <c r="H20" s="3">
        <f>IF(B20&gt;0,Inputs!$B$19*(1+Inputs!$B$21)^(B20-1),0)</f>
        <v>137278.57050906125</v>
      </c>
      <c r="I20" s="3">
        <f>E20-SUM(F20:H20)</f>
        <v>484197.1679424972</v>
      </c>
      <c r="J20" s="3">
        <f>IF(B20=Inputs!$B$28,Inputs!$B$29*(1+Inputs!$B$21)^(B20-1),0)</f>
        <v>0</v>
      </c>
      <c r="K20" s="3">
        <f>IF(B20=Inputs!$B$23,(E20*(1+Inputs!$B$20)-(F20+G20+H20)*(1+Inputs!$B$21))/Inputs!$B$25*(1-Inputs!$B$26)*Inputs!$B$30,0)</f>
        <v>0</v>
      </c>
      <c r="L20" s="3">
        <f>IF(A20=0,-'Development budget'!B9,I20-J20+K20)</f>
        <v>484197.1679424972</v>
      </c>
      <c r="M20" s="3">
        <f>1/(1+Inputs!$B$22)^A20</f>
        <v>0.295863916321598</v>
      </c>
      <c r="N20" s="3">
        <f>L20*M20</f>
        <v>143256.47037929372</v>
      </c>
      <c r="O20" s="3">
        <f>SUM($L$2:L20)</f>
        <v>-4876110.063851513</v>
      </c>
      <c r="P20" s="3">
        <f>SUM($N$2:N20)</f>
        <v>-8002533.479571641</v>
      </c>
      <c r="Q20" s="3">
        <f>-'Development budget'!B9+SUM($I$2:I20)-SUM($J$2:J20)</f>
        <v>-4876110.063851513</v>
      </c>
      <c r="R20" s="3">
        <f>IF(AND(O19&lt;0,O20&gt;=0,L20&gt;0),A20-1-O19/L20,0)</f>
        <v>0</v>
      </c>
      <c r="S20" s="3">
        <f>IF(AND(P19&lt;0,P20&gt;=0,N20&gt;0),A20-1-P19/N20,0)</f>
        <v>0</v>
      </c>
    </row>
    <row r="21">
      <c r="A21" s="2" t="n">
        <v>19</v>
      </c>
      <c r="B21" s="3">
        <f>MAX(0,A21-Inputs!$B$24)</f>
        <v>18</v>
      </c>
      <c r="C21" s="3">
        <f>IF(B21&gt;0,Inputs!$B$2*Inputs!$B$9*Inputs!$B$10*'Executive report'!B8*(1+Inputs!$B$20)^(B21-1),0)</f>
        <v>846041.8282282419</v>
      </c>
      <c r="D21" s="3">
        <f>IF(B21&gt;0,Inputs!$B$2*Inputs!$B$9*Inputs!$B$10*'Executive report'!B9*(1+Inputs!$B$20)^(B21-1),0)</f>
        <v>0</v>
      </c>
      <c r="E21" s="3">
        <f>C21+D21</f>
        <v>846041.8282282419</v>
      </c>
      <c r="F21" s="3">
        <f>IF(B21&gt;0,Inputs!$B$2*Inputs!$B$9*Inputs!$B$10*Inputs!$B$4*(1+Inputs!$B$21)^(B21-1),0)</f>
        <v>119720.64134095232</v>
      </c>
      <c r="G21" s="3">
        <f>IF(B21&gt;0,'Development budget'!B3*Inputs!$B$18*(1+Inputs!$B$21)^(B21-1),0)</f>
        <v>92415.93366670005</v>
      </c>
      <c r="H21" s="3">
        <f>IF(B21&gt;0,Inputs!$B$19*(1+Inputs!$B$21)^(B21-1),0)</f>
        <v>140024.14191924248</v>
      </c>
      <c r="I21" s="3">
        <f>E21-SUM(F21:H21)</f>
        <v>493881.11130134703</v>
      </c>
      <c r="J21" s="3">
        <f>IF(B21=Inputs!$B$28,Inputs!$B$29*(1+Inputs!$B$21)^(B21-1),0)</f>
        <v>0</v>
      </c>
      <c r="K21" s="3">
        <f>IF(B21=Inputs!$B$23,(E21*(1+Inputs!$B$20)-(F21+G21+H21)*(1+Inputs!$B$21))/Inputs!$B$25*(1-Inputs!$B$26)*Inputs!$B$30,0)</f>
        <v>0</v>
      </c>
      <c r="L21" s="3">
        <f>IF(A21=0,-'Development budget'!B9,I21-J21+K21)</f>
        <v>493881.11130134703</v>
      </c>
      <c r="M21" s="3">
        <f>1/(1+Inputs!$B$22)^A21</f>
        <v>0.2765083330108392</v>
      </c>
      <c r="N21" s="3">
        <f>L21*M21</f>
        <v>136562.24279147622</v>
      </c>
      <c r="O21" s="3">
        <f>SUM($L$2:L21)</f>
        <v>-4382228.952550166</v>
      </c>
      <c r="P21" s="3">
        <f>SUM($N$2:N21)</f>
        <v>-7865971.236780165</v>
      </c>
      <c r="Q21" s="3">
        <f>-'Development budget'!B9+SUM($I$2:I21)-SUM($J$2:J21)</f>
        <v>-4382228.952550166</v>
      </c>
      <c r="R21" s="3">
        <f>IF(AND(O20&lt;0,O21&gt;=0,L21&gt;0),A21-1-O20/L21,0)</f>
        <v>0</v>
      </c>
      <c r="S21" s="3">
        <f>IF(AND(P20&lt;0,P21&gt;=0,N21&gt;0),A21-1-P20/N21,0)</f>
        <v>0</v>
      </c>
    </row>
    <row r="22">
      <c r="A22" s="2" t="n">
        <v>20</v>
      </c>
      <c r="B22" s="3">
        <f>MAX(0,A22-Inputs!$B$24)</f>
        <v>19</v>
      </c>
      <c r="C22" s="3">
        <f>IF(B22&gt;0,Inputs!$B$2*Inputs!$B$9*Inputs!$B$10*'Executive report'!B8*(1+Inputs!$B$20)^(B22-1),0)</f>
        <v>862962.6647928067</v>
      </c>
      <c r="D22" s="3">
        <f>IF(B22&gt;0,Inputs!$B$2*Inputs!$B$9*Inputs!$B$10*'Executive report'!B9*(1+Inputs!$B$20)^(B22-1),0)</f>
        <v>0</v>
      </c>
      <c r="E22" s="3">
        <f>C22+D22</f>
        <v>862962.6647928067</v>
      </c>
      <c r="F22" s="3">
        <f>IF(B22&gt;0,Inputs!$B$2*Inputs!$B$9*Inputs!$B$10*Inputs!$B$4*(1+Inputs!$B$21)^(B22-1),0)</f>
        <v>122115.05416777138</v>
      </c>
      <c r="G22" s="3">
        <f>IF(B22&gt;0,'Development budget'!B3*Inputs!$B$18*(1+Inputs!$B$21)^(B22-1),0)</f>
        <v>94264.25234003404</v>
      </c>
      <c r="H22" s="3">
        <f>IF(B22&gt;0,Inputs!$B$19*(1+Inputs!$B$21)^(B22-1),0)</f>
        <v>142824.62475762735</v>
      </c>
      <c r="I22" s="3">
        <f>E22-SUM(F22:H22)</f>
        <v>503758.733527374</v>
      </c>
      <c r="J22" s="3">
        <f>IF(B22=Inputs!$B$28,Inputs!$B$29*(1+Inputs!$B$21)^(B22-1),0)</f>
        <v>0</v>
      </c>
      <c r="K22" s="3">
        <f>IF(B22=Inputs!$B$23,(E22*(1+Inputs!$B$20)-(F22+G22+H22)*(1+Inputs!$B$21))/Inputs!$B$25*(1-Inputs!$B$26)*Inputs!$B$30,0)</f>
        <v>0</v>
      </c>
      <c r="L22" s="3">
        <f>IF(A22=0,-'Development budget'!B9,I22-J22+K22)</f>
        <v>503758.733527374</v>
      </c>
      <c r="M22" s="3">
        <f>1/(1+Inputs!$B$22)^A22</f>
        <v>0.2584190028138684</v>
      </c>
      <c r="N22" s="3">
        <f>L22*M22</f>
        <v>130180.82957692126</v>
      </c>
      <c r="O22" s="3">
        <f>SUM($L$2:L22)</f>
        <v>-3878470.2190227923</v>
      </c>
      <c r="P22" s="3">
        <f>SUM($N$2:N22)</f>
        <v>-7735790.407203243</v>
      </c>
      <c r="Q22" s="3">
        <f>-'Development budget'!B9+SUM($I$2:I22)-SUM($J$2:J22)</f>
        <v>-3878470.2190227923</v>
      </c>
      <c r="R22" s="3">
        <f>IF(AND(O21&lt;0,O22&gt;=0,L22&gt;0),A22-1-O21/L22,0)</f>
        <v>0</v>
      </c>
      <c r="S22" s="3">
        <f>IF(AND(P21&lt;0,P22&gt;=0,N22&gt;0),A22-1-P21/N22,0)</f>
        <v>0</v>
      </c>
    </row>
    <row r="23">
      <c r="A23" s="2" t="n">
        <v>21</v>
      </c>
      <c r="B23" s="3">
        <f>MAX(0,A23-Inputs!$B$24)</f>
        <v>20</v>
      </c>
      <c r="C23" s="3">
        <f>IF(B23&gt;0,Inputs!$B$2*Inputs!$B$9*Inputs!$B$10*'Executive report'!B8*(1+Inputs!$B$20)^(B23-1),0)</f>
        <v>880221.9180886629</v>
      </c>
      <c r="D23" s="3">
        <f>IF(B23&gt;0,Inputs!$B$2*Inputs!$B$9*Inputs!$B$10*'Executive report'!B9*(1+Inputs!$B$20)^(B23-1),0)</f>
        <v>0</v>
      </c>
      <c r="E23" s="3">
        <f>C23+D23</f>
        <v>880221.9180886629</v>
      </c>
      <c r="F23" s="3">
        <f>IF(B23&gt;0,Inputs!$B$2*Inputs!$B$9*Inputs!$B$10*Inputs!$B$4*(1+Inputs!$B$21)^(B23-1),0)</f>
        <v>124557.35525112679</v>
      </c>
      <c r="G23" s="3">
        <f>IF(B23&gt;0,'Development budget'!B3*Inputs!$B$18*(1+Inputs!$B$21)^(B23-1),0)</f>
        <v>96149.53738683472</v>
      </c>
      <c r="H23" s="3">
        <f>IF(B23&gt;0,Inputs!$B$19*(1+Inputs!$B$21)^(B23-1),0)</f>
        <v>145681.1172527799</v>
      </c>
      <c r="I23" s="3">
        <f>E23-SUM(F23:H23)</f>
        <v>513833.90819792147</v>
      </c>
      <c r="J23" s="3">
        <f>IF(B23=Inputs!$B$28,Inputs!$B$29*(1+Inputs!$B$21)^(B23-1),0)</f>
        <v>0</v>
      </c>
      <c r="K23" s="3">
        <f>IF(B23=Inputs!$B$23,(E23*(1+Inputs!$B$20)-(F23+G23+H23)*(1+Inputs!$B$21))/Inputs!$B$25*(1-Inputs!$B$26)*Inputs!$B$30,0)</f>
        <v>0</v>
      </c>
      <c r="L23" s="3">
        <f>IF(A23=0,-'Development budget'!B9,I23-J23+K23)</f>
        <v>513833.90819792147</v>
      </c>
      <c r="M23" s="3">
        <f>1/(1+Inputs!$B$22)^A23</f>
        <v>0.2415130867419331</v>
      </c>
      <c r="N23" s="3">
        <f>L23*M23</f>
        <v>124097.6132415511</v>
      </c>
      <c r="O23" s="3">
        <f>SUM($L$2:L23)</f>
        <v>-3364636.310824871</v>
      </c>
      <c r="P23" s="3">
        <f>SUM($N$2:N23)</f>
        <v>-7611692.793961692</v>
      </c>
      <c r="Q23" s="3">
        <f>-'Development budget'!B9+SUM($I$2:I23)-SUM($J$2:J23)</f>
        <v>-3364636.310824871</v>
      </c>
      <c r="R23" s="3">
        <f>IF(AND(O22&lt;0,O23&gt;=0,L23&gt;0),A23-1-O22/L23,0)</f>
        <v>0</v>
      </c>
      <c r="S23" s="3">
        <f>IF(AND(P22&lt;0,P23&gt;=0,N23&gt;0),A23-1-P22/N23,0)</f>
        <v>0</v>
      </c>
    </row>
    <row r="24">
      <c r="A24" s="2" t="n">
        <v>22</v>
      </c>
      <c r="B24" s="3">
        <f>MAX(0,A24-Inputs!$B$24)</f>
        <v>21</v>
      </c>
      <c r="C24" s="3">
        <f>IF(B24&gt;0,Inputs!$B$2*Inputs!$B$9*Inputs!$B$10*'Executive report'!B8*(1+Inputs!$B$20)^(B24-1),0)</f>
        <v>897826.3564504362</v>
      </c>
      <c r="D24" s="3">
        <f>IF(B24&gt;0,Inputs!$B$2*Inputs!$B$9*Inputs!$B$10*'Executive report'!B9*(1+Inputs!$B$20)^(B24-1),0)</f>
        <v>0</v>
      </c>
      <c r="E24" s="3">
        <f>C24+D24</f>
        <v>897826.3564504362</v>
      </c>
      <c r="F24" s="3">
        <f>IF(B24&gt;0,Inputs!$B$2*Inputs!$B$9*Inputs!$B$10*Inputs!$B$4*(1+Inputs!$B$21)^(B24-1),0)</f>
        <v>127048.50235614934</v>
      </c>
      <c r="G24" s="3">
        <f>IF(B24&gt;0,'Development budget'!B3*Inputs!$B$18*(1+Inputs!$B$21)^(B24-1),0)</f>
        <v>98072.52813457142</v>
      </c>
      <c r="H24" s="3">
        <f>IF(B24&gt;0,Inputs!$B$19*(1+Inputs!$B$21)^(B24-1),0)</f>
        <v>148594.7395978355</v>
      </c>
      <c r="I24" s="3">
        <f>E24-SUM(F24:H24)</f>
        <v>524110.58636187995</v>
      </c>
      <c r="J24" s="3">
        <f>IF(B24=Inputs!$B$28,Inputs!$B$29*(1+Inputs!$B$21)^(B24-1),0)</f>
        <v>0</v>
      </c>
      <c r="K24" s="3">
        <f>IF(B24=Inputs!$B$23,(E24*(1+Inputs!$B$20)-(F24+G24+H24)*(1+Inputs!$B$21))/Inputs!$B$25*(1-Inputs!$B$26)*Inputs!$B$30,0)</f>
        <v>0</v>
      </c>
      <c r="L24" s="3">
        <f>IF(A24=0,-'Development budget'!B9,I24-J24+K24)</f>
        <v>524110.58636187995</v>
      </c>
      <c r="M24" s="3">
        <f>1/(1+Inputs!$B$22)^A24</f>
        <v>0.2257131651793767</v>
      </c>
      <c r="N24" s="3">
        <f>L24*M24</f>
        <v>118298.65935175898</v>
      </c>
      <c r="O24" s="3">
        <f>SUM($L$2:L24)</f>
        <v>-2840525.724462991</v>
      </c>
      <c r="P24" s="3">
        <f>SUM($N$2:N24)</f>
        <v>-7493394.134609933</v>
      </c>
      <c r="Q24" s="3">
        <f>-'Development budget'!B9+SUM($I$2:I24)-SUM($J$2:J24)</f>
        <v>-2840525.724462991</v>
      </c>
      <c r="R24" s="3">
        <f>IF(AND(O23&lt;0,O24&gt;=0,L24&gt;0),A24-1-O23/L24,0)</f>
        <v>0</v>
      </c>
      <c r="S24" s="3">
        <f>IF(AND(P23&lt;0,P24&gt;=0,N24&gt;0),A24-1-P23/N24,0)</f>
        <v>0</v>
      </c>
    </row>
    <row r="25">
      <c r="A25" s="2" t="n">
        <v>23</v>
      </c>
      <c r="B25" s="3">
        <f>MAX(0,A25-Inputs!$B$24)</f>
        <v>22</v>
      </c>
      <c r="C25" s="3">
        <f>IF(B25&gt;0,Inputs!$B$2*Inputs!$B$9*Inputs!$B$10*'Executive report'!B8*(1+Inputs!$B$20)^(B25-1),0)</f>
        <v>915782.8835794448</v>
      </c>
      <c r="D25" s="3">
        <f>IF(B25&gt;0,Inputs!$B$2*Inputs!$B$9*Inputs!$B$10*'Executive report'!B9*(1+Inputs!$B$20)^(B25-1),0)</f>
        <v>0</v>
      </c>
      <c r="E25" s="3">
        <f>C25+D25</f>
        <v>915782.8835794448</v>
      </c>
      <c r="F25" s="3">
        <f>IF(B25&gt;0,Inputs!$B$2*Inputs!$B$9*Inputs!$B$10*Inputs!$B$4*(1+Inputs!$B$21)^(B25-1),0)</f>
        <v>129589.47240327232</v>
      </c>
      <c r="G25" s="3">
        <f>IF(B25&gt;0,'Development budget'!B3*Inputs!$B$18*(1+Inputs!$B$21)^(B25-1),0)</f>
        <v>100033.97869726285</v>
      </c>
      <c r="H25" s="3">
        <f>IF(B25&gt;0,Inputs!$B$19*(1+Inputs!$B$21)^(B25-1),0)</f>
        <v>151566.6343897922</v>
      </c>
      <c r="I25" s="3">
        <f>E25-SUM(F25:H25)</f>
        <v>534592.7980891175</v>
      </c>
      <c r="J25" s="3">
        <f>IF(B25=Inputs!$B$28,Inputs!$B$29*(1+Inputs!$B$21)^(B25-1),0)</f>
        <v>0</v>
      </c>
      <c r="K25" s="3">
        <f>IF(B25=Inputs!$B$23,(E25*(1+Inputs!$B$20)-(F25+G25+H25)*(1+Inputs!$B$21))/Inputs!$B$25*(1-Inputs!$B$26)*Inputs!$B$30,0)</f>
        <v>0</v>
      </c>
      <c r="L25" s="3">
        <f>IF(A25=0,-'Development budget'!B9,I25-J25+K25)</f>
        <v>534592.7980891175</v>
      </c>
      <c r="M25" s="3">
        <f>1/(1+Inputs!$B$22)^A25</f>
        <v>0.2109468833452119</v>
      </c>
      <c r="N25" s="3">
        <f>L25*M25</f>
        <v>112770.68461569549</v>
      </c>
      <c r="O25" s="3">
        <f>SUM($L$2:L25)</f>
        <v>-2305932.926373874</v>
      </c>
      <c r="P25" s="3">
        <f>SUM($N$2:N25)</f>
        <v>-7380623.449994237</v>
      </c>
      <c r="Q25" s="3">
        <f>-'Development budget'!B9+SUM($I$2:I25)-SUM($J$2:J25)</f>
        <v>-2305932.926373874</v>
      </c>
      <c r="R25" s="3">
        <f>IF(AND(O24&lt;0,O25&gt;=0,L25&gt;0),A25-1-O24/L25,0)</f>
        <v>0</v>
      </c>
      <c r="S25" s="3">
        <f>IF(AND(P24&lt;0,P25&gt;=0,N25&gt;0),A25-1-P24/N25,0)</f>
        <v>0</v>
      </c>
    </row>
    <row r="26">
      <c r="A26" s="2" t="n">
        <v>24</v>
      </c>
      <c r="B26" s="3">
        <f>MAX(0,A26-Inputs!$B$24)</f>
        <v>23</v>
      </c>
      <c r="C26" s="3">
        <f>IF(B26&gt;0,Inputs!$B$2*Inputs!$B$9*Inputs!$B$10*'Executive report'!B8*(1+Inputs!$B$20)^(B26-1),0)</f>
        <v>934098.5412510338</v>
      </c>
      <c r="D26" s="3">
        <f>IF(B26&gt;0,Inputs!$B$2*Inputs!$B$9*Inputs!$B$10*'Executive report'!B9*(1+Inputs!$B$20)^(B26-1),0)</f>
        <v>0</v>
      </c>
      <c r="E26" s="3">
        <f>C26+D26</f>
        <v>934098.5412510338</v>
      </c>
      <c r="F26" s="3">
        <f>IF(B26&gt;0,Inputs!$B$2*Inputs!$B$9*Inputs!$B$10*Inputs!$B$4*(1+Inputs!$B$21)^(B26-1),0)</f>
        <v>132181.26185133777</v>
      </c>
      <c r="G26" s="3">
        <f>IF(B26&gt;0,'Development budget'!B3*Inputs!$B$18*(1+Inputs!$B$21)^(B26-1),0)</f>
        <v>102034.6582712081</v>
      </c>
      <c r="H26" s="3">
        <f>IF(B26&gt;0,Inputs!$B$19*(1+Inputs!$B$21)^(B26-1),0)</f>
        <v>154597.96707758805</v>
      </c>
      <c r="I26" s="3">
        <f>E26-SUM(F26:H26)</f>
        <v>545284.6540508999</v>
      </c>
      <c r="J26" s="3">
        <f>IF(B26=Inputs!$B$28,Inputs!$B$29*(1+Inputs!$B$21)^(B26-1),0)</f>
        <v>0</v>
      </c>
      <c r="K26" s="3">
        <f>IF(B26=Inputs!$B$23,(E26*(1+Inputs!$B$20)-(F26+G26+H26)*(1+Inputs!$B$21))/Inputs!$B$25*(1-Inputs!$B$26)*Inputs!$B$30,0)</f>
        <v>0</v>
      </c>
      <c r="L26" s="3">
        <f>IF(A26=0,-'Development budget'!B9,I26-J26+K26)</f>
        <v>545284.6540508999</v>
      </c>
      <c r="M26" s="3">
        <f>1/(1+Inputs!$B$22)^A26</f>
        <v>0.19714661994879612</v>
      </c>
      <c r="N26" s="3">
        <f>L26*M26</f>
        <v>107501.02645608353</v>
      </c>
      <c r="O26" s="3">
        <f>SUM($L$2:L26)</f>
        <v>-1760648.272322974</v>
      </c>
      <c r="P26" s="3">
        <f>SUM($N$2:N26)</f>
        <v>-7273122.423538154</v>
      </c>
      <c r="Q26" s="3">
        <f>-'Development budget'!B9+SUM($I$2:I26)-SUM($J$2:J26)</f>
        <v>-1760648.272322974</v>
      </c>
      <c r="R26" s="3">
        <f>IF(AND(O25&lt;0,O26&gt;=0,L26&gt;0),A26-1-O25/L26,0)</f>
        <v>0</v>
      </c>
      <c r="S26" s="3">
        <f>IF(AND(P25&lt;0,P26&gt;=0,N26&gt;0),A26-1-P25/N26,0)</f>
        <v>0</v>
      </c>
    </row>
    <row r="27">
      <c r="A27" s="2" t="n">
        <v>25</v>
      </c>
      <c r="B27" s="3">
        <f>MAX(0,A27-Inputs!$B$24)</f>
        <v>24</v>
      </c>
      <c r="C27" s="3">
        <f>IF(B27&gt;0,Inputs!$B$2*Inputs!$B$9*Inputs!$B$10*'Executive report'!B8*(1+Inputs!$B$20)^(B27-1),0)</f>
        <v>952780.5120760546</v>
      </c>
      <c r="D27" s="3">
        <f>IF(B27&gt;0,Inputs!$B$2*Inputs!$B$9*Inputs!$B$10*'Executive report'!B9*(1+Inputs!$B$20)^(B27-1),0)</f>
        <v>0</v>
      </c>
      <c r="E27" s="3">
        <f>C27+D27</f>
        <v>952780.5120760546</v>
      </c>
      <c r="F27" s="3">
        <f>IF(B27&gt;0,Inputs!$B$2*Inputs!$B$9*Inputs!$B$10*Inputs!$B$4*(1+Inputs!$B$21)^(B27-1),0)</f>
        <v>134824.88708836454</v>
      </c>
      <c r="G27" s="3">
        <f>IF(B27&gt;0,'Development budget'!B3*Inputs!$B$18*(1+Inputs!$B$21)^(B27-1),0)</f>
        <v>104075.35143663228</v>
      </c>
      <c r="H27" s="3">
        <f>IF(B27&gt;0,Inputs!$B$19*(1+Inputs!$B$21)^(B27-1),0)</f>
        <v>157689.9264191398</v>
      </c>
      <c r="I27" s="3">
        <f>E27-SUM(F27:H27)</f>
        <v>556190.347131918</v>
      </c>
      <c r="J27" s="3">
        <f>IF(B27=Inputs!$B$28,Inputs!$B$29*(1+Inputs!$B$21)^(B27-1),0)</f>
        <v>0</v>
      </c>
      <c r="K27" s="3">
        <f>IF(B27=Inputs!$B$23,(E27*(1+Inputs!$B$20)-(F27+G27+H27)*(1+Inputs!$B$21))/Inputs!$B$25*(1-Inputs!$B$26)*Inputs!$B$30,0)</f>
        <v>0</v>
      </c>
      <c r="L27" s="3">
        <f>IF(A27=0,-'Development budget'!B9,I27-J27+K27)</f>
        <v>556190.347131918</v>
      </c>
      <c r="M27" s="3">
        <f>1/(1+Inputs!$B$22)^A27</f>
        <v>0.18424917752223938</v>
      </c>
      <c r="N27" s="3">
        <f>L27*M27</f>
        <v>102477.61400486469</v>
      </c>
      <c r="O27" s="3">
        <f>SUM($L$2:L27)</f>
        <v>-1204457.925191056</v>
      </c>
      <c r="P27" s="3">
        <f>SUM($N$2:N27)</f>
        <v>-7170644.80953329</v>
      </c>
      <c r="Q27" s="3">
        <f>-'Development budget'!B9+SUM($I$2:I27)-SUM($J$2:J27)</f>
        <v>-1204457.925191056</v>
      </c>
      <c r="R27" s="3">
        <f>IF(AND(O26&lt;0,O27&gt;=0,L27&gt;0),A27-1-O26/L27,0)</f>
        <v>0</v>
      </c>
      <c r="S27" s="3">
        <f>IF(AND(P26&lt;0,P27&gt;=0,N27&gt;0),A27-1-P26/N27,0)</f>
        <v>0</v>
      </c>
    </row>
    <row r="28">
      <c r="A28" s="2" t="n">
        <v>26</v>
      </c>
      <c r="B28" s="3">
        <f>MAX(0,A28-Inputs!$B$24)</f>
        <v>25</v>
      </c>
      <c r="C28" s="3">
        <f>IF(B28&gt;0,Inputs!$B$2*Inputs!$B$9*Inputs!$B$10*'Executive report'!B8*(1+Inputs!$B$20)^(B28-1),0)</f>
        <v>971836.1223175757</v>
      </c>
      <c r="D28" s="3">
        <f>IF(B28&gt;0,Inputs!$B$2*Inputs!$B$9*Inputs!$B$10*'Executive report'!B9*(1+Inputs!$B$20)^(B28-1),0)</f>
        <v>0</v>
      </c>
      <c r="E28" s="3">
        <f>C28+D28</f>
        <v>971836.1223175757</v>
      </c>
      <c r="F28" s="3">
        <f>IF(B28&gt;0,Inputs!$B$2*Inputs!$B$9*Inputs!$B$10*Inputs!$B$4*(1+Inputs!$B$21)^(B28-1),0)</f>
        <v>137521.38483013184</v>
      </c>
      <c r="G28" s="3">
        <f>IF(B28&gt;0,'Development budget'!B3*Inputs!$B$18*(1+Inputs!$B$21)^(B28-1),0)</f>
        <v>106156.85846536493</v>
      </c>
      <c r="H28" s="3">
        <f>IF(B28&gt;0,Inputs!$B$19*(1+Inputs!$B$21)^(B28-1),0)</f>
        <v>160843.72494752263</v>
      </c>
      <c r="I28" s="3">
        <f>E28-SUM(F28:H28)</f>
        <v>567314.1540745564</v>
      </c>
      <c r="J28" s="3">
        <f>IF(B28=Inputs!$B$28,Inputs!$B$29*(1+Inputs!$B$21)^(B28-1),0)</f>
        <v>0</v>
      </c>
      <c r="K28" s="3">
        <f>IF(B28=Inputs!$B$23,(E28*(1+Inputs!$B$20)-(F28+G28+H28)*(1+Inputs!$B$21))/Inputs!$B$25*(1-Inputs!$B$26)*Inputs!$B$30,0)</f>
        <v>0</v>
      </c>
      <c r="L28" s="3">
        <f>IF(A28=0,-'Development budget'!B9,I28-J28+K28)</f>
        <v>567314.1540745564</v>
      </c>
      <c r="M28" s="3">
        <f>1/(1+Inputs!$B$22)^A28</f>
        <v>0.17219549301143863</v>
      </c>
      <c r="N28" s="3">
        <f>L28*M28</f>
        <v>97688.9404532355</v>
      </c>
      <c r="O28" s="3">
        <f>SUM($L$2:L28)</f>
        <v>-637143.7711164996</v>
      </c>
      <c r="P28" s="3">
        <f>SUM($N$2:N28)</f>
        <v>-7072955.869080055</v>
      </c>
      <c r="Q28" s="3">
        <f>-'Development budget'!B9+SUM($I$2:I28)-SUM($J$2:J28)</f>
        <v>-637143.7711164996</v>
      </c>
      <c r="R28" s="3">
        <f>IF(AND(O27&lt;0,O28&gt;=0,L28&gt;0),A28-1-O27/L28,0)</f>
        <v>0</v>
      </c>
      <c r="S28" s="3">
        <f>IF(AND(P27&lt;0,P28&gt;=0,N28&gt;0),A28-1-P27/N28,0)</f>
        <v>0</v>
      </c>
    </row>
    <row r="29">
      <c r="A29" s="2" t="n">
        <v>27</v>
      </c>
      <c r="B29" s="3">
        <f>MAX(0,A29-Inputs!$B$24)</f>
        <v>26</v>
      </c>
      <c r="C29" s="3">
        <f>IF(B29&gt;0,Inputs!$B$2*Inputs!$B$9*Inputs!$B$10*'Executive report'!B8*(1+Inputs!$B$20)^(B29-1),0)</f>
        <v>991272.8447639272</v>
      </c>
      <c r="D29" s="3">
        <f>IF(B29&gt;0,Inputs!$B$2*Inputs!$B$9*Inputs!$B$10*'Executive report'!B9*(1+Inputs!$B$20)^(B29-1),0)</f>
        <v>0</v>
      </c>
      <c r="E29" s="3">
        <f>C29+D29</f>
        <v>991272.8447639272</v>
      </c>
      <c r="F29" s="3">
        <f>IF(B29&gt;0,Inputs!$B$2*Inputs!$B$9*Inputs!$B$10*Inputs!$B$4*(1+Inputs!$B$21)^(B29-1),0)</f>
        <v>140271.81252673446</v>
      </c>
      <c r="G29" s="3">
        <f>IF(B29&gt;0,'Development budget'!B3*Inputs!$B$18*(1+Inputs!$B$21)^(B29-1),0)</f>
        <v>108279.99563467222</v>
      </c>
      <c r="H29" s="3">
        <f>IF(B29&gt;0,Inputs!$B$19*(1+Inputs!$B$21)^(B29-1),0)</f>
        <v>164060.59944647306</v>
      </c>
      <c r="I29" s="3">
        <f>E29-SUM(F29:H29)</f>
        <v>578660.4371560474</v>
      </c>
      <c r="J29" s="3">
        <f>IF(B29=Inputs!$B$28,Inputs!$B$29*(1+Inputs!$B$21)^(B29-1),0)</f>
        <v>0</v>
      </c>
      <c r="K29" s="3">
        <f>IF(B29=Inputs!$B$23,(E29*(1+Inputs!$B$20)-(F29+G29+H29)*(1+Inputs!$B$21))/Inputs!$B$25*(1-Inputs!$B$26)*Inputs!$B$30,0)</f>
        <v>0</v>
      </c>
      <c r="L29" s="3">
        <f>IF(A29=0,-'Development budget'!B9,I29-J29+K29)</f>
        <v>578660.4371560474</v>
      </c>
      <c r="M29" s="3">
        <f>1/(1+Inputs!$B$22)^A29</f>
        <v>0.16093036730040994</v>
      </c>
      <c r="N29" s="3">
        <f>L29*M29</f>
        <v>93124.0366937385</v>
      </c>
      <c r="O29" s="3">
        <f>SUM($L$2:L29)</f>
        <v>-58483.33396045212</v>
      </c>
      <c r="P29" s="3">
        <f>SUM($N$2:N29)</f>
        <v>-6979831.832386316</v>
      </c>
      <c r="Q29" s="3">
        <f>-'Development budget'!B9+SUM($I$2:I29)-SUM($J$2:J29)</f>
        <v>-58483.33396045212</v>
      </c>
      <c r="R29" s="3">
        <f>IF(AND(O28&lt;0,O29&gt;=0,L29&gt;0),A29-1-O28/L29,0)</f>
        <v>0</v>
      </c>
      <c r="S29" s="3">
        <f>IF(AND(P28&lt;0,P29&gt;=0,N29&gt;0),A29-1-P28/N29,0)</f>
        <v>0</v>
      </c>
    </row>
    <row r="30">
      <c r="A30" s="2" t="n">
        <v>28</v>
      </c>
      <c r="B30" s="3">
        <f>MAX(0,A30-Inputs!$B$24)</f>
        <v>27</v>
      </c>
      <c r="C30" s="3">
        <f>IF(B30&gt;0,Inputs!$B$2*Inputs!$B$9*Inputs!$B$10*'Executive report'!B8*(1+Inputs!$B$20)^(B30-1),0)</f>
        <v>1011098.3016592057</v>
      </c>
      <c r="D30" s="3">
        <f>IF(B30&gt;0,Inputs!$B$2*Inputs!$B$9*Inputs!$B$10*'Executive report'!B9*(1+Inputs!$B$20)^(B30-1),0)</f>
        <v>0</v>
      </c>
      <c r="E30" s="3">
        <f>C30+D30</f>
        <v>1011098.3016592057</v>
      </c>
      <c r="F30" s="3">
        <f>IF(B30&gt;0,Inputs!$B$2*Inputs!$B$9*Inputs!$B$10*Inputs!$B$4*(1+Inputs!$B$21)^(B30-1),0)</f>
        <v>143077.24877726915</v>
      </c>
      <c r="G30" s="3">
        <f>IF(B30&gt;0,'Development budget'!B3*Inputs!$B$18*(1+Inputs!$B$21)^(B30-1),0)</f>
        <v>110445.59554736566</v>
      </c>
      <c r="H30" s="3">
        <f>IF(B30&gt;0,Inputs!$B$19*(1+Inputs!$B$21)^(B30-1),0)</f>
        <v>167341.81143540252</v>
      </c>
      <c r="I30" s="3">
        <f>E30-SUM(F30:H30)</f>
        <v>590233.6458991683</v>
      </c>
      <c r="J30" s="3">
        <f>IF(B30=Inputs!$B$28,Inputs!$B$29*(1+Inputs!$B$21)^(B30-1),0)</f>
        <v>0</v>
      </c>
      <c r="K30" s="3">
        <f>IF(B30=Inputs!$B$23,(E30*(1+Inputs!$B$20)-(F30+G30+H30)*(1+Inputs!$B$21))/Inputs!$B$25*(1-Inputs!$B$26)*Inputs!$B$30,0)</f>
        <v>0</v>
      </c>
      <c r="L30" s="3">
        <f>IF(A30=0,-'Development budget'!B9,I30-J30+K30)</f>
        <v>590233.6458991683</v>
      </c>
      <c r="M30" s="3">
        <f>1/(1+Inputs!$B$22)^A30</f>
        <v>0.15040221243028964</v>
      </c>
      <c r="N30" s="3">
        <f>L30*M30</f>
        <v>88772.44619403107</v>
      </c>
      <c r="O30" s="3">
        <f>SUM($L$2:L30)</f>
        <v>531750.3119387162</v>
      </c>
      <c r="P30" s="3">
        <f>SUM($N$2:N30)</f>
        <v>-6891059.3861922845</v>
      </c>
      <c r="Q30" s="3">
        <f>-'Development budget'!B9+SUM($I$2:I30)-SUM($J$2:J30)</f>
        <v>531750.3119387162</v>
      </c>
      <c r="R30" s="3">
        <f>IF(AND(O29&lt;0,O30&gt;=0,L30&gt;0),A30-1-O29/L30,0)</f>
        <v>27.099085056175266</v>
      </c>
      <c r="S30" s="3">
        <f>IF(AND(P29&lt;0,P30&gt;=0,N30&gt;0),A30-1-P29/N30,0)</f>
        <v>0</v>
      </c>
    </row>
    <row r="31">
      <c r="A31" s="2" t="n">
        <v>29</v>
      </c>
      <c r="B31" s="3">
        <f>MAX(0,A31-Inputs!$B$24)</f>
        <v>28</v>
      </c>
      <c r="C31" s="3">
        <f>IF(B31&gt;0,Inputs!$B$2*Inputs!$B$9*Inputs!$B$10*'Executive report'!B8*(1+Inputs!$B$20)^(B31-1),0)</f>
        <v>1031320.2676923899</v>
      </c>
      <c r="D31" s="3">
        <f>IF(B31&gt;0,Inputs!$B$2*Inputs!$B$9*Inputs!$B$10*'Executive report'!B9*(1+Inputs!$B$20)^(B31-1),0)</f>
        <v>0</v>
      </c>
      <c r="E31" s="3">
        <f>C31+D31</f>
        <v>1031320.2676923899</v>
      </c>
      <c r="F31" s="3">
        <f>IF(B31&gt;0,Inputs!$B$2*Inputs!$B$9*Inputs!$B$10*Inputs!$B$4*(1+Inputs!$B$21)^(B31-1),0)</f>
        <v>145938.79375281456</v>
      </c>
      <c r="G31" s="3">
        <f>IF(B31&gt;0,'Development budget'!B3*Inputs!$B$18*(1+Inputs!$B$21)^(B31-1),0)</f>
        <v>112654.50745831299</v>
      </c>
      <c r="H31" s="3">
        <f>IF(B31&gt;0,Inputs!$B$19*(1+Inputs!$B$21)^(B31-1),0)</f>
        <v>170688.64766411058</v>
      </c>
      <c r="I31" s="3">
        <f>E31-SUM(F31:H31)</f>
        <v>602038.3188171517</v>
      </c>
      <c r="J31" s="3">
        <f>IF(B31=Inputs!$B$28,Inputs!$B$29*(1+Inputs!$B$21)^(B31-1),0)</f>
        <v>0</v>
      </c>
      <c r="K31" s="3">
        <f>IF(B31=Inputs!$B$23,(E31*(1+Inputs!$B$20)-(F31+G31+H31)*(1+Inputs!$B$21))/Inputs!$B$25*(1-Inputs!$B$26)*Inputs!$B$30,0)</f>
        <v>0</v>
      </c>
      <c r="L31" s="3">
        <f>IF(A31=0,-'Development budget'!B9,I31-J31+K31)</f>
        <v>602038.3188171517</v>
      </c>
      <c r="M31" s="3">
        <f>1/(1+Inputs!$B$22)^A31</f>
        <v>0.14056281535541088</v>
      </c>
      <c r="N31" s="3">
        <f>L31*M31</f>
        <v>84624.20104477728</v>
      </c>
      <c r="O31" s="3">
        <f>SUM($L$2:L31)</f>
        <v>1133788.6307558678</v>
      </c>
      <c r="P31" s="3">
        <f>SUM($N$2:N31)</f>
        <v>-6806435.185147507</v>
      </c>
      <c r="Q31" s="3">
        <f>-'Development budget'!B9+SUM($I$2:I31)-SUM($J$2:J31)</f>
        <v>1133788.6307558678</v>
      </c>
      <c r="R31" s="3">
        <f>IF(AND(O30&lt;0,O31&gt;=0,L31&gt;0),A31-1-O30/L31,0)</f>
        <v>0</v>
      </c>
      <c r="S31" s="3">
        <f>IF(AND(P30&lt;0,P31&gt;=0,N31&gt;0),A31-1-P30/N31,0)</f>
        <v>0</v>
      </c>
    </row>
    <row r="32">
      <c r="A32" s="2" t="n">
        <v>30</v>
      </c>
      <c r="B32" s="3">
        <f>MAX(0,A32-Inputs!$B$24)</f>
        <v>29</v>
      </c>
      <c r="C32" s="3">
        <f>IF(B32&gt;0,Inputs!$B$2*Inputs!$B$9*Inputs!$B$10*'Executive report'!B8*(1+Inputs!$B$20)^(B32-1),0)</f>
        <v>1051946.6730462378</v>
      </c>
      <c r="D32" s="3">
        <f>IF(B32&gt;0,Inputs!$B$2*Inputs!$B$9*Inputs!$B$10*'Executive report'!B9*(1+Inputs!$B$20)^(B32-1),0)</f>
        <v>0</v>
      </c>
      <c r="E32" s="3">
        <f>C32+D32</f>
        <v>1051946.6730462378</v>
      </c>
      <c r="F32" s="3">
        <f>IF(B32&gt;0,Inputs!$B$2*Inputs!$B$9*Inputs!$B$10*Inputs!$B$4*(1+Inputs!$B$21)^(B32-1),0)</f>
        <v>148857.56962787083</v>
      </c>
      <c r="G32" s="3">
        <f>IF(B32&gt;0,'Development budget'!B3*Inputs!$B$18*(1+Inputs!$B$21)^(B32-1),0)</f>
        <v>114907.59760747926</v>
      </c>
      <c r="H32" s="3">
        <f>IF(B32&gt;0,Inputs!$B$19*(1+Inputs!$B$21)^(B32-1),0)</f>
        <v>174102.4206173928</v>
      </c>
      <c r="I32" s="3">
        <f>E32-SUM(F32:H32)</f>
        <v>614079.085193495</v>
      </c>
      <c r="J32" s="3">
        <f>IF(B32=Inputs!$B$28,Inputs!$B$29*(1+Inputs!$B$21)^(B32-1),0)</f>
        <v>0</v>
      </c>
      <c r="K32" s="3">
        <f>IF(B32=Inputs!$B$23,(E32*(1+Inputs!$B$20)-(F32+G32+H32)*(1+Inputs!$B$21))/Inputs!$B$25*(1-Inputs!$B$26)*Inputs!$B$30,0)</f>
        <v>0</v>
      </c>
      <c r="L32" s="3">
        <f>IF(A32=0,-'Development budget'!B9,I32-J32+K32)</f>
        <v>614079.085193495</v>
      </c>
      <c r="M32" s="3">
        <f>1/(1+Inputs!$B$22)^A32</f>
        <v>0.1313671171545896</v>
      </c>
      <c r="N32" s="3">
        <f>L32*M32</f>
        <v>80669.79912679708</v>
      </c>
      <c r="O32" s="3">
        <f>SUM($L$2:L32)</f>
        <v>1747867.7159493628</v>
      </c>
      <c r="P32" s="3">
        <f>SUM($N$2:N32)</f>
        <v>-6725765.38602071</v>
      </c>
      <c r="Q32" s="3">
        <f>-'Development budget'!B9+SUM($I$2:I32)-SUM($J$2:J32)</f>
        <v>1747867.7159493628</v>
      </c>
      <c r="R32" s="3">
        <f>IF(AND(O31&lt;0,O32&gt;=0,L32&gt;0),A32-1-O31/L32,0)</f>
        <v>0</v>
      </c>
      <c r="S32" s="3">
        <f>IF(AND(P31&lt;0,P32&gt;=0,N32&gt;0),A32-1-P31/N32,0)</f>
        <v>0</v>
      </c>
    </row>
    <row r="33">
      <c r="A33" s="2" t="n">
        <v>31</v>
      </c>
      <c r="B33" s="3">
        <f>MAX(0,A33-Inputs!$B$24)</f>
        <v>30</v>
      </c>
      <c r="C33" s="3">
        <f>IF(B33&gt;0,Inputs!$B$2*Inputs!$B$9*Inputs!$B$10*'Executive report'!B8*(1+Inputs!$B$20)^(B33-1),0)</f>
        <v>1072985.6065071626</v>
      </c>
      <c r="D33" s="3">
        <f>IF(B33&gt;0,Inputs!$B$2*Inputs!$B$9*Inputs!$B$10*'Executive report'!B9*(1+Inputs!$B$20)^(B33-1),0)</f>
        <v>0</v>
      </c>
      <c r="E33" s="3">
        <f>C33+D33</f>
        <v>1072985.6065071626</v>
      </c>
      <c r="F33" s="3">
        <f>IF(B33&gt;0,Inputs!$B$2*Inputs!$B$9*Inputs!$B$10*Inputs!$B$4*(1+Inputs!$B$21)^(B33-1),0)</f>
        <v>151834.72102042826</v>
      </c>
      <c r="G33" s="3">
        <f>IF(B33&gt;0,'Development budget'!B3*Inputs!$B$18*(1+Inputs!$B$21)^(B33-1),0)</f>
        <v>117205.74955962884</v>
      </c>
      <c r="H33" s="3">
        <f>IF(B33&gt;0,Inputs!$B$19*(1+Inputs!$B$21)^(B33-1),0)</f>
        <v>177584.46902974066</v>
      </c>
      <c r="I33" s="3">
        <f>E33-SUM(F33:H33)</f>
        <v>626360.6668973649</v>
      </c>
      <c r="J33" s="3">
        <f>IF(B33=Inputs!$B$28,Inputs!$B$29*(1+Inputs!$B$21)^(B33-1),0)</f>
        <v>0</v>
      </c>
      <c r="K33" s="3">
        <f>IF(B33=Inputs!$B$23,(E33*(1+Inputs!$B$20)-(F33+G33+H33)*(1+Inputs!$B$21))/Inputs!$B$25*(1-Inputs!$B$26)*Inputs!$B$30,0)</f>
        <v>10435168.710510097</v>
      </c>
      <c r="L33" s="3">
        <f>IF(A33=0,-'Development budget'!B9,I33-J33+K33)</f>
        <v>11061529.377407461</v>
      </c>
      <c r="M33" s="3">
        <f>1/(1+Inputs!$B$22)^A33</f>
        <v>0.12277300668653232</v>
      </c>
      <c r="N33" s="3">
        <f>L33*M33</f>
        <v>1358057.22021572</v>
      </c>
      <c r="O33" s="3">
        <f>SUM($L$2:L33)</f>
        <v>12809397.093356824</v>
      </c>
      <c r="P33" s="3">
        <f>SUM($N$2:N33)</f>
        <v>-5367708.16580499</v>
      </c>
      <c r="Q33" s="3">
        <f>-'Development budget'!B9+SUM($I$2:I33)-SUM($J$2:J33)</f>
        <v>2374228.382846728</v>
      </c>
      <c r="R33" s="3">
        <f>IF(AND(O32&lt;0,O33&gt;=0,L33&gt;0),A33-1-O32/L33,0)</f>
        <v>0</v>
      </c>
      <c r="S33" s="3">
        <f>IF(AND(P32&lt;0,P33&gt;=0,N33&gt;0),A33-1-P32/N33,0)</f>
        <v>0</v>
      </c>
    </row>
  </sheetData>
  <autoFilter ref="A1:S33"/>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H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9" customWidth="1" min="1" max="1"/>
    <col width="23" customWidth="1" min="2" max="2"/>
    <col width="23" customWidth="1" min="3" max="3"/>
    <col width="23" customWidth="1" min="4" max="4"/>
    <col width="23" customWidth="1" min="5" max="5"/>
    <col width="23" customWidth="1" min="6" max="6"/>
    <col width="23" customWidth="1" min="7" max="7"/>
    <col width="60" customWidth="1" min="8" max="8"/>
  </cols>
  <sheetData>
    <row r="1">
      <c r="A1" s="1" t="inlineStr">
        <is>
          <t>Case</t>
        </is>
      </c>
      <c r="B1" s="1" t="inlineStr">
        <is>
          <t>All-in market price</t>
        </is>
      </c>
      <c r="C1" s="1" t="inlineStr">
        <is>
          <t>Occupancy</t>
        </is>
      </c>
      <c r="D1" s="1" t="inlineStr">
        <is>
          <t>Paid months</t>
        </is>
      </c>
      <c r="E1" s="1" t="inlineStr">
        <is>
          <t>Capex multiplier</t>
        </is>
      </c>
      <c r="F1" s="1" t="inlineStr">
        <is>
          <t>Terminal sale</t>
        </is>
      </c>
      <c r="G1" s="1" t="inlineStr">
        <is>
          <t>NPV EUR</t>
        </is>
      </c>
      <c r="H1" s="1" t="inlineStr">
        <is>
          <t>Interpretation</t>
        </is>
      </c>
    </row>
    <row r="2">
      <c r="A2" s="2" t="inlineStr">
        <is>
          <t>Base</t>
        </is>
      </c>
      <c r="B2" s="2" t="n">
        <v>600</v>
      </c>
      <c r="C2" s="2" t="n">
        <v>0.95</v>
      </c>
      <c r="D2" s="2" t="n">
        <v>12</v>
      </c>
      <c r="E2" s="2" t="n">
        <v>1</v>
      </c>
      <c r="F2" s="2" t="n">
        <v>1</v>
      </c>
      <c r="G2" s="3">
        <f>NPV(Inputs!$B$22,'Scenario cash flows'!B3:B33)+'Scenario cash flows'!B2</f>
        <v>-5367708.165804991</v>
      </c>
      <c r="H2" s="2" t="inlineStr">
        <is>
          <t>Benchmark / explicit stress; no forecast probability assigned</t>
        </is>
      </c>
    </row>
    <row r="3">
      <c r="A3" s="2" t="inlineStr">
        <is>
          <t>Shared benchmark price</t>
        </is>
      </c>
      <c r="B3" s="2" t="n">
        <v>525</v>
      </c>
      <c r="C3" s="2" t="n">
        <v>0.95</v>
      </c>
      <c r="D3" s="2" t="n">
        <v>12</v>
      </c>
      <c r="E3" s="2" t="n">
        <v>1</v>
      </c>
      <c r="F3" s="2" t="n">
        <v>1</v>
      </c>
      <c r="G3" s="3">
        <f>NPV(Inputs!$B$22,'Scenario cash flows'!C3:C33)+'Scenario cash flows'!C2</f>
        <v>-6590438.352686673</v>
      </c>
      <c r="H3" s="2" t="inlineStr">
        <is>
          <t>Benchmark / explicit stress; no forecast probability assigned</t>
        </is>
      </c>
    </row>
    <row r="4">
      <c r="A4" s="2" t="inlineStr">
        <is>
          <t>Lower collection</t>
        </is>
      </c>
      <c r="B4" s="2" t="n">
        <v>600</v>
      </c>
      <c r="C4" s="2" t="n">
        <v>0.85</v>
      </c>
      <c r="D4" s="2" t="n">
        <v>12</v>
      </c>
      <c r="E4" s="2" t="n">
        <v>1</v>
      </c>
      <c r="F4" s="2" t="n">
        <v>1</v>
      </c>
      <c r="G4" s="3">
        <f>NPV(Inputs!$B$22,'Scenario cash flows'!D3:D33)+'Scenario cash flows'!D2</f>
        <v>-6343768.626038384</v>
      </c>
      <c r="H4" s="2" t="inlineStr">
        <is>
          <t>Benchmark / explicit stress; no forecast probability assigned</t>
        </is>
      </c>
    </row>
    <row r="5">
      <c r="A5" s="2" t="inlineStr">
        <is>
          <t>10 paid months</t>
        </is>
      </c>
      <c r="B5" s="2" t="n">
        <v>600</v>
      </c>
      <c r="C5" s="2" t="n">
        <v>0.95</v>
      </c>
      <c r="D5" s="2" t="n">
        <v>10</v>
      </c>
      <c r="E5" s="2" t="n">
        <v>1</v>
      </c>
      <c r="F5" s="2" t="n">
        <v>1</v>
      </c>
      <c r="G5" s="3">
        <f>NPV(Inputs!$B$22,'Scenario cash flows'!E3:E33)+'Scenario cash flows'!E2</f>
        <v>-6913137.227841192</v>
      </c>
      <c r="H5" s="2" t="inlineStr">
        <is>
          <t>Benchmark / explicit stress; no forecast probability assigned</t>
        </is>
      </c>
    </row>
    <row r="6">
      <c r="A6" s="2" t="inlineStr">
        <is>
          <t>20% development overrun</t>
        </is>
      </c>
      <c r="B6" s="2" t="n">
        <v>600</v>
      </c>
      <c r="C6" s="2" t="n">
        <v>0.95</v>
      </c>
      <c r="D6" s="2" t="n">
        <v>12</v>
      </c>
      <c r="E6" s="2" t="n">
        <v>1.2</v>
      </c>
      <c r="F6" s="2" t="n">
        <v>1</v>
      </c>
      <c r="G6" s="3">
        <f>NPV(Inputs!$B$22,'Scenario cash flows'!F3:F33)+'Scenario cash flows'!F2</f>
        <v>-7675458.565804994</v>
      </c>
      <c r="H6" s="2" t="inlineStr">
        <is>
          <t>Benchmark / explicit stress; no forecast probability assigned</t>
        </is>
      </c>
    </row>
    <row r="7">
      <c r="A7" s="2" t="inlineStr">
        <is>
          <t>No sale proceeds</t>
        </is>
      </c>
      <c r="B7" s="2" t="n">
        <v>600</v>
      </c>
      <c r="C7" s="2" t="n">
        <v>0.95</v>
      </c>
      <c r="D7" s="2" t="n">
        <v>12</v>
      </c>
      <c r="E7" s="2" t="n">
        <v>1</v>
      </c>
      <c r="F7" s="2" t="n">
        <v>0</v>
      </c>
      <c r="G7" s="3">
        <f>NPV(Inputs!$B$22,'Scenario cash flows'!G3:G33)+'Scenario cash flows'!G2</f>
        <v>-6648865.203675538</v>
      </c>
      <c r="H7" s="2" t="inlineStr">
        <is>
          <t>Benchmark / explicit stress; no forecast probability assigned</t>
        </is>
      </c>
    </row>
  </sheetData>
  <autoFilter ref="A1:H7"/>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9" customWidth="1" min="1" max="1"/>
    <col width="110" customWidth="1" min="2" max="2"/>
    <col width="23" customWidth="1" min="3" max="3"/>
  </cols>
  <sheetData>
    <row r="1">
      <c r="A1" s="1" t="inlineStr">
        <is>
          <t>Topic</t>
        </is>
      </c>
      <c r="B1" s="1" t="inlineStr">
        <is>
          <t>Official rule / project action</t>
        </is>
      </c>
      <c r="C1" s="1" t="inlineStr">
        <is>
          <t>Source</t>
        </is>
      </c>
    </row>
    <row r="2">
      <c r="A2" s="2" t="inlineStr">
        <is>
          <t>Student lease</t>
        </is>
      </c>
      <c r="B2" s="2" t="inlineStr">
        <is>
          <t>Maximum 12 months; tenant may terminate with two months notice without penalty. Lease length is not average residence length.</t>
        </is>
      </c>
      <c r="C2" s="2" t="inlineStr">
        <is>
          <t>S3</t>
        </is>
      </c>
    </row>
    <row r="3">
      <c r="A3" s="2" t="inlineStr">
        <is>
          <t>Deposit</t>
        </is>
      </c>
      <c r="B3" s="2" t="inlineStr">
        <is>
          <t>Maximum two months rent for leases concluded/renewed from 1 Nov 2024. No average deposit identified. Held for tenant; not investor revenue.</t>
        </is>
      </c>
      <c r="C3" s="2" t="inlineStr">
        <is>
          <t>S2</t>
        </is>
      </c>
    </row>
    <row r="4">
      <c r="A4" s="2" t="inlineStr">
        <is>
          <t>Quality label</t>
        </is>
      </c>
      <c r="B4" s="2" t="inlineStr">
        <is>
          <t>Optional quality label lasts five years; application includes compliance declaration, student lease and valid PEB certificate.</t>
        </is>
      </c>
      <c r="C4" s="2" t="inlineStr">
        <is>
          <t>S5</t>
        </is>
      </c>
    </row>
    <row r="5">
      <c r="A5" s="2" t="inlineStr">
        <is>
          <t>Site approvals</t>
        </is>
      </c>
      <c r="B5" s="2" t="inlineStr">
        <is>
          <t>Before purchase verify zoning, building permit, fire safety, habitability, accessibility and energy performance with competent authorities. No site approved by this workbook.</t>
        </is>
      </c>
      <c r="C5" s="2" t="inlineStr">
        <is>
          <t>S4 p7; site-specific review needed</t>
        </is>
      </c>
    </row>
    <row r="6">
      <c r="A6" s="2" t="inlineStr">
        <is>
          <t>Utilities</t>
        </is>
      </c>
      <c r="B6" s="2" t="inlineStr">
        <is>
          <t>Show base rent and charges separately; actual billing and annual reconciliations require a compliant lease. Model assumes full cost recovery when separately billed.</t>
        </is>
      </c>
      <c r="C6" s="2" t="inlineStr">
        <is>
          <t>Model assumption; obtain lease and meter plan</t>
        </is>
      </c>
    </row>
  </sheetData>
  <autoFilter ref="A1:C6"/>
  <pageMargins left="0.75" right="0.75" top="1" bottom="1" header="0.5" footer="0.5"/>
  <pageSetup orientation="landscape" paperSize="9" fitToHeight="0" fitToWidth="1"/>
</worksheet>
</file>

<file path=xl/worksheets/sheet8.xml><?xml version="1.0" encoding="utf-8"?>
<worksheet xmlns="http://schemas.openxmlformats.org/spreadsheetml/2006/main" xmlns:r="http://schemas.openxmlformats.org/officeDocument/2006/relationships">
  <sheetPr>
    <outlinePr summaryBelow="1" summaryRight="1"/>
    <pageSetUpPr fitToPage="1"/>
  </sheetPr>
  <dimension ref="A1:F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9" customWidth="1" min="1" max="1"/>
    <col width="23" customWidth="1" min="2" max="2"/>
    <col width="90" customWidth="1" min="3" max="3"/>
    <col width="23" customWidth="1" min="4" max="4"/>
    <col width="23" customWidth="1" min="5" max="5"/>
    <col width="65" customWidth="1" min="6" max="6"/>
  </cols>
  <sheetData>
    <row r="1">
      <c r="A1" s="1" t="inlineStr">
        <is>
          <t>ID</t>
        </is>
      </c>
      <c r="B1" s="1" t="inlineStr">
        <is>
          <t>Official publisher / title</t>
        </is>
      </c>
      <c r="C1" s="1" t="inlineStr">
        <is>
          <t>URL</t>
        </is>
      </c>
      <c r="D1" s="1" t="inlineStr">
        <is>
          <t>Reference period / page</t>
        </is>
      </c>
      <c r="E1" s="1" t="inlineStr">
        <is>
          <t>Access date</t>
        </is>
      </c>
      <c r="F1" s="1" t="inlineStr">
        <is>
          <t>Use / limitation</t>
        </is>
      </c>
    </row>
    <row r="2">
      <c r="A2" s="2" t="inlineStr">
        <is>
          <t>S1</t>
        </is>
      </c>
      <c r="B2" s="2" t="inlineStr">
        <is>
          <t>Perspective — Panorama de la vie étudiante</t>
        </is>
      </c>
      <c r="C2" s="2" t="inlineStr">
        <is>
          <t>https://perspective.brussels/sites/default/files/documents/rapport_enquete_panorama_de_la_vie_etudiante.pdf</t>
        </is>
      </c>
      <c r="D2" s="2" t="inlineStr">
        <is>
          <t>Survey 2023–24; Feb 2025; pp55,56,110,8</t>
        </is>
      </c>
      <c r="E2" s="2" t="inlineStr">
        <is>
          <t>2026-10-14</t>
        </is>
      </c>
      <c r="F2" s="2" t="inlineStr">
        <is>
          <t>Historical rent / student budget; no future forecast</t>
        </is>
      </c>
    </row>
    <row r="3">
      <c r="A3" s="2" t="inlineStr">
        <is>
          <t>S2</t>
        </is>
      </c>
      <c r="B3" s="2" t="inlineStr">
        <is>
          <t>Brussels Region — garantie locative</t>
        </is>
      </c>
      <c r="C3" s="2" t="inlineStr">
        <is>
          <t>https://be.brussels/fr/logement/location/bail-dhabitation/garantie-locative</t>
        </is>
      </c>
      <c r="D3" s="2" t="inlineStr">
        <is>
          <t>Effective 2024-11-01</t>
        </is>
      </c>
      <c r="E3" s="2" t="inlineStr">
        <is>
          <t>2026-10-14</t>
        </is>
      </c>
      <c r="F3" s="2" t="inlineStr">
        <is>
          <t>Deposit legal cap</t>
        </is>
      </c>
    </row>
    <row r="4">
      <c r="A4" s="2" t="inlineStr">
        <is>
          <t>S3</t>
        </is>
      </c>
      <c r="B4" s="2" t="inlineStr">
        <is>
          <t>Brussels Region — contrats de bail</t>
        </is>
      </c>
      <c r="C4" s="2" t="inlineStr">
        <is>
          <t>https://be.brussels/fr/logement/location/bail-dhabitation/contrat-de-bail-modeles-et-annexe</t>
        </is>
      </c>
      <c r="D4" s="2" t="inlineStr">
        <is>
          <t>Current page</t>
        </is>
      </c>
      <c r="E4" s="2" t="inlineStr">
        <is>
          <t>2026-10-14</t>
        </is>
      </c>
      <c r="F4" s="2" t="inlineStr">
        <is>
          <t>Student lease term and termination</t>
        </is>
      </c>
    </row>
    <row r="5">
      <c r="A5" s="2" t="inlineStr">
        <is>
          <t>S4</t>
        </is>
      </c>
      <c r="B5" s="2" t="inlineStr">
        <is>
          <t>Perspective — Monitoring student housing no.1</t>
        </is>
      </c>
      <c r="C5" s="2" t="inlineStr">
        <is>
          <t>https://perspective.brussels/sites/default/files/documents/fr_monitoring_logement_etudiant_final2026.pdf</t>
        </is>
      </c>
      <c r="D5" s="2" t="inlineStr">
        <is>
          <t>2025 inventory; published 2026; pp26,28,7</t>
        </is>
      </c>
      <c r="E5" s="2" t="inlineStr">
        <is>
          <t>2026-10-14</t>
        </is>
      </c>
      <c r="F5" s="2" t="inlineStr">
        <is>
          <t>Dedicated stock and estimated demand; no live vacancy or measured total shortage</t>
        </is>
      </c>
    </row>
    <row r="6">
      <c r="A6" s="2" t="inlineStr">
        <is>
          <t>S5</t>
        </is>
      </c>
      <c r="B6" s="2" t="inlineStr">
        <is>
          <t>Brussels Region — label logement étudiant</t>
        </is>
      </c>
      <c r="C6" s="2" t="inlineStr">
        <is>
          <t>https://be.brussels/fr/logement/location/conformite-logement/label-logement-etudiant</t>
        </is>
      </c>
      <c r="D6" s="2" t="inlineStr">
        <is>
          <t>Current page</t>
        </is>
      </c>
      <c r="E6" s="2" t="inlineStr">
        <is>
          <t>2026-10-14</t>
        </is>
      </c>
      <c r="F6" s="2" t="inlineStr">
        <is>
          <t>Quality label</t>
        </is>
      </c>
    </row>
    <row r="7">
      <c r="A7" s="2" t="inlineStr">
        <is>
          <t>S6</t>
        </is>
      </c>
      <c r="B7" s="2" t="inlineStr">
        <is>
          <t>Statbel — residential property price index</t>
        </is>
      </c>
      <c r="C7" s="2" t="inlineStr">
        <is>
          <t>https://statbel.fgov.be/fr/themes/construction-logement/indice-des-prix-des-logements</t>
        </is>
      </c>
      <c r="D7" s="2" t="inlineStr">
        <is>
          <t>Q2 2026; published 25 Sep 2026</t>
        </is>
      </c>
      <c r="E7" s="2" t="inlineStr">
        <is>
          <t>2026-10-14</t>
        </is>
      </c>
      <c r="F7" s="2" t="inlineStr">
        <is>
          <t>Transaction price index is not EUR/m2 construction cost; not used as a construction quote</t>
        </is>
      </c>
    </row>
  </sheetData>
  <autoFilter ref="A1:F7"/>
  <hyperlinks>
    <hyperlink ref="C2" r:id="rId1"/>
    <hyperlink ref="C3" r:id="rId2"/>
    <hyperlink ref="C4" r:id="rId3"/>
    <hyperlink ref="C5" r:id="rId4"/>
    <hyperlink ref="C6" r:id="rId5"/>
    <hyperlink ref="C7" r:id="rId6"/>
  </hyperlink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B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9" customWidth="1" min="1" max="1"/>
    <col width="115" customWidth="1" min="2" max="2"/>
  </cols>
  <sheetData>
    <row r="1">
      <c r="A1" s="1" t="inlineStr">
        <is>
          <t>Calculation</t>
        </is>
      </c>
      <c r="B1" s="1" t="inlineStr">
        <is>
          <t>Original formula / convention</t>
        </is>
      </c>
    </row>
    <row r="2">
      <c r="A2" s="2" t="inlineStr">
        <is>
          <t>NPV</t>
        </is>
      </c>
      <c r="B2" s="2" t="inlineStr">
        <is>
          <t>NPV = CF0 + sum(CFt/(1+r)^t), t=1..31. Excel NPV excludes t=0; add it explicitly.</t>
        </is>
      </c>
    </row>
    <row r="3">
      <c r="A3" s="2" t="inlineStr">
        <is>
          <t>IRR</t>
        </is>
      </c>
      <c r="B3" s="2" t="inlineStr">
        <is>
          <t>IRR solves 0 = sum(CFt/(1+IRR)^t). Excel IRR on all cash flows including t=0; equally spaced annual periods.</t>
        </is>
      </c>
    </row>
    <row r="4">
      <c r="A4" s="2" t="inlineStr">
        <is>
          <t>PBP</t>
        </is>
      </c>
      <c r="B4" s="2" t="inlineStr">
        <is>
          <t>First crossing k with cumulative CFk &gt;= 0: (k-1) + abs(cumulative CF(k-1))/CFk. Includes terminal sale; separately show operating-only recovery.</t>
        </is>
      </c>
    </row>
    <row r="5">
      <c r="A5" s="2" t="inlineStr">
        <is>
          <t>Discounted PBP</t>
        </is>
      </c>
      <c r="B5" s="2" t="inlineStr">
        <is>
          <t>Same crossing formula using discounted cash flows. If no crossing within 31 years, display Not recovered.</t>
        </is>
      </c>
    </row>
    <row r="6">
      <c r="A6" s="2" t="inlineStr">
        <is>
          <t>Revenue</t>
        </is>
      </c>
      <c r="B6" s="2" t="inlineStr">
        <is>
          <t>Rooms × paid months × occupancy × blended monthly price; affordable units priced at min(policy budget threshold, market price).</t>
        </is>
      </c>
    </row>
    <row r="7">
      <c r="A7" s="2" t="inlineStr">
        <is>
          <t>Utility billing</t>
        </is>
      </c>
      <c r="B7" s="2" t="inlineStr">
        <is>
          <t>Included rent = all-in price. Separate mode rent = all-in price minus utility allowance; utility recovery equals allowance. Model preserves total receipts.</t>
        </is>
      </c>
    </row>
    <row r="8">
      <c r="A8" s="2" t="inlineStr">
        <is>
          <t>NOI</t>
        </is>
      </c>
      <c r="B8" s="2" t="inlineStr">
        <is>
          <t>Total receipts - utility expense - maintenance - other operating costs. Cash flow = NOI - replacement capex + terminal proceeds.</t>
        </is>
      </c>
    </row>
    <row r="9">
      <c r="A9" s="2" t="inlineStr">
        <is>
          <t>Terminal value</t>
        </is>
      </c>
      <c r="B9" s="2" t="inlineStr">
        <is>
          <t>Next year NOI / terminal cap rate × (1-selling cost), received at the end of final operating year; optional zero-sale stress.</t>
        </is>
      </c>
    </row>
    <row r="10">
      <c r="A10" s="2" t="inlineStr">
        <is>
          <t>Threshold budget</t>
        </is>
      </c>
      <c r="B10" s="2" t="inlineStr">
        <is>
          <t>Affordable threshold = official historical student-housing spending budget × policy share. This is not an official income-based definition.</t>
        </is>
      </c>
    </row>
    <row r="11">
      <c r="A11" s="2" t="inlineStr">
        <is>
          <t>Data gaps</t>
        </is>
      </c>
      <c r="B11" s="2" t="inlineStr">
        <is>
          <t>No official project-specific land, build, maintenance, utility, occupancy, discount rate, exit yield, average stay/deposit or live vacancy data verified. Those cells remain explicit assumptions or Unknown.</t>
        </is>
      </c>
    </row>
    <row r="12">
      <c r="A12" s="2" t="inlineStr">
        <is>
          <t>Reproduction</t>
        </is>
      </c>
      <c r="B12" s="2" t="inlineStr">
        <is>
          <t>Run python3 build_model.py; requires openpyxl. Atomic save and cached formula values are generated. Cached values reflect the default inputs; Excel recalculates when inputs change.</t>
        </is>
      </c>
    </row>
  </sheetData>
  <autoFilter ref="A1:B12"/>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G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9" customWidth="1" min="1" max="1"/>
    <col width="23" customWidth="1" min="2" max="2"/>
    <col width="23" customWidth="1" min="3" max="3"/>
    <col width="23" customWidth="1" min="4" max="4"/>
    <col width="23" customWidth="1" min="5" max="5"/>
    <col width="23" customWidth="1" min="6" max="6"/>
    <col width="23" customWidth="1" min="7" max="7"/>
  </cols>
  <sheetData>
    <row r="1">
      <c r="A1" s="1" t="inlineStr">
        <is>
          <t>Year</t>
        </is>
      </c>
      <c r="B1" s="1" t="inlineStr">
        <is>
          <t>Base</t>
        </is>
      </c>
      <c r="C1" s="1" t="inlineStr">
        <is>
          <t>Shared benchmark price</t>
        </is>
      </c>
      <c r="D1" s="1" t="inlineStr">
        <is>
          <t>Lower collection</t>
        </is>
      </c>
      <c r="E1" s="1" t="inlineStr">
        <is>
          <t>10 paid months</t>
        </is>
      </c>
      <c r="F1" s="1" t="inlineStr">
        <is>
          <t>20% development overrun</t>
        </is>
      </c>
      <c r="G1" s="1" t="inlineStr">
        <is>
          <t>No sale proceeds</t>
        </is>
      </c>
    </row>
    <row r="2">
      <c r="A2" s="2" t="n">
        <v>0</v>
      </c>
      <c r="B2" s="3">
        <f>-'Development budget'!B9*Sensitivity!E2</f>
        <v>-11538752.0</v>
      </c>
      <c r="C2" s="3">
        <f>-'Development budget'!B9*Sensitivity!E3</f>
        <v>-11538752.0</v>
      </c>
      <c r="D2" s="3">
        <f>-'Development budget'!B9*Sensitivity!E4</f>
        <v>-11538752.0</v>
      </c>
      <c r="E2" s="3">
        <f>-'Development budget'!B9*Sensitivity!E5</f>
        <v>-11538752.0</v>
      </c>
      <c r="F2" s="3">
        <f>-'Development budget'!B9*Sensitivity!E6</f>
        <v>-13846502.4</v>
      </c>
      <c r="G2" s="3">
        <f>-'Development budget'!B9*Sensitivity!E7</f>
        <v>-11538752.0</v>
      </c>
    </row>
    <row r="3">
      <c r="A3" s="2" t="n">
        <v>1</v>
      </c>
      <c r="B3" s="3">
        <f>0</f>
        <v>0</v>
      </c>
      <c r="C3" s="3">
        <f>0</f>
        <v>0</v>
      </c>
      <c r="D3" s="3">
        <f>0</f>
        <v>0</v>
      </c>
      <c r="E3" s="3">
        <f>0</f>
        <v>0</v>
      </c>
      <c r="F3" s="3">
        <f>0</f>
        <v>0</v>
      </c>
      <c r="G3" s="3">
        <f>0</f>
        <v>0</v>
      </c>
    </row>
    <row r="4">
      <c r="A4" s="2" t="n">
        <v>2</v>
      </c>
      <c r="B4" s="3">
        <f>'Cash flows'!I4-'Cash flows'!J4+(Inputs!$B$2*Sensitivity!D2*Sensitivity!C2*((1-Inputs!$B$6)*Sensitivity!B2+Inputs!$B$6*MIN('Executive report'!B5,Sensitivity!B2))*(1+Inputs!$B$20)^('Cash flows'!B4-1)-'Cash flows'!E4-( Inputs!$B$2*Sensitivity!D2*Sensitivity!C2*Inputs!$B$4*(1+Inputs!$B$21)^('Cash flows'!B4-1)-'Cash flows'!F4))</f>
        <v>352711.39999999997</v>
      </c>
      <c r="C4" s="3">
        <f>'Cash flows'!I4-'Cash flows'!J4+(Inputs!$B$2*Sensitivity!D3*Sensitivity!C3*((1-Inputs!$B$6)*Sensitivity!B3+Inputs!$B$6*MIN('Executive report'!B5,Sensitivity!B3))*(1+Inputs!$B$20)^('Cash flows'!B4-1)-'Cash flows'!E4-( Inputs!$B$2*Sensitivity!D3*Sensitivity!C3*Inputs!$B$4*(1+Inputs!$B$21)^('Cash flows'!B4-1)-'Cash flows'!F4))</f>
        <v>284311.39999999997</v>
      </c>
      <c r="D4" s="3">
        <f>'Cash flows'!I4-'Cash flows'!J4+(Inputs!$B$2*Sensitivity!D4*Sensitivity!C4*((1-Inputs!$B$6)*Sensitivity!B4+Inputs!$B$6*MIN('Executive report'!B5,Sensitivity!B4))*(1+Inputs!$B$20)^('Cash flows'!B4-1)-'Cash flows'!E4-( Inputs!$B$2*Sensitivity!D4*Sensitivity!C4*Inputs!$B$4*(1+Inputs!$B$21)^('Cash flows'!B4-1)-'Cash flows'!F4))</f>
        <v>298110.2</v>
      </c>
      <c r="E4" s="3">
        <f>'Cash flows'!I4-'Cash flows'!J4+(Inputs!$B$2*Sensitivity!D5*Sensitivity!C5*((1-Inputs!$B$6)*Sensitivity!B5+Inputs!$B$6*MIN('Executive report'!B5,Sensitivity!B5))*(1+Inputs!$B$20)^('Cash flows'!B4-1)-'Cash flows'!E4-( Inputs!$B$2*Sensitivity!D5*Sensitivity!C5*Inputs!$B$4*(1+Inputs!$B$21)^('Cash flows'!B4-1)-'Cash flows'!F4))</f>
        <v>266259.5</v>
      </c>
      <c r="F4" s="3">
        <f>'Cash flows'!I4-'Cash flows'!J4+(Inputs!$B$2*Sensitivity!D6*Sensitivity!C6*((1-Inputs!$B$6)*Sensitivity!B6+Inputs!$B$6*MIN('Executive report'!B5,Sensitivity!B6))*(1+Inputs!$B$20)^('Cash flows'!B4-1)-'Cash flows'!E4-( Inputs!$B$2*Sensitivity!D6*Sensitivity!C6*Inputs!$B$4*(1+Inputs!$B$21)^('Cash flows'!B4-1)-'Cash flows'!F4))</f>
        <v>352711.39999999997</v>
      </c>
      <c r="G4" s="3">
        <f>'Cash flows'!I4-'Cash flows'!J4+(Inputs!$B$2*Sensitivity!D7*Sensitivity!C7*((1-Inputs!$B$6)*Sensitivity!B7+Inputs!$B$6*MIN('Executive report'!B5,Sensitivity!B7))*(1+Inputs!$B$20)^('Cash flows'!B4-1)-'Cash flows'!E4-( Inputs!$B$2*Sensitivity!D7*Sensitivity!C7*Inputs!$B$4*(1+Inputs!$B$21)^('Cash flows'!B4-1)-'Cash flows'!F4))</f>
        <v>352711.39999999997</v>
      </c>
    </row>
    <row r="5">
      <c r="A5" s="2" t="n">
        <v>3</v>
      </c>
      <c r="B5" s="3">
        <f>'Cash flows'!I5-'Cash flows'!J5+(Inputs!$B$2*Sensitivity!D2*Sensitivity!C2*((1-Inputs!$B$6)*Sensitivity!B2+Inputs!$B$6*MIN('Executive report'!B5,Sensitivity!B2))*(1+Inputs!$B$20)^('Cash flows'!B5-1)-'Cash flows'!E5-( Inputs!$B$2*Sensitivity!D2*Sensitivity!C2*Inputs!$B$4*(1+Inputs!$B$21)^('Cash flows'!B5-1)-'Cash flows'!F5))</f>
        <v>359765.62799999997</v>
      </c>
      <c r="C5" s="3">
        <f>'Cash flows'!I5-'Cash flows'!J5+(Inputs!$B$2*Sensitivity!D3*Sensitivity!C3*((1-Inputs!$B$6)*Sensitivity!B3+Inputs!$B$6*MIN('Executive report'!B5,Sensitivity!B3))*(1+Inputs!$B$20)^('Cash flows'!B5-1)-'Cash flows'!E5-( Inputs!$B$2*Sensitivity!D3*Sensitivity!C3*Inputs!$B$4*(1+Inputs!$B$21)^('Cash flows'!B5-1)-'Cash flows'!F5))</f>
        <v>289997.62799999997</v>
      </c>
      <c r="D5" s="3">
        <f>'Cash flows'!I5-'Cash flows'!J5+(Inputs!$B$2*Sensitivity!D4*Sensitivity!C4*((1-Inputs!$B$6)*Sensitivity!B4+Inputs!$B$6*MIN('Executive report'!B5,Sensitivity!B4))*(1+Inputs!$B$20)^('Cash flows'!B5-1)-'Cash flows'!E5-( Inputs!$B$2*Sensitivity!D4*Sensitivity!C4*Inputs!$B$4*(1+Inputs!$B$21)^('Cash flows'!B5-1)-'Cash flows'!F5))</f>
        <v>304072.40400000004</v>
      </c>
      <c r="E5" s="3">
        <f>'Cash flows'!I5-'Cash flows'!J5+(Inputs!$B$2*Sensitivity!D5*Sensitivity!C5*((1-Inputs!$B$6)*Sensitivity!B5+Inputs!$B$6*MIN('Executive report'!B5,Sensitivity!B5))*(1+Inputs!$B$20)^('Cash flows'!B5-1)-'Cash flows'!E5-( Inputs!$B$2*Sensitivity!D5*Sensitivity!C5*Inputs!$B$4*(1+Inputs!$B$21)^('Cash flows'!B5-1)-'Cash flows'!F5))</f>
        <v>271584.69</v>
      </c>
      <c r="F5" s="3">
        <f>'Cash flows'!I5-'Cash flows'!J5+(Inputs!$B$2*Sensitivity!D6*Sensitivity!C6*((1-Inputs!$B$6)*Sensitivity!B6+Inputs!$B$6*MIN('Executive report'!B5,Sensitivity!B6))*(1+Inputs!$B$20)^('Cash flows'!B5-1)-'Cash flows'!E5-( Inputs!$B$2*Sensitivity!D6*Sensitivity!C6*Inputs!$B$4*(1+Inputs!$B$21)^('Cash flows'!B5-1)-'Cash flows'!F5))</f>
        <v>359765.62799999997</v>
      </c>
      <c r="G5" s="3">
        <f>'Cash flows'!I5-'Cash flows'!J5+(Inputs!$B$2*Sensitivity!D7*Sensitivity!C7*((1-Inputs!$B$6)*Sensitivity!B7+Inputs!$B$6*MIN('Executive report'!B5,Sensitivity!B7))*(1+Inputs!$B$20)^('Cash flows'!B5-1)-'Cash flows'!E5-( Inputs!$B$2*Sensitivity!D7*Sensitivity!C7*Inputs!$B$4*(1+Inputs!$B$21)^('Cash flows'!B5-1)-'Cash flows'!F5))</f>
        <v>359765.62799999997</v>
      </c>
    </row>
    <row r="6">
      <c r="A6" s="2" t="n">
        <v>4</v>
      </c>
      <c r="B6" s="3">
        <f>'Cash flows'!I6-'Cash flows'!J6+(Inputs!$B$2*Sensitivity!D2*Sensitivity!C2*((1-Inputs!$B$6)*Sensitivity!B2+Inputs!$B$6*MIN('Executive report'!B5,Sensitivity!B2))*(1+Inputs!$B$20)^('Cash flows'!B6-1)-'Cash flows'!E6-( Inputs!$B$2*Sensitivity!D2*Sensitivity!C2*Inputs!$B$4*(1+Inputs!$B$21)^('Cash flows'!B6-1)-'Cash flows'!F6))</f>
        <v>366960.94055999996</v>
      </c>
      <c r="C6" s="3">
        <f>'Cash flows'!I6-'Cash flows'!J6+(Inputs!$B$2*Sensitivity!D3*Sensitivity!C3*((1-Inputs!$B$6)*Sensitivity!B3+Inputs!$B$6*MIN('Executive report'!B5,Sensitivity!B3))*(1+Inputs!$B$20)^('Cash flows'!B6-1)-'Cash flows'!E6-( Inputs!$B$2*Sensitivity!D3*Sensitivity!C3*Inputs!$B$4*(1+Inputs!$B$21)^('Cash flows'!B6-1)-'Cash flows'!F6))</f>
        <v>295797.58056</v>
      </c>
      <c r="D6" s="3">
        <f>'Cash flows'!I6-'Cash flows'!J6+(Inputs!$B$2*Sensitivity!D4*Sensitivity!C4*((1-Inputs!$B$6)*Sensitivity!B4+Inputs!$B$6*MIN('Executive report'!B5,Sensitivity!B4))*(1+Inputs!$B$20)^('Cash flows'!B6-1)-'Cash flows'!E6-( Inputs!$B$2*Sensitivity!D4*Sensitivity!C4*Inputs!$B$4*(1+Inputs!$B$21)^('Cash flows'!B6-1)-'Cash flows'!F6))</f>
        <v>310153.85208</v>
      </c>
      <c r="E6" s="3">
        <f>'Cash flows'!I6-'Cash flows'!J6+(Inputs!$B$2*Sensitivity!D5*Sensitivity!C5*((1-Inputs!$B$6)*Sensitivity!B5+Inputs!$B$6*MIN('Executive report'!B5,Sensitivity!B5))*(1+Inputs!$B$20)^('Cash flows'!B6-1)-'Cash flows'!E6-( Inputs!$B$2*Sensitivity!D5*Sensitivity!C5*Inputs!$B$4*(1+Inputs!$B$21)^('Cash flows'!B6-1)-'Cash flows'!F6))</f>
        <v>277016.3838</v>
      </c>
      <c r="F6" s="3">
        <f>'Cash flows'!I6-'Cash flows'!J6+(Inputs!$B$2*Sensitivity!D6*Sensitivity!C6*((1-Inputs!$B$6)*Sensitivity!B6+Inputs!$B$6*MIN('Executive report'!B5,Sensitivity!B6))*(1+Inputs!$B$20)^('Cash flows'!B6-1)-'Cash flows'!E6-( Inputs!$B$2*Sensitivity!D6*Sensitivity!C6*Inputs!$B$4*(1+Inputs!$B$21)^('Cash flows'!B6-1)-'Cash flows'!F6))</f>
        <v>366960.94055999996</v>
      </c>
      <c r="G6" s="3">
        <f>'Cash flows'!I6-'Cash flows'!J6+(Inputs!$B$2*Sensitivity!D7*Sensitivity!C7*((1-Inputs!$B$6)*Sensitivity!B7+Inputs!$B$6*MIN('Executive report'!B5,Sensitivity!B7))*(1+Inputs!$B$20)^('Cash flows'!B6-1)-'Cash flows'!E6-( Inputs!$B$2*Sensitivity!D7*Sensitivity!C7*Inputs!$B$4*(1+Inputs!$B$21)^('Cash flows'!B6-1)-'Cash flows'!F6))</f>
        <v>366960.94055999996</v>
      </c>
    </row>
    <row r="7">
      <c r="A7" s="2" t="n">
        <v>5</v>
      </c>
      <c r="B7" s="3">
        <f>'Cash flows'!I7-'Cash flows'!J7+(Inputs!$B$2*Sensitivity!D2*Sensitivity!C2*((1-Inputs!$B$6)*Sensitivity!B2+Inputs!$B$6*MIN('Executive report'!B5,Sensitivity!B2))*(1+Inputs!$B$20)^('Cash flows'!B7-1)-'Cash flows'!E7-( Inputs!$B$2*Sensitivity!D2*Sensitivity!C2*Inputs!$B$4*(1+Inputs!$B$21)^('Cash flows'!B7-1)-'Cash flows'!F7))</f>
        <v>374300.1593712</v>
      </c>
      <c r="C7" s="3">
        <f>'Cash flows'!I7-'Cash flows'!J7+(Inputs!$B$2*Sensitivity!D3*Sensitivity!C3*((1-Inputs!$B$6)*Sensitivity!B3+Inputs!$B$6*MIN('Executive report'!B5,Sensitivity!B3))*(1+Inputs!$B$20)^('Cash flows'!B7-1)-'Cash flows'!E7-( Inputs!$B$2*Sensitivity!D3*Sensitivity!C3*Inputs!$B$4*(1+Inputs!$B$21)^('Cash flows'!B7-1)-'Cash flows'!F7))</f>
        <v>301713.53217120003</v>
      </c>
      <c r="D7" s="3">
        <f>'Cash flows'!I7-'Cash flows'!J7+(Inputs!$B$2*Sensitivity!D4*Sensitivity!C4*((1-Inputs!$B$6)*Sensitivity!B4+Inputs!$B$6*MIN('Executive report'!B5,Sensitivity!B4))*(1+Inputs!$B$20)^('Cash flows'!B7-1)-'Cash flows'!E7-( Inputs!$B$2*Sensitivity!D4*Sensitivity!C4*Inputs!$B$4*(1+Inputs!$B$21)^('Cash flows'!B7-1)-'Cash flows'!F7))</f>
        <v>316356.92912160006</v>
      </c>
      <c r="E7" s="3">
        <f>'Cash flows'!I7-'Cash flows'!J7+(Inputs!$B$2*Sensitivity!D5*Sensitivity!C5*((1-Inputs!$B$6)*Sensitivity!B5+Inputs!$B$6*MIN('Executive report'!B5,Sensitivity!B5))*(1+Inputs!$B$20)^('Cash flows'!B7-1)-'Cash flows'!E7-( Inputs!$B$2*Sensitivity!D5*Sensitivity!C5*Inputs!$B$4*(1+Inputs!$B$21)^('Cash flows'!B7-1)-'Cash flows'!F7))</f>
        <v>282556.711476</v>
      </c>
      <c r="F7" s="3">
        <f>'Cash flows'!I7-'Cash flows'!J7+(Inputs!$B$2*Sensitivity!D6*Sensitivity!C6*((1-Inputs!$B$6)*Sensitivity!B6+Inputs!$B$6*MIN('Executive report'!B5,Sensitivity!B6))*(1+Inputs!$B$20)^('Cash flows'!B7-1)-'Cash flows'!E7-( Inputs!$B$2*Sensitivity!D6*Sensitivity!C6*Inputs!$B$4*(1+Inputs!$B$21)^('Cash flows'!B7-1)-'Cash flows'!F7))</f>
        <v>374300.1593712</v>
      </c>
      <c r="G7" s="3">
        <f>'Cash flows'!I7-'Cash flows'!J7+(Inputs!$B$2*Sensitivity!D7*Sensitivity!C7*((1-Inputs!$B$6)*Sensitivity!B7+Inputs!$B$6*MIN('Executive report'!B5,Sensitivity!B7))*(1+Inputs!$B$20)^('Cash flows'!B7-1)-'Cash flows'!E7-( Inputs!$B$2*Sensitivity!D7*Sensitivity!C7*Inputs!$B$4*(1+Inputs!$B$21)^('Cash flows'!B7-1)-'Cash flows'!F7))</f>
        <v>374300.1593712</v>
      </c>
    </row>
    <row r="8">
      <c r="A8" s="2" t="n">
        <v>6</v>
      </c>
      <c r="B8" s="3">
        <f>'Cash flows'!I8-'Cash flows'!J8+(Inputs!$B$2*Sensitivity!D2*Sensitivity!C2*((1-Inputs!$B$6)*Sensitivity!B2+Inputs!$B$6*MIN('Executive report'!B5,Sensitivity!B2))*(1+Inputs!$B$20)^('Cash flows'!B8-1)-'Cash flows'!E8-( Inputs!$B$2*Sensitivity!D2*Sensitivity!C2*Inputs!$B$4*(1+Inputs!$B$21)^('Cash flows'!B8-1)-'Cash flows'!F8))</f>
        <v>381786.16255862394</v>
      </c>
      <c r="C8" s="3">
        <f>'Cash flows'!I8-'Cash flows'!J8+(Inputs!$B$2*Sensitivity!D3*Sensitivity!C3*((1-Inputs!$B$6)*Sensitivity!B3+Inputs!$B$6*MIN('Executive report'!B5,Sensitivity!B3))*(1+Inputs!$B$20)^('Cash flows'!B8-1)-'Cash flows'!E8-( Inputs!$B$2*Sensitivity!D3*Sensitivity!C3*Inputs!$B$4*(1+Inputs!$B$21)^('Cash flows'!B8-1)-'Cash flows'!F8))</f>
        <v>307747.802814624</v>
      </c>
      <c r="D8" s="3">
        <f>'Cash flows'!I8-'Cash flows'!J8+(Inputs!$B$2*Sensitivity!D4*Sensitivity!C4*((1-Inputs!$B$6)*Sensitivity!B4+Inputs!$B$6*MIN('Executive report'!B5,Sensitivity!B4))*(1+Inputs!$B$20)^('Cash flows'!B8-1)-'Cash flows'!E8-( Inputs!$B$2*Sensitivity!D4*Sensitivity!C4*Inputs!$B$4*(1+Inputs!$B$21)^('Cash flows'!B8-1)-'Cash flows'!F8))</f>
        <v>322684.067704032</v>
      </c>
      <c r="E8" s="3">
        <f>'Cash flows'!I8-'Cash flows'!J8+(Inputs!$B$2*Sensitivity!D5*Sensitivity!C5*((1-Inputs!$B$6)*Sensitivity!B5+Inputs!$B$6*MIN('Executive report'!B5,Sensitivity!B5))*(1+Inputs!$B$20)^('Cash flows'!B8-1)-'Cash flows'!E8-( Inputs!$B$2*Sensitivity!D5*Sensitivity!C5*Inputs!$B$4*(1+Inputs!$B$21)^('Cash flows'!B8-1)-'Cash flows'!F8))</f>
        <v>288207.84570552</v>
      </c>
      <c r="F8" s="3">
        <f>'Cash flows'!I8-'Cash flows'!J8+(Inputs!$B$2*Sensitivity!D6*Sensitivity!C6*((1-Inputs!$B$6)*Sensitivity!B6+Inputs!$B$6*MIN('Executive report'!B5,Sensitivity!B6))*(1+Inputs!$B$20)^('Cash flows'!B8-1)-'Cash flows'!E8-( Inputs!$B$2*Sensitivity!D6*Sensitivity!C6*Inputs!$B$4*(1+Inputs!$B$21)^('Cash flows'!B8-1)-'Cash flows'!F8))</f>
        <v>381786.16255862394</v>
      </c>
      <c r="G8" s="3">
        <f>'Cash flows'!I8-'Cash flows'!J8+(Inputs!$B$2*Sensitivity!D7*Sensitivity!C7*((1-Inputs!$B$6)*Sensitivity!B7+Inputs!$B$6*MIN('Executive report'!B5,Sensitivity!B7))*(1+Inputs!$B$20)^('Cash flows'!B8-1)-'Cash flows'!E8-( Inputs!$B$2*Sensitivity!D7*Sensitivity!C7*Inputs!$B$4*(1+Inputs!$B$21)^('Cash flows'!B8-1)-'Cash flows'!F8))</f>
        <v>381786.16255862394</v>
      </c>
    </row>
    <row r="9">
      <c r="A9" s="2" t="n">
        <v>7</v>
      </c>
      <c r="B9" s="3">
        <f>'Cash flows'!I9-'Cash flows'!J9+(Inputs!$B$2*Sensitivity!D2*Sensitivity!C2*((1-Inputs!$B$6)*Sensitivity!B2+Inputs!$B$6*MIN('Executive report'!B5,Sensitivity!B2))*(1+Inputs!$B$20)^('Cash flows'!B9-1)-'Cash flows'!E9-( Inputs!$B$2*Sensitivity!D2*Sensitivity!C2*Inputs!$B$4*(1+Inputs!$B$21)^('Cash flows'!B9-1)-'Cash flows'!F9))</f>
        <v>389421.88580979645</v>
      </c>
      <c r="C9" s="3">
        <f>'Cash flows'!I9-'Cash flows'!J9+(Inputs!$B$2*Sensitivity!D3*Sensitivity!C3*((1-Inputs!$B$6)*Sensitivity!B3+Inputs!$B$6*MIN('Executive report'!B5,Sensitivity!B3))*(1+Inputs!$B$20)^('Cash flows'!B9-1)-'Cash flows'!E9-( Inputs!$B$2*Sensitivity!D3*Sensitivity!C3*Inputs!$B$4*(1+Inputs!$B$21)^('Cash flows'!B9-1)-'Cash flows'!F9))</f>
        <v>313902.75887091644</v>
      </c>
      <c r="D9" s="3">
        <f>'Cash flows'!I9-'Cash flows'!J9+(Inputs!$B$2*Sensitivity!D4*Sensitivity!C4*((1-Inputs!$B$6)*Sensitivity!B4+Inputs!$B$6*MIN('Executive report'!B5,Sensitivity!B4))*(1+Inputs!$B$20)^('Cash flows'!B9-1)-'Cash flows'!E9-( Inputs!$B$2*Sensitivity!D4*Sensitivity!C4*Inputs!$B$4*(1+Inputs!$B$21)^('Cash flows'!B9-1)-'Cash flows'!F9))</f>
        <v>329137.7490581127</v>
      </c>
      <c r="E9" s="3">
        <f>'Cash flows'!I9-'Cash flows'!J9+(Inputs!$B$2*Sensitivity!D5*Sensitivity!C5*((1-Inputs!$B$6)*Sensitivity!B5+Inputs!$B$6*MIN('Executive report'!B5,Sensitivity!B5))*(1+Inputs!$B$20)^('Cash flows'!B9-1)-'Cash flows'!E9-( Inputs!$B$2*Sensitivity!D5*Sensitivity!C5*Inputs!$B$4*(1+Inputs!$B$21)^('Cash flows'!B9-1)-'Cash flows'!F9))</f>
        <v>293972.0026196304</v>
      </c>
      <c r="F9" s="3">
        <f>'Cash flows'!I9-'Cash flows'!J9+(Inputs!$B$2*Sensitivity!D6*Sensitivity!C6*((1-Inputs!$B$6)*Sensitivity!B6+Inputs!$B$6*MIN('Executive report'!B5,Sensitivity!B6))*(1+Inputs!$B$20)^('Cash flows'!B9-1)-'Cash flows'!E9-( Inputs!$B$2*Sensitivity!D6*Sensitivity!C6*Inputs!$B$4*(1+Inputs!$B$21)^('Cash flows'!B9-1)-'Cash flows'!F9))</f>
        <v>389421.88580979645</v>
      </c>
      <c r="G9" s="3">
        <f>'Cash flows'!I9-'Cash flows'!J9+(Inputs!$B$2*Sensitivity!D7*Sensitivity!C7*((1-Inputs!$B$6)*Sensitivity!B7+Inputs!$B$6*MIN('Executive report'!B5,Sensitivity!B7))*(1+Inputs!$B$20)^('Cash flows'!B9-1)-'Cash flows'!E9-( Inputs!$B$2*Sensitivity!D7*Sensitivity!C7*Inputs!$B$4*(1+Inputs!$B$21)^('Cash flows'!B9-1)-'Cash flows'!F9))</f>
        <v>389421.88580979645</v>
      </c>
    </row>
    <row r="10">
      <c r="A10" s="2" t="n">
        <v>8</v>
      </c>
      <c r="B10" s="3">
        <f>'Cash flows'!I10-'Cash flows'!J10+(Inputs!$B$2*Sensitivity!D2*Sensitivity!C2*((1-Inputs!$B$6)*Sensitivity!B2+Inputs!$B$6*MIN('Executive report'!B5,Sensitivity!B2))*(1+Inputs!$B$20)^('Cash flows'!B10-1)-'Cash flows'!E10-( Inputs!$B$2*Sensitivity!D2*Sensitivity!C2*Inputs!$B$4*(1+Inputs!$B$21)^('Cash flows'!B10-1)-'Cash flows'!F10))</f>
        <v>397210.3235259924</v>
      </c>
      <c r="C10" s="3">
        <f>'Cash flows'!I10-'Cash flows'!J10+(Inputs!$B$2*Sensitivity!D3*Sensitivity!C3*((1-Inputs!$B$6)*Sensitivity!B3+Inputs!$B$6*MIN('Executive report'!B5,Sensitivity!B3))*(1+Inputs!$B$20)^('Cash flows'!B10-1)-'Cash flows'!E10-( Inputs!$B$2*Sensitivity!D3*Sensitivity!C3*Inputs!$B$4*(1+Inputs!$B$21)^('Cash flows'!B10-1)-'Cash flows'!F10))</f>
        <v>320180.8140483348</v>
      </c>
      <c r="D10" s="3">
        <f>'Cash flows'!I10-'Cash flows'!J10+(Inputs!$B$2*Sensitivity!D4*Sensitivity!C4*((1-Inputs!$B$6)*Sensitivity!B4+Inputs!$B$6*MIN('Executive report'!B5,Sensitivity!B4))*(1+Inputs!$B$20)^('Cash flows'!B10-1)-'Cash flows'!E10-( Inputs!$B$2*Sensitivity!D4*Sensitivity!C4*Inputs!$B$4*(1+Inputs!$B$21)^('Cash flows'!B10-1)-'Cash flows'!F10))</f>
        <v>335720.50403927494</v>
      </c>
      <c r="E10" s="3">
        <f>'Cash flows'!I10-'Cash flows'!J10+(Inputs!$B$2*Sensitivity!D5*Sensitivity!C5*((1-Inputs!$B$6)*Sensitivity!B5+Inputs!$B$6*MIN('Executive report'!B5,Sensitivity!B5))*(1+Inputs!$B$20)^('Cash flows'!B10-1)-'Cash flows'!E10-( Inputs!$B$2*Sensitivity!D5*Sensitivity!C5*Inputs!$B$4*(1+Inputs!$B$21)^('Cash flows'!B10-1)-'Cash flows'!F10))</f>
        <v>299851.442672023</v>
      </c>
      <c r="F10" s="3">
        <f>'Cash flows'!I10-'Cash flows'!J10+(Inputs!$B$2*Sensitivity!D6*Sensitivity!C6*((1-Inputs!$B$6)*Sensitivity!B6+Inputs!$B$6*MIN('Executive report'!B5,Sensitivity!B6))*(1+Inputs!$B$20)^('Cash flows'!B10-1)-'Cash flows'!E10-( Inputs!$B$2*Sensitivity!D6*Sensitivity!C6*Inputs!$B$4*(1+Inputs!$B$21)^('Cash flows'!B10-1)-'Cash flows'!F10))</f>
        <v>397210.3235259924</v>
      </c>
      <c r="G10" s="3">
        <f>'Cash flows'!I10-'Cash flows'!J10+(Inputs!$B$2*Sensitivity!D7*Sensitivity!C7*((1-Inputs!$B$6)*Sensitivity!B7+Inputs!$B$6*MIN('Executive report'!B5,Sensitivity!B7))*(1+Inputs!$B$20)^('Cash flows'!B10-1)-'Cash flows'!E10-( Inputs!$B$2*Sensitivity!D7*Sensitivity!C7*Inputs!$B$4*(1+Inputs!$B$21)^('Cash flows'!B10-1)-'Cash flows'!F10))</f>
        <v>397210.3235259924</v>
      </c>
    </row>
    <row r="11">
      <c r="A11" s="2" t="n">
        <v>9</v>
      </c>
      <c r="B11" s="3">
        <f>'Cash flows'!I11-'Cash flows'!J11+(Inputs!$B$2*Sensitivity!D2*Sensitivity!C2*((1-Inputs!$B$6)*Sensitivity!B2+Inputs!$B$6*MIN('Executive report'!B5,Sensitivity!B2))*(1+Inputs!$B$20)^('Cash flows'!B11-1)-'Cash flows'!E11-( Inputs!$B$2*Sensitivity!D2*Sensitivity!C2*Inputs!$B$4*(1+Inputs!$B$21)^('Cash flows'!B11-1)-'Cash flows'!F11))</f>
        <v>405154.5299965122</v>
      </c>
      <c r="C11" s="3">
        <f>'Cash flows'!I11-'Cash flows'!J11+(Inputs!$B$2*Sensitivity!D3*Sensitivity!C3*((1-Inputs!$B$6)*Sensitivity!B3+Inputs!$B$6*MIN('Executive report'!B5,Sensitivity!B3))*(1+Inputs!$B$20)^('Cash flows'!B11-1)-'Cash flows'!E11-( Inputs!$B$2*Sensitivity!D3*Sensitivity!C3*Inputs!$B$4*(1+Inputs!$B$21)^('Cash flows'!B11-1)-'Cash flows'!F11))</f>
        <v>326584.43032930145</v>
      </c>
      <c r="D11" s="3">
        <f>'Cash flows'!I11-'Cash flows'!J11+(Inputs!$B$2*Sensitivity!D4*Sensitivity!C4*((1-Inputs!$B$6)*Sensitivity!B4+Inputs!$B$6*MIN('Executive report'!B5,Sensitivity!B4))*(1+Inputs!$B$20)^('Cash flows'!B11-1)-'Cash flows'!E11-( Inputs!$B$2*Sensitivity!D4*Sensitivity!C4*Inputs!$B$4*(1+Inputs!$B$21)^('Cash flows'!B11-1)-'Cash flows'!F11))</f>
        <v>342434.9141200604</v>
      </c>
      <c r="E11" s="3">
        <f>'Cash flows'!I11-'Cash flows'!J11+(Inputs!$B$2*Sensitivity!D5*Sensitivity!C5*((1-Inputs!$B$6)*Sensitivity!B5+Inputs!$B$6*MIN('Executive report'!B5,Sensitivity!B5))*(1+Inputs!$B$20)^('Cash flows'!B11-1)-'Cash flows'!E11-( Inputs!$B$2*Sensitivity!D5*Sensitivity!C5*Inputs!$B$4*(1+Inputs!$B$21)^('Cash flows'!B11-1)-'Cash flows'!F11))</f>
        <v>305848.47152546345</v>
      </c>
      <c r="F11" s="3">
        <f>'Cash flows'!I11-'Cash flows'!J11+(Inputs!$B$2*Sensitivity!D6*Sensitivity!C6*((1-Inputs!$B$6)*Sensitivity!B6+Inputs!$B$6*MIN('Executive report'!B5,Sensitivity!B6))*(1+Inputs!$B$20)^('Cash flows'!B11-1)-'Cash flows'!E11-( Inputs!$B$2*Sensitivity!D6*Sensitivity!C6*Inputs!$B$4*(1+Inputs!$B$21)^('Cash flows'!B11-1)-'Cash flows'!F11))</f>
        <v>405154.5299965122</v>
      </c>
      <c r="G11" s="3">
        <f>'Cash flows'!I11-'Cash flows'!J11+(Inputs!$B$2*Sensitivity!D7*Sensitivity!C7*((1-Inputs!$B$6)*Sensitivity!B7+Inputs!$B$6*MIN('Executive report'!B5,Sensitivity!B7))*(1+Inputs!$B$20)^('Cash flows'!B11-1)-'Cash flows'!E11-( Inputs!$B$2*Sensitivity!D7*Sensitivity!C7*Inputs!$B$4*(1+Inputs!$B$21)^('Cash flows'!B11-1)-'Cash flows'!F11))</f>
        <v>405154.5299965122</v>
      </c>
    </row>
    <row r="12">
      <c r="A12" s="2" t="n">
        <v>10</v>
      </c>
      <c r="B12" s="3">
        <f>'Cash flows'!I12-'Cash flows'!J12+(Inputs!$B$2*Sensitivity!D2*Sensitivity!C2*((1-Inputs!$B$6)*Sensitivity!B2+Inputs!$B$6*MIN('Executive report'!B5,Sensitivity!B2))*(1+Inputs!$B$20)^('Cash flows'!B12-1)-'Cash flows'!E12-( Inputs!$B$2*Sensitivity!D2*Sensitivity!C2*Inputs!$B$4*(1+Inputs!$B$21)^('Cash flows'!B12-1)-'Cash flows'!F12))</f>
        <v>413257.6205964425</v>
      </c>
      <c r="C12" s="3">
        <f>'Cash flows'!I12-'Cash flows'!J12+(Inputs!$B$2*Sensitivity!D3*Sensitivity!C3*((1-Inputs!$B$6)*Sensitivity!B3+Inputs!$B$6*MIN('Executive report'!B5,Sensitivity!B3))*(1+Inputs!$B$20)^('Cash flows'!B12-1)-'Cash flows'!E12-( Inputs!$B$2*Sensitivity!D3*Sensitivity!C3*Inputs!$B$4*(1+Inputs!$B$21)^('Cash flows'!B12-1)-'Cash flows'!F12))</f>
        <v>333116.1189358875</v>
      </c>
      <c r="D12" s="3">
        <f>'Cash flows'!I12-'Cash flows'!J12+(Inputs!$B$2*Sensitivity!D4*Sensitivity!C4*((1-Inputs!$B$6)*Sensitivity!B4+Inputs!$B$6*MIN('Executive report'!B5,Sensitivity!B4))*(1+Inputs!$B$20)^('Cash flows'!B12-1)-'Cash flows'!E12-( Inputs!$B$2*Sensitivity!D4*Sensitivity!C4*Inputs!$B$4*(1+Inputs!$B$21)^('Cash flows'!B12-1)-'Cash flows'!F12))</f>
        <v>349283.61240246164</v>
      </c>
      <c r="E12" s="3">
        <f>'Cash flows'!I12-'Cash flows'!J12+(Inputs!$B$2*Sensitivity!D5*Sensitivity!C5*((1-Inputs!$B$6)*Sensitivity!B5+Inputs!$B$6*MIN('Executive report'!B5,Sensitivity!B5))*(1+Inputs!$B$20)^('Cash flows'!B12-1)-'Cash flows'!E12-( Inputs!$B$2*Sensitivity!D5*Sensitivity!C5*Inputs!$B$4*(1+Inputs!$B$21)^('Cash flows'!B12-1)-'Cash flows'!F12))</f>
        <v>311965.44095597276</v>
      </c>
      <c r="F12" s="3">
        <f>'Cash flows'!I12-'Cash flows'!J12+(Inputs!$B$2*Sensitivity!D6*Sensitivity!C6*((1-Inputs!$B$6)*Sensitivity!B6+Inputs!$B$6*MIN('Executive report'!B5,Sensitivity!B6))*(1+Inputs!$B$20)^('Cash flows'!B12-1)-'Cash flows'!E12-( Inputs!$B$2*Sensitivity!D6*Sensitivity!C6*Inputs!$B$4*(1+Inputs!$B$21)^('Cash flows'!B12-1)-'Cash flows'!F12))</f>
        <v>413257.6205964425</v>
      </c>
      <c r="G12" s="3">
        <f>'Cash flows'!I12-'Cash flows'!J12+(Inputs!$B$2*Sensitivity!D7*Sensitivity!C7*((1-Inputs!$B$6)*Sensitivity!B7+Inputs!$B$6*MIN('Executive report'!B5,Sensitivity!B7))*(1+Inputs!$B$20)^('Cash flows'!B12-1)-'Cash flows'!E12-( Inputs!$B$2*Sensitivity!D7*Sensitivity!C7*Inputs!$B$4*(1+Inputs!$B$21)^('Cash flows'!B12-1)-'Cash flows'!F12))</f>
        <v>413257.6205964425</v>
      </c>
    </row>
    <row r="13">
      <c r="A13" s="2" t="n">
        <v>11</v>
      </c>
      <c r="B13" s="3">
        <f>'Cash flows'!I13-'Cash flows'!J13+(Inputs!$B$2*Sensitivity!D2*Sensitivity!C2*((1-Inputs!$B$6)*Sensitivity!B2+Inputs!$B$6*MIN('Executive report'!B5,Sensitivity!B2))*(1+Inputs!$B$20)^('Cash flows'!B13-1)-'Cash flows'!E13-( Inputs!$B$2*Sensitivity!D2*Sensitivity!C2*Inputs!$B$4*(1+Inputs!$B$21)^('Cash flows'!B13-1)-'Cash flows'!F13))</f>
        <v>421522.77300837135</v>
      </c>
      <c r="C13" s="3">
        <f>'Cash flows'!I13-'Cash flows'!J13+(Inputs!$B$2*Sensitivity!D3*Sensitivity!C3*((1-Inputs!$B$6)*Sensitivity!B3+Inputs!$B$6*MIN('Executive report'!B5,Sensitivity!B3))*(1+Inputs!$B$20)^('Cash flows'!B13-1)-'Cash flows'!E13-( Inputs!$B$2*Sensitivity!D3*Sensitivity!C3*Inputs!$B$4*(1+Inputs!$B$21)^('Cash flows'!B13-1)-'Cash flows'!F13))</f>
        <v>339778.4413146053</v>
      </c>
      <c r="D13" s="3">
        <f>'Cash flows'!I13-'Cash flows'!J13+(Inputs!$B$2*Sensitivity!D4*Sensitivity!C4*((1-Inputs!$B$6)*Sensitivity!B4+Inputs!$B$6*MIN('Executive report'!B5,Sensitivity!B4))*(1+Inputs!$B$20)^('Cash flows'!B13-1)-'Cash flows'!E13-( Inputs!$B$2*Sensitivity!D4*Sensitivity!C4*Inputs!$B$4*(1+Inputs!$B$21)^('Cash flows'!B13-1)-'Cash flows'!F13))</f>
        <v>356269.2846505109</v>
      </c>
      <c r="E13" s="3">
        <f>'Cash flows'!I13-'Cash flows'!J13+(Inputs!$B$2*Sensitivity!D5*Sensitivity!C5*((1-Inputs!$B$6)*Sensitivity!B5+Inputs!$B$6*MIN('Executive report'!B5,Sensitivity!B5))*(1+Inputs!$B$20)^('Cash flows'!B13-1)-'Cash flows'!E13-( Inputs!$B$2*Sensitivity!D5*Sensitivity!C5*Inputs!$B$4*(1+Inputs!$B$21)^('Cash flows'!B13-1)-'Cash flows'!F13))</f>
        <v>318204.74977509223</v>
      </c>
      <c r="F13" s="3">
        <f>'Cash flows'!I13-'Cash flows'!J13+(Inputs!$B$2*Sensitivity!D6*Sensitivity!C6*((1-Inputs!$B$6)*Sensitivity!B6+Inputs!$B$6*MIN('Executive report'!B5,Sensitivity!B6))*(1+Inputs!$B$20)^('Cash flows'!B13-1)-'Cash flows'!E13-( Inputs!$B$2*Sensitivity!D6*Sensitivity!C6*Inputs!$B$4*(1+Inputs!$B$21)^('Cash flows'!B13-1)-'Cash flows'!F13))</f>
        <v>421522.77300837135</v>
      </c>
      <c r="G13" s="3">
        <f>'Cash flows'!I13-'Cash flows'!J13+(Inputs!$B$2*Sensitivity!D7*Sensitivity!C7*((1-Inputs!$B$6)*Sensitivity!B7+Inputs!$B$6*MIN('Executive report'!B5,Sensitivity!B7))*(1+Inputs!$B$20)^('Cash flows'!B13-1)-'Cash flows'!E13-( Inputs!$B$2*Sensitivity!D7*Sensitivity!C7*Inputs!$B$4*(1+Inputs!$B$21)^('Cash flows'!B13-1)-'Cash flows'!F13))</f>
        <v>421522.77300837135</v>
      </c>
    </row>
    <row r="14">
      <c r="A14" s="2" t="n">
        <v>12</v>
      </c>
      <c r="B14" s="3">
        <f>'Cash flows'!I14-'Cash flows'!J14+(Inputs!$B$2*Sensitivity!D2*Sensitivity!C2*((1-Inputs!$B$6)*Sensitivity!B2+Inputs!$B$6*MIN('Executive report'!B5,Sensitivity!B2))*(1+Inputs!$B$20)^('Cash flows'!B14-1)-'Cash flows'!E14-( Inputs!$B$2*Sensitivity!D2*Sensitivity!C2*Inputs!$B$4*(1+Inputs!$B$21)^('Cash flows'!B14-1)-'Cash flows'!F14))</f>
        <v>429953.2284685388</v>
      </c>
      <c r="C14" s="3">
        <f>'Cash flows'!I14-'Cash flows'!J14+(Inputs!$B$2*Sensitivity!D3*Sensitivity!C3*((1-Inputs!$B$6)*Sensitivity!B3+Inputs!$B$6*MIN('Executive report'!B5,Sensitivity!B3))*(1+Inputs!$B$20)^('Cash flows'!B14-1)-'Cash flows'!E14-( Inputs!$B$2*Sensitivity!D3*Sensitivity!C3*Inputs!$B$4*(1+Inputs!$B$21)^('Cash flows'!B14-1)-'Cash flows'!F14))</f>
        <v>346574.0101408974</v>
      </c>
      <c r="D14" s="3">
        <f>'Cash flows'!I14-'Cash flows'!J14+(Inputs!$B$2*Sensitivity!D4*Sensitivity!C4*((1-Inputs!$B$6)*Sensitivity!B4+Inputs!$B$6*MIN('Executive report'!B5,Sensitivity!B4))*(1+Inputs!$B$20)^('Cash flows'!B14-1)-'Cash flows'!E14-( Inputs!$B$2*Sensitivity!D4*Sensitivity!C4*Inputs!$B$4*(1+Inputs!$B$21)^('Cash flows'!B14-1)-'Cash flows'!F14))</f>
        <v>363394.6703435211</v>
      </c>
      <c r="E14" s="3">
        <f>'Cash flows'!I14-'Cash flows'!J14+(Inputs!$B$2*Sensitivity!D5*Sensitivity!C5*((1-Inputs!$B$6)*Sensitivity!B5+Inputs!$B$6*MIN('Executive report'!B5,Sensitivity!B5))*(1+Inputs!$B$20)^('Cash flows'!B14-1)-'Cash flows'!E14-( Inputs!$B$2*Sensitivity!D5*Sensitivity!C5*Inputs!$B$4*(1+Inputs!$B$21)^('Cash flows'!B14-1)-'Cash flows'!F14))</f>
        <v>324568.8447705941</v>
      </c>
      <c r="F14" s="3">
        <f>'Cash flows'!I14-'Cash flows'!J14+(Inputs!$B$2*Sensitivity!D6*Sensitivity!C6*((1-Inputs!$B$6)*Sensitivity!B6+Inputs!$B$6*MIN('Executive report'!B5,Sensitivity!B6))*(1+Inputs!$B$20)^('Cash flows'!B14-1)-'Cash flows'!E14-( Inputs!$B$2*Sensitivity!D6*Sensitivity!C6*Inputs!$B$4*(1+Inputs!$B$21)^('Cash flows'!B14-1)-'Cash flows'!F14))</f>
        <v>429953.2284685388</v>
      </c>
      <c r="G14" s="3">
        <f>'Cash flows'!I14-'Cash flows'!J14+(Inputs!$B$2*Sensitivity!D7*Sensitivity!C7*((1-Inputs!$B$6)*Sensitivity!B7+Inputs!$B$6*MIN('Executive report'!B5,Sensitivity!B7))*(1+Inputs!$B$20)^('Cash flows'!B14-1)-'Cash flows'!E14-( Inputs!$B$2*Sensitivity!D7*Sensitivity!C7*Inputs!$B$4*(1+Inputs!$B$21)^('Cash flows'!B14-1)-'Cash flows'!F14))</f>
        <v>429953.2284685388</v>
      </c>
    </row>
    <row r="15">
      <c r="A15" s="2" t="n">
        <v>13</v>
      </c>
      <c r="B15" s="3">
        <f>'Cash flows'!I15-'Cash flows'!J15+(Inputs!$B$2*Sensitivity!D2*Sensitivity!C2*((1-Inputs!$B$6)*Sensitivity!B2+Inputs!$B$6*MIN('Executive report'!B5,Sensitivity!B2))*(1+Inputs!$B$20)^('Cash flows'!B15-1)-'Cash flows'!E15-( Inputs!$B$2*Sensitivity!D2*Sensitivity!C2*Inputs!$B$4*(1+Inputs!$B$21)^('Cash flows'!B15-1)-'Cash flows'!F15))</f>
        <v>438552.2930379096</v>
      </c>
      <c r="C15" s="3">
        <f>'Cash flows'!I15-'Cash flows'!J15+(Inputs!$B$2*Sensitivity!D3*Sensitivity!C3*((1-Inputs!$B$6)*Sensitivity!B3+Inputs!$B$6*MIN('Executive report'!B5,Sensitivity!B3))*(1+Inputs!$B$20)^('Cash flows'!B15-1)-'Cash flows'!E15-( Inputs!$B$2*Sensitivity!D3*Sensitivity!C3*Inputs!$B$4*(1+Inputs!$B$21)^('Cash flows'!B15-1)-'Cash flows'!F15))</f>
        <v>353505.49034371536</v>
      </c>
      <c r="D15" s="3">
        <f>'Cash flows'!I15-'Cash flows'!J15+(Inputs!$B$2*Sensitivity!D4*Sensitivity!C4*((1-Inputs!$B$6)*Sensitivity!B4+Inputs!$B$6*MIN('Executive report'!B5,Sensitivity!B4))*(1+Inputs!$B$20)^('Cash flows'!B15-1)-'Cash flows'!E15-( Inputs!$B$2*Sensitivity!D4*Sensitivity!C4*Inputs!$B$4*(1+Inputs!$B$21)^('Cash flows'!B15-1)-'Cash flows'!F15))</f>
        <v>370662.56375039153</v>
      </c>
      <c r="E15" s="3">
        <f>'Cash flows'!I15-'Cash flows'!J15+(Inputs!$B$2*Sensitivity!D5*Sensitivity!C5*((1-Inputs!$B$6)*Sensitivity!B5+Inputs!$B$6*MIN('Executive report'!B5,Sensitivity!B5))*(1+Inputs!$B$20)^('Cash flows'!B15-1)-'Cash flows'!E15-( Inputs!$B$2*Sensitivity!D5*Sensitivity!C5*Inputs!$B$4*(1+Inputs!$B$21)^('Cash flows'!B15-1)-'Cash flows'!F15))</f>
        <v>331060.22166600596</v>
      </c>
      <c r="F15" s="3">
        <f>'Cash flows'!I15-'Cash flows'!J15+(Inputs!$B$2*Sensitivity!D6*Sensitivity!C6*((1-Inputs!$B$6)*Sensitivity!B6+Inputs!$B$6*MIN('Executive report'!B5,Sensitivity!B6))*(1+Inputs!$B$20)^('Cash flows'!B15-1)-'Cash flows'!E15-( Inputs!$B$2*Sensitivity!D6*Sensitivity!C6*Inputs!$B$4*(1+Inputs!$B$21)^('Cash flows'!B15-1)-'Cash flows'!F15))</f>
        <v>438552.2930379096</v>
      </c>
      <c r="G15" s="3">
        <f>'Cash flows'!I15-'Cash flows'!J15+(Inputs!$B$2*Sensitivity!D7*Sensitivity!C7*((1-Inputs!$B$6)*Sensitivity!B7+Inputs!$B$6*MIN('Executive report'!B5,Sensitivity!B7))*(1+Inputs!$B$20)^('Cash flows'!B15-1)-'Cash flows'!E15-( Inputs!$B$2*Sensitivity!D7*Sensitivity!C7*Inputs!$B$4*(1+Inputs!$B$21)^('Cash flows'!B15-1)-'Cash flows'!F15))</f>
        <v>438552.2930379096</v>
      </c>
    </row>
    <row r="16">
      <c r="A16" s="2" t="n">
        <v>14</v>
      </c>
      <c r="B16" s="3">
        <f>'Cash flows'!I16-'Cash flows'!J16+(Inputs!$B$2*Sensitivity!D2*Sensitivity!C2*((1-Inputs!$B$6)*Sensitivity!B2+Inputs!$B$6*MIN('Executive report'!B5,Sensitivity!B2))*(1+Inputs!$B$20)^('Cash flows'!B16-1)-'Cash flows'!E16-( Inputs!$B$2*Sensitivity!D2*Sensitivity!C2*Inputs!$B$4*(1+Inputs!$B$21)^('Cash flows'!B16-1)-'Cash flows'!F16))</f>
        <v>447323.3388986678</v>
      </c>
      <c r="C16" s="3">
        <f>'Cash flows'!I16-'Cash flows'!J16+(Inputs!$B$2*Sensitivity!D3*Sensitivity!C3*((1-Inputs!$B$6)*Sensitivity!B3+Inputs!$B$6*MIN('Executive report'!B5,Sensitivity!B3))*(1+Inputs!$B$20)^('Cash flows'!B16-1)-'Cash flows'!E16-( Inputs!$B$2*Sensitivity!D3*Sensitivity!C3*Inputs!$B$4*(1+Inputs!$B$21)^('Cash flows'!B16-1)-'Cash flows'!F16))</f>
        <v>360575.60015058966</v>
      </c>
      <c r="D16" s="3">
        <f>'Cash flows'!I16-'Cash flows'!J16+(Inputs!$B$2*Sensitivity!D4*Sensitivity!C4*((1-Inputs!$B$6)*Sensitivity!B4+Inputs!$B$6*MIN('Executive report'!B5,Sensitivity!B4))*(1+Inputs!$B$20)^('Cash flows'!B16-1)-'Cash flows'!E16-( Inputs!$B$2*Sensitivity!D4*Sensitivity!C4*Inputs!$B$4*(1+Inputs!$B$21)^('Cash flows'!B16-1)-'Cash flows'!F16))</f>
        <v>378075.8150253994</v>
      </c>
      <c r="E16" s="3">
        <f>'Cash flows'!I16-'Cash flows'!J16+(Inputs!$B$2*Sensitivity!D5*Sensitivity!C5*((1-Inputs!$B$6)*Sensitivity!B5+Inputs!$B$6*MIN('Executive report'!B5,Sensitivity!B5))*(1+Inputs!$B$20)^('Cash flows'!B16-1)-'Cash flows'!E16-( Inputs!$B$2*Sensitivity!D5*Sensitivity!C5*Inputs!$B$4*(1+Inputs!$B$21)^('Cash flows'!B16-1)-'Cash flows'!F16))</f>
        <v>337681.42609932605</v>
      </c>
      <c r="F16" s="3">
        <f>'Cash flows'!I16-'Cash flows'!J16+(Inputs!$B$2*Sensitivity!D6*Sensitivity!C6*((1-Inputs!$B$6)*Sensitivity!B6+Inputs!$B$6*MIN('Executive report'!B5,Sensitivity!B6))*(1+Inputs!$B$20)^('Cash flows'!B16-1)-'Cash flows'!E16-( Inputs!$B$2*Sensitivity!D6*Sensitivity!C6*Inputs!$B$4*(1+Inputs!$B$21)^('Cash flows'!B16-1)-'Cash flows'!F16))</f>
        <v>447323.3388986678</v>
      </c>
      <c r="G16" s="3">
        <f>'Cash flows'!I16-'Cash flows'!J16+(Inputs!$B$2*Sensitivity!D7*Sensitivity!C7*((1-Inputs!$B$6)*Sensitivity!B7+Inputs!$B$6*MIN('Executive report'!B5,Sensitivity!B7))*(1+Inputs!$B$20)^('Cash flows'!B16-1)-'Cash flows'!E16-( Inputs!$B$2*Sensitivity!D7*Sensitivity!C7*Inputs!$B$4*(1+Inputs!$B$21)^('Cash flows'!B16-1)-'Cash flows'!F16))</f>
        <v>447323.3388986678</v>
      </c>
    </row>
    <row r="17">
      <c r="A17" s="2" t="n">
        <v>15</v>
      </c>
      <c r="B17" s="3">
        <f>'Cash flows'!I17-'Cash flows'!J17+(Inputs!$B$2*Sensitivity!D2*Sensitivity!C2*((1-Inputs!$B$6)*Sensitivity!B2+Inputs!$B$6*MIN('Executive report'!B5,Sensitivity!B2))*(1+Inputs!$B$20)^('Cash flows'!B17-1)-'Cash flows'!E17-( Inputs!$B$2*Sensitivity!D2*Sensitivity!C2*Inputs!$B$4*(1+Inputs!$B$21)^('Cash flows'!B17-1)-'Cash flows'!F17))</f>
        <v>456269.8056766412</v>
      </c>
      <c r="C17" s="3">
        <f>'Cash flows'!I17-'Cash flows'!J17+(Inputs!$B$2*Sensitivity!D3*Sensitivity!C3*((1-Inputs!$B$6)*Sensitivity!B3+Inputs!$B$6*MIN('Executive report'!B5,Sensitivity!B3))*(1+Inputs!$B$20)^('Cash flows'!B17-1)-'Cash flows'!E17-( Inputs!$B$2*Sensitivity!D3*Sensitivity!C3*Inputs!$B$4*(1+Inputs!$B$21)^('Cash flows'!B17-1)-'Cash flows'!F17))</f>
        <v>367787.1121536015</v>
      </c>
      <c r="D17" s="3">
        <f>'Cash flows'!I17-'Cash flows'!J17+(Inputs!$B$2*Sensitivity!D4*Sensitivity!C4*((1-Inputs!$B$6)*Sensitivity!B4+Inputs!$B$6*MIN('Executive report'!B5,Sensitivity!B4))*(1+Inputs!$B$20)^('Cash flows'!B17-1)-'Cash flows'!E17-( Inputs!$B$2*Sensitivity!D4*Sensitivity!C4*Inputs!$B$4*(1+Inputs!$B$21)^('Cash flows'!B17-1)-'Cash flows'!F17))</f>
        <v>385637.3313259074</v>
      </c>
      <c r="E17" s="3">
        <f>'Cash flows'!I17-'Cash flows'!J17+(Inputs!$B$2*Sensitivity!D5*Sensitivity!C5*((1-Inputs!$B$6)*Sensitivity!B5+Inputs!$B$6*MIN('Executive report'!B5,Sensitivity!B5))*(1+Inputs!$B$20)^('Cash flows'!B17-1)-'Cash flows'!E17-( Inputs!$B$2*Sensitivity!D5*Sensitivity!C5*Inputs!$B$4*(1+Inputs!$B$21)^('Cash flows'!B17-1)-'Cash flows'!F17))</f>
        <v>344435.05462131265</v>
      </c>
      <c r="F17" s="3">
        <f>'Cash flows'!I17-'Cash flows'!J17+(Inputs!$B$2*Sensitivity!D6*Sensitivity!C6*((1-Inputs!$B$6)*Sensitivity!B6+Inputs!$B$6*MIN('Executive report'!B5,Sensitivity!B6))*(1+Inputs!$B$20)^('Cash flows'!B17-1)-'Cash flows'!E17-( Inputs!$B$2*Sensitivity!D6*Sensitivity!C6*Inputs!$B$4*(1+Inputs!$B$21)^('Cash flows'!B17-1)-'Cash flows'!F17))</f>
        <v>456269.8056766412</v>
      </c>
      <c r="G17" s="3">
        <f>'Cash flows'!I17-'Cash flows'!J17+(Inputs!$B$2*Sensitivity!D7*Sensitivity!C7*((1-Inputs!$B$6)*Sensitivity!B7+Inputs!$B$6*MIN('Executive report'!B5,Sensitivity!B7))*(1+Inputs!$B$20)^('Cash flows'!B17-1)-'Cash flows'!E17-( Inputs!$B$2*Sensitivity!D7*Sensitivity!C7*Inputs!$B$4*(1+Inputs!$B$21)^('Cash flows'!B17-1)-'Cash flows'!F17))</f>
        <v>456269.8056766412</v>
      </c>
    </row>
    <row r="18">
      <c r="A18" s="2" t="n">
        <v>16</v>
      </c>
      <c r="B18" s="3">
        <f>'Cash flows'!I18-'Cash flows'!J18+(Inputs!$B$2*Sensitivity!D2*Sensitivity!C2*((1-Inputs!$B$6)*Sensitivity!B2+Inputs!$B$6*MIN('Executive report'!B5,Sensitivity!B2))*(1+Inputs!$B$20)^('Cash flows'!B18-1)-'Cash flows'!E18-( Inputs!$B$2*Sensitivity!D2*Sensitivity!C2*Inputs!$B$4*(1+Inputs!$B$21)^('Cash flows'!B18-1)-'Cash flows'!F18))</f>
        <v>69551.57287131221</v>
      </c>
      <c r="C18" s="3">
        <f>'Cash flows'!I18-'Cash flows'!J18+(Inputs!$B$2*Sensitivity!D3*Sensitivity!C3*((1-Inputs!$B$6)*Sensitivity!B3+Inputs!$B$6*MIN('Executive report'!B5,Sensitivity!B3))*(1+Inputs!$B$20)^('Cash flows'!B18-1)-'Cash flows'!E18-( Inputs!$B$2*Sensitivity!D3*Sensitivity!C3*Inputs!$B$4*(1+Inputs!$B$21)^('Cash flows'!B18-1)-'Cash flows'!F18))</f>
        <v>-20700.774522188236</v>
      </c>
      <c r="D18" s="3">
        <f>'Cash flows'!I18-'Cash flows'!J18+(Inputs!$B$2*Sensitivity!D4*Sensitivity!C4*((1-Inputs!$B$6)*Sensitivity!B4+Inputs!$B$6*MIN('Executive report'!B5,Sensitivity!B4))*(1+Inputs!$B$20)^('Cash flows'!B18-1)-'Cash flows'!E18-( Inputs!$B$2*Sensitivity!D4*Sensitivity!C4*Inputs!$B$4*(1+Inputs!$B$21)^('Cash flows'!B18-1)-'Cash flows'!F18))</f>
        <v>-2493.550966436218</v>
      </c>
      <c r="E18" s="3">
        <f>'Cash flows'!I18-'Cash flows'!J18+(Inputs!$B$2*Sensitivity!D5*Sensitivity!C5*((1-Inputs!$B$6)*Sensitivity!B5+Inputs!$B$6*MIN('Executive report'!B5,Sensitivity!B5))*(1+Inputs!$B$20)^('Cash flows'!B18-1)-'Cash flows'!E18-( Inputs!$B$2*Sensitivity!D5*Sensitivity!C5*Inputs!$B$4*(1+Inputs!$B$21)^('Cash flows'!B18-1)-'Cash flows'!F18))</f>
        <v>-44519.87320512289</v>
      </c>
      <c r="F18" s="3">
        <f>'Cash flows'!I18-'Cash flows'!J18+(Inputs!$B$2*Sensitivity!D6*Sensitivity!C6*((1-Inputs!$B$6)*Sensitivity!B6+Inputs!$B$6*MIN('Executive report'!B5,Sensitivity!B6))*(1+Inputs!$B$20)^('Cash flows'!B18-1)-'Cash flows'!E18-( Inputs!$B$2*Sensitivity!D6*Sensitivity!C6*Inputs!$B$4*(1+Inputs!$B$21)^('Cash flows'!B18-1)-'Cash flows'!F18))</f>
        <v>69551.57287131221</v>
      </c>
      <c r="G18" s="3">
        <f>'Cash flows'!I18-'Cash flows'!J18+(Inputs!$B$2*Sensitivity!D7*Sensitivity!C7*((1-Inputs!$B$6)*Sensitivity!B7+Inputs!$B$6*MIN('Executive report'!B5,Sensitivity!B7))*(1+Inputs!$B$20)^('Cash flows'!B18-1)-'Cash flows'!E18-( Inputs!$B$2*Sensitivity!D7*Sensitivity!C7*Inputs!$B$4*(1+Inputs!$B$21)^('Cash flows'!B18-1)-'Cash flows'!F18))</f>
        <v>69551.57287131221</v>
      </c>
    </row>
    <row r="19">
      <c r="A19" s="2" t="n">
        <v>17</v>
      </c>
      <c r="B19" s="3">
        <f>'Cash flows'!I19-'Cash flows'!J19+(Inputs!$B$2*Sensitivity!D2*Sensitivity!C2*((1-Inputs!$B$6)*Sensitivity!B2+Inputs!$B$6*MIN('Executive report'!B5,Sensitivity!B2))*(1+Inputs!$B$20)^('Cash flows'!B19-1)-'Cash flows'!E19-( Inputs!$B$2*Sensitivity!D2*Sensitivity!C2*Inputs!$B$4*(1+Inputs!$B$21)^('Cash flows'!B19-1)-'Cash flows'!F19))</f>
        <v>474703.10582597746</v>
      </c>
      <c r="C19" s="3">
        <f>'Cash flows'!I19-'Cash flows'!J19+(Inputs!$B$2*Sensitivity!D3*Sensitivity!C3*((1-Inputs!$B$6)*Sensitivity!B3+Inputs!$B$6*MIN('Executive report'!B5,Sensitivity!B3))*(1+Inputs!$B$20)^('Cash flows'!B19-1)-'Cash flows'!E19-( Inputs!$B$2*Sensitivity!D3*Sensitivity!C3*Inputs!$B$4*(1+Inputs!$B$21)^('Cash flows'!B19-1)-'Cash flows'!F19))</f>
        <v>382645.71148460696</v>
      </c>
      <c r="D19" s="3">
        <f>'Cash flows'!I19-'Cash flows'!J19+(Inputs!$B$2*Sensitivity!D4*Sensitivity!C4*((1-Inputs!$B$6)*Sensitivity!B4+Inputs!$B$6*MIN('Executive report'!B5,Sensitivity!B4))*(1+Inputs!$B$20)^('Cash flows'!B19-1)-'Cash flows'!E19-( Inputs!$B$2*Sensitivity!D4*Sensitivity!C4*Inputs!$B$4*(1+Inputs!$B$21)^('Cash flows'!B19-1)-'Cash flows'!F19))</f>
        <v>401217.07951147406</v>
      </c>
      <c r="E19" s="3">
        <f>'Cash flows'!I19-'Cash flows'!J19+(Inputs!$B$2*Sensitivity!D5*Sensitivity!C5*((1-Inputs!$B$6)*Sensitivity!B5+Inputs!$B$6*MIN('Executive report'!B5,Sensitivity!B5))*(1+Inputs!$B$20)^('Cash flows'!B19-1)-'Cash flows'!E19-( Inputs!$B$2*Sensitivity!D5*Sensitivity!C5*Inputs!$B$4*(1+Inputs!$B$21)^('Cash flows'!B19-1)-'Cash flows'!F19))</f>
        <v>358350.2308280137</v>
      </c>
      <c r="F19" s="3">
        <f>'Cash flows'!I19-'Cash flows'!J19+(Inputs!$B$2*Sensitivity!D6*Sensitivity!C6*((1-Inputs!$B$6)*Sensitivity!B6+Inputs!$B$6*MIN('Executive report'!B5,Sensitivity!B6))*(1+Inputs!$B$20)^('Cash flows'!B19-1)-'Cash flows'!E19-( Inputs!$B$2*Sensitivity!D6*Sensitivity!C6*Inputs!$B$4*(1+Inputs!$B$21)^('Cash flows'!B19-1)-'Cash flows'!F19))</f>
        <v>474703.10582597746</v>
      </c>
      <c r="G19" s="3">
        <f>'Cash flows'!I19-'Cash flows'!J19+(Inputs!$B$2*Sensitivity!D7*Sensitivity!C7*((1-Inputs!$B$6)*Sensitivity!B7+Inputs!$B$6*MIN('Executive report'!B5,Sensitivity!B7))*(1+Inputs!$B$20)^('Cash flows'!B19-1)-'Cash flows'!E19-( Inputs!$B$2*Sensitivity!D7*Sensitivity!C7*Inputs!$B$4*(1+Inputs!$B$21)^('Cash flows'!B19-1)-'Cash flows'!F19))</f>
        <v>474703.10582597746</v>
      </c>
    </row>
    <row r="20">
      <c r="A20" s="2" t="n">
        <v>18</v>
      </c>
      <c r="B20" s="3">
        <f>'Cash flows'!I20-'Cash flows'!J20+(Inputs!$B$2*Sensitivity!D2*Sensitivity!C2*((1-Inputs!$B$6)*Sensitivity!B2+Inputs!$B$6*MIN('Executive report'!B5,Sensitivity!B2))*(1+Inputs!$B$20)^('Cash flows'!B20-1)-'Cash flows'!E20-( Inputs!$B$2*Sensitivity!D2*Sensitivity!C2*Inputs!$B$4*(1+Inputs!$B$21)^('Cash flows'!B20-1)-'Cash flows'!F20))</f>
        <v>484197.167942497</v>
      </c>
      <c r="C20" s="3">
        <f>'Cash flows'!I20-'Cash flows'!J20+(Inputs!$B$2*Sensitivity!D3*Sensitivity!C3*((1-Inputs!$B$6)*Sensitivity!B3+Inputs!$B$6*MIN('Executive report'!B5,Sensitivity!B3))*(1+Inputs!$B$20)^('Cash flows'!B20-1)-'Cash flows'!E20-( Inputs!$B$2*Sensitivity!D3*Sensitivity!C3*Inputs!$B$4*(1+Inputs!$B$21)^('Cash flows'!B20-1)-'Cash flows'!F20))</f>
        <v>390298.6257142991</v>
      </c>
      <c r="D20" s="3">
        <f>'Cash flows'!I20-'Cash flows'!J20+(Inputs!$B$2*Sensitivity!D4*Sensitivity!C4*((1-Inputs!$B$6)*Sensitivity!B4+Inputs!$B$6*MIN('Executive report'!B5,Sensitivity!B4))*(1+Inputs!$B$20)^('Cash flows'!B20-1)-'Cash flows'!E20-( Inputs!$B$2*Sensitivity!D4*Sensitivity!C4*Inputs!$B$4*(1+Inputs!$B$21)^('Cash flows'!B20-1)-'Cash flows'!F20))</f>
        <v>409241.42110170354</v>
      </c>
      <c r="E20" s="3">
        <f>'Cash flows'!I20-'Cash flows'!J20+(Inputs!$B$2*Sensitivity!D5*Sensitivity!C5*((1-Inputs!$B$6)*Sensitivity!B5+Inputs!$B$6*MIN('Executive report'!B5,Sensitivity!B5))*(1+Inputs!$B$20)^('Cash flows'!B20-1)-'Cash flows'!E20-( Inputs!$B$2*Sensitivity!D5*Sensitivity!C5*Inputs!$B$4*(1+Inputs!$B$21)^('Cash flows'!B20-1)-'Cash flows'!F20))</f>
        <v>365517.2354445739</v>
      </c>
      <c r="F20" s="3">
        <f>'Cash flows'!I20-'Cash flows'!J20+(Inputs!$B$2*Sensitivity!D6*Sensitivity!C6*((1-Inputs!$B$6)*Sensitivity!B6+Inputs!$B$6*MIN('Executive report'!B5,Sensitivity!B6))*(1+Inputs!$B$20)^('Cash flows'!B20-1)-'Cash flows'!E20-( Inputs!$B$2*Sensitivity!D6*Sensitivity!C6*Inputs!$B$4*(1+Inputs!$B$21)^('Cash flows'!B20-1)-'Cash flows'!F20))</f>
        <v>484197.167942497</v>
      </c>
      <c r="G20" s="3">
        <f>'Cash flows'!I20-'Cash flows'!J20+(Inputs!$B$2*Sensitivity!D7*Sensitivity!C7*((1-Inputs!$B$6)*Sensitivity!B7+Inputs!$B$6*MIN('Executive report'!B5,Sensitivity!B7))*(1+Inputs!$B$20)^('Cash flows'!B20-1)-'Cash flows'!E20-( Inputs!$B$2*Sensitivity!D7*Sensitivity!C7*Inputs!$B$4*(1+Inputs!$B$21)^('Cash flows'!B20-1)-'Cash flows'!F20))</f>
        <v>484197.167942497</v>
      </c>
    </row>
    <row r="21">
      <c r="A21" s="2" t="n">
        <v>19</v>
      </c>
      <c r="B21" s="3">
        <f>'Cash flows'!I21-'Cash flows'!J21+(Inputs!$B$2*Sensitivity!D2*Sensitivity!C2*((1-Inputs!$B$6)*Sensitivity!B2+Inputs!$B$6*MIN('Executive report'!B5,Sensitivity!B2))*(1+Inputs!$B$20)^('Cash flows'!B21-1)-'Cash flows'!E21-( Inputs!$B$2*Sensitivity!D2*Sensitivity!C2*Inputs!$B$4*(1+Inputs!$B$21)^('Cash flows'!B21-1)-'Cash flows'!F21))</f>
        <v>493881.111301347</v>
      </c>
      <c r="C21" s="3">
        <f>'Cash flows'!I21-'Cash flows'!J21+(Inputs!$B$2*Sensitivity!D3*Sensitivity!C3*((1-Inputs!$B$6)*Sensitivity!B3+Inputs!$B$6*MIN('Executive report'!B5,Sensitivity!B3))*(1+Inputs!$B$20)^('Cash flows'!B21-1)-'Cash flows'!E21-( Inputs!$B$2*Sensitivity!D3*Sensitivity!C3*Inputs!$B$4*(1+Inputs!$B$21)^('Cash flows'!B21-1)-'Cash flows'!F21))</f>
        <v>398104.59822858515</v>
      </c>
      <c r="D21" s="3">
        <f>'Cash flows'!I21-'Cash flows'!J21+(Inputs!$B$2*Sensitivity!D4*Sensitivity!C4*((1-Inputs!$B$6)*Sensitivity!B4+Inputs!$B$6*MIN('Executive report'!B5,Sensitivity!B4))*(1+Inputs!$B$20)^('Cash flows'!B21-1)-'Cash flows'!E21-( Inputs!$B$2*Sensitivity!D4*Sensitivity!C4*Inputs!$B$4*(1+Inputs!$B$21)^('Cash flows'!B21-1)-'Cash flows'!F21))</f>
        <v>417426.24952373764</v>
      </c>
      <c r="E21" s="3">
        <f>'Cash flows'!I21-'Cash flows'!J21+(Inputs!$B$2*Sensitivity!D5*Sensitivity!C5*((1-Inputs!$B$6)*Sensitivity!B5+Inputs!$B$6*MIN('Executive report'!B5,Sensitivity!B5))*(1+Inputs!$B$20)^('Cash flows'!B21-1)-'Cash flows'!E21-( Inputs!$B$2*Sensitivity!D5*Sensitivity!C5*Inputs!$B$4*(1+Inputs!$B$21)^('Cash flows'!B21-1)-'Cash flows'!F21))</f>
        <v>372827.58015346545</v>
      </c>
      <c r="F21" s="3">
        <f>'Cash flows'!I21-'Cash flows'!J21+(Inputs!$B$2*Sensitivity!D6*Sensitivity!C6*((1-Inputs!$B$6)*Sensitivity!B6+Inputs!$B$6*MIN('Executive report'!B5,Sensitivity!B6))*(1+Inputs!$B$20)^('Cash flows'!B21-1)-'Cash flows'!E21-( Inputs!$B$2*Sensitivity!D6*Sensitivity!C6*Inputs!$B$4*(1+Inputs!$B$21)^('Cash flows'!B21-1)-'Cash flows'!F21))</f>
        <v>493881.111301347</v>
      </c>
      <c r="G21" s="3">
        <f>'Cash flows'!I21-'Cash flows'!J21+(Inputs!$B$2*Sensitivity!D7*Sensitivity!C7*((1-Inputs!$B$6)*Sensitivity!B7+Inputs!$B$6*MIN('Executive report'!B5,Sensitivity!B7))*(1+Inputs!$B$20)^('Cash flows'!B21-1)-'Cash flows'!E21-( Inputs!$B$2*Sensitivity!D7*Sensitivity!C7*Inputs!$B$4*(1+Inputs!$B$21)^('Cash flows'!B21-1)-'Cash flows'!F21))</f>
        <v>493881.111301347</v>
      </c>
    </row>
    <row r="22">
      <c r="A22" s="2" t="n">
        <v>20</v>
      </c>
      <c r="B22" s="3">
        <f>'Cash flows'!I22-'Cash flows'!J22+(Inputs!$B$2*Sensitivity!D2*Sensitivity!C2*((1-Inputs!$B$6)*Sensitivity!B2+Inputs!$B$6*MIN('Executive report'!B5,Sensitivity!B2))*(1+Inputs!$B$20)^('Cash flows'!B22-1)-'Cash flows'!E22-( Inputs!$B$2*Sensitivity!D2*Sensitivity!C2*Inputs!$B$4*(1+Inputs!$B$21)^('Cash flows'!B22-1)-'Cash flows'!F22))</f>
        <v>503758.73352737393</v>
      </c>
      <c r="C22" s="3">
        <f>'Cash flows'!I22-'Cash flows'!J22+(Inputs!$B$2*Sensitivity!D3*Sensitivity!C3*((1-Inputs!$B$6)*Sensitivity!B3+Inputs!$B$6*MIN('Executive report'!B5,Sensitivity!B3))*(1+Inputs!$B$20)^('Cash flows'!B22-1)-'Cash flows'!E22-( Inputs!$B$2*Sensitivity!D3*Sensitivity!C3*Inputs!$B$4*(1+Inputs!$B$21)^('Cash flows'!B22-1)-'Cash flows'!F22))</f>
        <v>406066.6901931568</v>
      </c>
      <c r="D22" s="3">
        <f>'Cash flows'!I22-'Cash flows'!J22+(Inputs!$B$2*Sensitivity!D4*Sensitivity!C4*((1-Inputs!$B$6)*Sensitivity!B4+Inputs!$B$6*MIN('Executive report'!B5,Sensitivity!B4))*(1+Inputs!$B$20)^('Cash flows'!B22-1)-'Cash flows'!E22-( Inputs!$B$2*Sensitivity!D4*Sensitivity!C4*Inputs!$B$4*(1+Inputs!$B$21)^('Cash flows'!B22-1)-'Cash flows'!F22))</f>
        <v>425774.7745142124</v>
      </c>
      <c r="E22" s="3">
        <f>'Cash flows'!I22-'Cash flows'!J22+(Inputs!$B$2*Sensitivity!D5*Sensitivity!C5*((1-Inputs!$B$6)*Sensitivity!B5+Inputs!$B$6*MIN('Executive report'!B5,Sensitivity!B5))*(1+Inputs!$B$20)^('Cash flows'!B22-1)-'Cash flows'!E22-( Inputs!$B$2*Sensitivity!D5*Sensitivity!C5*Inputs!$B$4*(1+Inputs!$B$21)^('Cash flows'!B22-1)-'Cash flows'!F22))</f>
        <v>380284.13175653474</v>
      </c>
      <c r="F22" s="3">
        <f>'Cash flows'!I22-'Cash flows'!J22+(Inputs!$B$2*Sensitivity!D6*Sensitivity!C6*((1-Inputs!$B$6)*Sensitivity!B6+Inputs!$B$6*MIN('Executive report'!B5,Sensitivity!B6))*(1+Inputs!$B$20)^('Cash flows'!B22-1)-'Cash flows'!E22-( Inputs!$B$2*Sensitivity!D6*Sensitivity!C6*Inputs!$B$4*(1+Inputs!$B$21)^('Cash flows'!B22-1)-'Cash flows'!F22))</f>
        <v>503758.73352737393</v>
      </c>
      <c r="G22" s="3">
        <f>'Cash flows'!I22-'Cash flows'!J22+(Inputs!$B$2*Sensitivity!D7*Sensitivity!C7*((1-Inputs!$B$6)*Sensitivity!B7+Inputs!$B$6*MIN('Executive report'!B5,Sensitivity!B7))*(1+Inputs!$B$20)^('Cash flows'!B22-1)-'Cash flows'!E22-( Inputs!$B$2*Sensitivity!D7*Sensitivity!C7*Inputs!$B$4*(1+Inputs!$B$21)^('Cash flows'!B22-1)-'Cash flows'!F22))</f>
        <v>503758.73352737393</v>
      </c>
    </row>
    <row r="23">
      <c r="A23" s="2" t="n">
        <v>21</v>
      </c>
      <c r="B23" s="3">
        <f>'Cash flows'!I23-'Cash flows'!J23+(Inputs!$B$2*Sensitivity!D2*Sensitivity!C2*((1-Inputs!$B$6)*Sensitivity!B2+Inputs!$B$6*MIN('Executive report'!B5,Sensitivity!B2))*(1+Inputs!$B$20)^('Cash flows'!B23-1)-'Cash flows'!E23-( Inputs!$B$2*Sensitivity!D2*Sensitivity!C2*Inputs!$B$4*(1+Inputs!$B$21)^('Cash flows'!B23-1)-'Cash flows'!F23))</f>
        <v>513833.9081979214</v>
      </c>
      <c r="C23" s="3">
        <f>'Cash flows'!I23-'Cash flows'!J23+(Inputs!$B$2*Sensitivity!D3*Sensitivity!C3*((1-Inputs!$B$6)*Sensitivity!B3+Inputs!$B$6*MIN('Executive report'!B5,Sensitivity!B3))*(1+Inputs!$B$20)^('Cash flows'!B23-1)-'Cash flows'!E23-( Inputs!$B$2*Sensitivity!D3*Sensitivity!C3*Inputs!$B$4*(1+Inputs!$B$21)^('Cash flows'!B23-1)-'Cash flows'!F23))</f>
        <v>414188.02399702</v>
      </c>
      <c r="D23" s="3">
        <f>'Cash flows'!I23-'Cash flows'!J23+(Inputs!$B$2*Sensitivity!D4*Sensitivity!C4*((1-Inputs!$B$6)*Sensitivity!B4+Inputs!$B$6*MIN('Executive report'!B5,Sensitivity!B4))*(1+Inputs!$B$20)^('Cash flows'!B23-1)-'Cash flows'!E23-( Inputs!$B$2*Sensitivity!D4*Sensitivity!C4*Inputs!$B$4*(1+Inputs!$B$21)^('Cash flows'!B23-1)-'Cash flows'!F23))</f>
        <v>434290.2700044966</v>
      </c>
      <c r="E23" s="3">
        <f>'Cash flows'!I23-'Cash flows'!J23+(Inputs!$B$2*Sensitivity!D5*Sensitivity!C5*((1-Inputs!$B$6)*Sensitivity!B5+Inputs!$B$6*MIN('Executive report'!B5,Sensitivity!B5))*(1+Inputs!$B$20)^('Cash flows'!B23-1)-'Cash flows'!E23-( Inputs!$B$2*Sensitivity!D5*Sensitivity!C5*Inputs!$B$4*(1+Inputs!$B$21)^('Cash flows'!B23-1)-'Cash flows'!F23))</f>
        <v>387889.81439166545</v>
      </c>
      <c r="F23" s="3">
        <f>'Cash flows'!I23-'Cash flows'!J23+(Inputs!$B$2*Sensitivity!D6*Sensitivity!C6*((1-Inputs!$B$6)*Sensitivity!B6+Inputs!$B$6*MIN('Executive report'!B5,Sensitivity!B6))*(1+Inputs!$B$20)^('Cash flows'!B23-1)-'Cash flows'!E23-( Inputs!$B$2*Sensitivity!D6*Sensitivity!C6*Inputs!$B$4*(1+Inputs!$B$21)^('Cash flows'!B23-1)-'Cash flows'!F23))</f>
        <v>513833.9081979214</v>
      </c>
      <c r="G23" s="3">
        <f>'Cash flows'!I23-'Cash flows'!J23+(Inputs!$B$2*Sensitivity!D7*Sensitivity!C7*((1-Inputs!$B$6)*Sensitivity!B7+Inputs!$B$6*MIN('Executive report'!B5,Sensitivity!B7))*(1+Inputs!$B$20)^('Cash flows'!B23-1)-'Cash flows'!E23-( Inputs!$B$2*Sensitivity!D7*Sensitivity!C7*Inputs!$B$4*(1+Inputs!$B$21)^('Cash flows'!B23-1)-'Cash flows'!F23))</f>
        <v>513833.9081979214</v>
      </c>
    </row>
    <row r="24">
      <c r="A24" s="2" t="n">
        <v>22</v>
      </c>
      <c r="B24" s="3">
        <f>'Cash flows'!I24-'Cash flows'!J24+(Inputs!$B$2*Sensitivity!D2*Sensitivity!C2*((1-Inputs!$B$6)*Sensitivity!B2+Inputs!$B$6*MIN('Executive report'!B5,Sensitivity!B2))*(1+Inputs!$B$20)^('Cash flows'!B24-1)-'Cash flows'!E24-( Inputs!$B$2*Sensitivity!D2*Sensitivity!C2*Inputs!$B$4*(1+Inputs!$B$21)^('Cash flows'!B24-1)-'Cash flows'!F24))</f>
        <v>524110.5863618799</v>
      </c>
      <c r="C24" s="3">
        <f>'Cash flows'!I24-'Cash flows'!J24+(Inputs!$B$2*Sensitivity!D3*Sensitivity!C3*((1-Inputs!$B$6)*Sensitivity!B3+Inputs!$B$6*MIN('Executive report'!B5,Sensitivity!B3))*(1+Inputs!$B$20)^('Cash flows'!B24-1)-'Cash flows'!E24-( Inputs!$B$2*Sensitivity!D3*Sensitivity!C3*Inputs!$B$4*(1+Inputs!$B$21)^('Cash flows'!B24-1)-'Cash flows'!F24))</f>
        <v>422471.7844769604</v>
      </c>
      <c r="D24" s="3">
        <f>'Cash flows'!I24-'Cash flows'!J24+(Inputs!$B$2*Sensitivity!D4*Sensitivity!C4*((1-Inputs!$B$6)*Sensitivity!B4+Inputs!$B$6*MIN('Executive report'!B5,Sensitivity!B4))*(1+Inputs!$B$20)^('Cash flows'!B24-1)-'Cash flows'!E24-( Inputs!$B$2*Sensitivity!D4*Sensitivity!C4*Inputs!$B$4*(1+Inputs!$B$21)^('Cash flows'!B24-1)-'Cash flows'!F24))</f>
        <v>442976.0754045866</v>
      </c>
      <c r="E24" s="3">
        <f>'Cash flows'!I24-'Cash flows'!J24+(Inputs!$B$2*Sensitivity!D5*Sensitivity!C5*((1-Inputs!$B$6)*Sensitivity!B5+Inputs!$B$6*MIN('Executive report'!B5,Sensitivity!B5))*(1+Inputs!$B$20)^('Cash flows'!B24-1)-'Cash flows'!E24-( Inputs!$B$2*Sensitivity!D5*Sensitivity!C5*Inputs!$B$4*(1+Inputs!$B$21)^('Cash flows'!B24-1)-'Cash flows'!F24))</f>
        <v>395647.6106794988</v>
      </c>
      <c r="F24" s="3">
        <f>'Cash flows'!I24-'Cash flows'!J24+(Inputs!$B$2*Sensitivity!D6*Sensitivity!C6*((1-Inputs!$B$6)*Sensitivity!B6+Inputs!$B$6*MIN('Executive report'!B5,Sensitivity!B6))*(1+Inputs!$B$20)^('Cash flows'!B24-1)-'Cash flows'!E24-( Inputs!$B$2*Sensitivity!D6*Sensitivity!C6*Inputs!$B$4*(1+Inputs!$B$21)^('Cash flows'!B24-1)-'Cash flows'!F24))</f>
        <v>524110.5863618799</v>
      </c>
      <c r="G24" s="3">
        <f>'Cash flows'!I24-'Cash flows'!J24+(Inputs!$B$2*Sensitivity!D7*Sensitivity!C7*((1-Inputs!$B$6)*Sensitivity!B7+Inputs!$B$6*MIN('Executive report'!B5,Sensitivity!B7))*(1+Inputs!$B$20)^('Cash flows'!B24-1)-'Cash flows'!E24-( Inputs!$B$2*Sensitivity!D7*Sensitivity!C7*Inputs!$B$4*(1+Inputs!$B$21)^('Cash flows'!B24-1)-'Cash flows'!F24))</f>
        <v>524110.5863618799</v>
      </c>
    </row>
    <row r="25">
      <c r="A25" s="2" t="n">
        <v>23</v>
      </c>
      <c r="B25" s="3">
        <f>'Cash flows'!I25-'Cash flows'!J25+(Inputs!$B$2*Sensitivity!D2*Sensitivity!C2*((1-Inputs!$B$6)*Sensitivity!B2+Inputs!$B$6*MIN('Executive report'!B5,Sensitivity!B2))*(1+Inputs!$B$20)^('Cash flows'!B25-1)-'Cash flows'!E25-( Inputs!$B$2*Sensitivity!D2*Sensitivity!C2*Inputs!$B$4*(1+Inputs!$B$21)^('Cash flows'!B25-1)-'Cash flows'!F25))</f>
        <v>534592.7980891174</v>
      </c>
      <c r="C25" s="3">
        <f>'Cash flows'!I25-'Cash flows'!J25+(Inputs!$B$2*Sensitivity!D3*Sensitivity!C3*((1-Inputs!$B$6)*Sensitivity!B3+Inputs!$B$6*MIN('Executive report'!B5,Sensitivity!B3))*(1+Inputs!$B$20)^('Cash flows'!B25-1)-'Cash flows'!E25-( Inputs!$B$2*Sensitivity!D3*Sensitivity!C3*Inputs!$B$4*(1+Inputs!$B$21)^('Cash flows'!B25-1)-'Cash flows'!F25))</f>
        <v>430921.22016649955</v>
      </c>
      <c r="D25" s="3">
        <f>'Cash flows'!I25-'Cash flows'!J25+(Inputs!$B$2*Sensitivity!D4*Sensitivity!C4*((1-Inputs!$B$6)*Sensitivity!B4+Inputs!$B$6*MIN('Executive report'!B5,Sensitivity!B4))*(1+Inputs!$B$20)^('Cash flows'!B25-1)-'Cash flows'!E25-( Inputs!$B$2*Sensitivity!D4*Sensitivity!C4*Inputs!$B$4*(1+Inputs!$B$21)^('Cash flows'!B25-1)-'Cash flows'!F25))</f>
        <v>451835.5969126783</v>
      </c>
      <c r="E25" s="3">
        <f>'Cash flows'!I25-'Cash flows'!J25+(Inputs!$B$2*Sensitivity!D5*Sensitivity!C5*((1-Inputs!$B$6)*Sensitivity!B5+Inputs!$B$6*MIN('Executive report'!B5,Sensitivity!B5))*(1+Inputs!$B$20)^('Cash flows'!B25-1)-'Cash flows'!E25-( Inputs!$B$2*Sensitivity!D5*Sensitivity!C5*Inputs!$B$4*(1+Inputs!$B$21)^('Cash flows'!B25-1)-'Cash flows'!F25))</f>
        <v>403560.56289308873</v>
      </c>
      <c r="F25" s="3">
        <f>'Cash flows'!I25-'Cash flows'!J25+(Inputs!$B$2*Sensitivity!D6*Sensitivity!C6*((1-Inputs!$B$6)*Sensitivity!B6+Inputs!$B$6*MIN('Executive report'!B5,Sensitivity!B6))*(1+Inputs!$B$20)^('Cash flows'!B25-1)-'Cash flows'!E25-( Inputs!$B$2*Sensitivity!D6*Sensitivity!C6*Inputs!$B$4*(1+Inputs!$B$21)^('Cash flows'!B25-1)-'Cash flows'!F25))</f>
        <v>534592.7980891174</v>
      </c>
      <c r="G25" s="3">
        <f>'Cash flows'!I25-'Cash flows'!J25+(Inputs!$B$2*Sensitivity!D7*Sensitivity!C7*((1-Inputs!$B$6)*Sensitivity!B7+Inputs!$B$6*MIN('Executive report'!B5,Sensitivity!B7))*(1+Inputs!$B$20)^('Cash flows'!B25-1)-'Cash flows'!E25-( Inputs!$B$2*Sensitivity!D7*Sensitivity!C7*Inputs!$B$4*(1+Inputs!$B$21)^('Cash flows'!B25-1)-'Cash flows'!F25))</f>
        <v>534592.7980891174</v>
      </c>
    </row>
    <row r="26">
      <c r="A26" s="2" t="n">
        <v>24</v>
      </c>
      <c r="B26" s="3">
        <f>'Cash flows'!I26-'Cash flows'!J26+(Inputs!$B$2*Sensitivity!D2*Sensitivity!C2*((1-Inputs!$B$6)*Sensitivity!B2+Inputs!$B$6*MIN('Executive report'!B5,Sensitivity!B2))*(1+Inputs!$B$20)^('Cash flows'!B26-1)-'Cash flows'!E26-( Inputs!$B$2*Sensitivity!D2*Sensitivity!C2*Inputs!$B$4*(1+Inputs!$B$21)^('Cash flows'!B26-1)-'Cash flows'!F26))</f>
        <v>545284.6540508998</v>
      </c>
      <c r="C26" s="3">
        <f>'Cash flows'!I26-'Cash flows'!J26+(Inputs!$B$2*Sensitivity!D3*Sensitivity!C3*((1-Inputs!$B$6)*Sensitivity!B3+Inputs!$B$6*MIN('Executive report'!B5,Sensitivity!B3))*(1+Inputs!$B$20)^('Cash flows'!B26-1)-'Cash flows'!E26-( Inputs!$B$2*Sensitivity!D3*Sensitivity!C3*Inputs!$B$4*(1+Inputs!$B$21)^('Cash flows'!B26-1)-'Cash flows'!F26))</f>
        <v>439539.6445698296</v>
      </c>
      <c r="D26" s="3">
        <f>'Cash flows'!I26-'Cash flows'!J26+(Inputs!$B$2*Sensitivity!D4*Sensitivity!C4*((1-Inputs!$B$6)*Sensitivity!B4+Inputs!$B$6*MIN('Executive report'!B5,Sensitivity!B4))*(1+Inputs!$B$20)^('Cash flows'!B26-1)-'Cash flows'!E26-( Inputs!$B$2*Sensitivity!D4*Sensitivity!C4*Inputs!$B$4*(1+Inputs!$B$21)^('Cash flows'!B26-1)-'Cash flows'!F26))</f>
        <v>460872.3088509319</v>
      </c>
      <c r="E26" s="3">
        <f>'Cash flows'!I26-'Cash flows'!J26+(Inputs!$B$2*Sensitivity!D5*Sensitivity!C5*((1-Inputs!$B$6)*Sensitivity!B5+Inputs!$B$6*MIN('Executive report'!B5,Sensitivity!B5))*(1+Inputs!$B$20)^('Cash flows'!B26-1)-'Cash flows'!E26-( Inputs!$B$2*Sensitivity!D5*Sensitivity!C5*Inputs!$B$4*(1+Inputs!$B$21)^('Cash flows'!B26-1)-'Cash flows'!F26))</f>
        <v>411631.77415095054</v>
      </c>
      <c r="F26" s="3">
        <f>'Cash flows'!I26-'Cash flows'!J26+(Inputs!$B$2*Sensitivity!D6*Sensitivity!C6*((1-Inputs!$B$6)*Sensitivity!B6+Inputs!$B$6*MIN('Executive report'!B5,Sensitivity!B6))*(1+Inputs!$B$20)^('Cash flows'!B26-1)-'Cash flows'!E26-( Inputs!$B$2*Sensitivity!D6*Sensitivity!C6*Inputs!$B$4*(1+Inputs!$B$21)^('Cash flows'!B26-1)-'Cash flows'!F26))</f>
        <v>545284.6540508998</v>
      </c>
      <c r="G26" s="3">
        <f>'Cash flows'!I26-'Cash flows'!J26+(Inputs!$B$2*Sensitivity!D7*Sensitivity!C7*((1-Inputs!$B$6)*Sensitivity!B7+Inputs!$B$6*MIN('Executive report'!B5,Sensitivity!B7))*(1+Inputs!$B$20)^('Cash flows'!B26-1)-'Cash flows'!E26-( Inputs!$B$2*Sensitivity!D7*Sensitivity!C7*Inputs!$B$4*(1+Inputs!$B$21)^('Cash flows'!B26-1)-'Cash flows'!F26))</f>
        <v>545284.6540508998</v>
      </c>
    </row>
    <row r="27">
      <c r="A27" s="2" t="n">
        <v>25</v>
      </c>
      <c r="B27" s="3">
        <f>'Cash flows'!I27-'Cash flows'!J27+(Inputs!$B$2*Sensitivity!D2*Sensitivity!C2*((1-Inputs!$B$6)*Sensitivity!B2+Inputs!$B$6*MIN('Executive report'!B5,Sensitivity!B2))*(1+Inputs!$B$20)^('Cash flows'!B27-1)-'Cash flows'!E27-( Inputs!$B$2*Sensitivity!D2*Sensitivity!C2*Inputs!$B$4*(1+Inputs!$B$21)^('Cash flows'!B27-1)-'Cash flows'!F27))</f>
        <v>556190.3471319178</v>
      </c>
      <c r="C27" s="3">
        <f>'Cash flows'!I27-'Cash flows'!J27+(Inputs!$B$2*Sensitivity!D3*Sensitivity!C3*((1-Inputs!$B$6)*Sensitivity!B3+Inputs!$B$6*MIN('Executive report'!B5,Sensitivity!B3))*(1+Inputs!$B$20)^('Cash flows'!B27-1)-'Cash flows'!E27-( Inputs!$B$2*Sensitivity!D3*Sensitivity!C3*Inputs!$B$4*(1+Inputs!$B$21)^('Cash flows'!B27-1)-'Cash flows'!F27))</f>
        <v>448330.43746122625</v>
      </c>
      <c r="D27" s="3">
        <f>'Cash flows'!I27-'Cash flows'!J27+(Inputs!$B$2*Sensitivity!D4*Sensitivity!C4*((1-Inputs!$B$6)*Sensitivity!B4+Inputs!$B$6*MIN('Executive report'!B5,Sensitivity!B4))*(1+Inputs!$B$20)^('Cash flows'!B27-1)-'Cash flows'!E27-( Inputs!$B$2*Sensitivity!D4*Sensitivity!C4*Inputs!$B$4*(1+Inputs!$B$21)^('Cash flows'!B27-1)-'Cash flows'!F27))</f>
        <v>470089.75502795057</v>
      </c>
      <c r="E27" s="3">
        <f>'Cash flows'!I27-'Cash flows'!J27+(Inputs!$B$2*Sensitivity!D5*Sensitivity!C5*((1-Inputs!$B$6)*Sensitivity!B5+Inputs!$B$6*MIN('Executive report'!B5,Sensitivity!B5))*(1+Inputs!$B$20)^('Cash flows'!B27-1)-'Cash flows'!E27-( Inputs!$B$2*Sensitivity!D5*Sensitivity!C5*Inputs!$B$4*(1+Inputs!$B$21)^('Cash flows'!B27-1)-'Cash flows'!F27))</f>
        <v>419864.4096339696</v>
      </c>
      <c r="F27" s="3">
        <f>'Cash flows'!I27-'Cash flows'!J27+(Inputs!$B$2*Sensitivity!D6*Sensitivity!C6*((1-Inputs!$B$6)*Sensitivity!B6+Inputs!$B$6*MIN('Executive report'!B5,Sensitivity!B6))*(1+Inputs!$B$20)^('Cash flows'!B27-1)-'Cash flows'!E27-( Inputs!$B$2*Sensitivity!D6*Sensitivity!C6*Inputs!$B$4*(1+Inputs!$B$21)^('Cash flows'!B27-1)-'Cash flows'!F27))</f>
        <v>556190.3471319178</v>
      </c>
      <c r="G27" s="3">
        <f>'Cash flows'!I27-'Cash flows'!J27+(Inputs!$B$2*Sensitivity!D7*Sensitivity!C7*((1-Inputs!$B$6)*Sensitivity!B7+Inputs!$B$6*MIN('Executive report'!B5,Sensitivity!B7))*(1+Inputs!$B$20)^('Cash flows'!B27-1)-'Cash flows'!E27-( Inputs!$B$2*Sensitivity!D7*Sensitivity!C7*Inputs!$B$4*(1+Inputs!$B$21)^('Cash flows'!B27-1)-'Cash flows'!F27))</f>
        <v>556190.3471319178</v>
      </c>
    </row>
    <row r="28">
      <c r="A28" s="2" t="n">
        <v>26</v>
      </c>
      <c r="B28" s="3">
        <f>'Cash flows'!I28-'Cash flows'!J28+(Inputs!$B$2*Sensitivity!D2*Sensitivity!C2*((1-Inputs!$B$6)*Sensitivity!B2+Inputs!$B$6*MIN('Executive report'!B5,Sensitivity!B2))*(1+Inputs!$B$20)^('Cash flows'!B28-1)-'Cash flows'!E28-( Inputs!$B$2*Sensitivity!D2*Sensitivity!C2*Inputs!$B$4*(1+Inputs!$B$21)^('Cash flows'!B28-1)-'Cash flows'!F28))</f>
        <v>567314.1540745562</v>
      </c>
      <c r="C28" s="3">
        <f>'Cash flows'!I28-'Cash flows'!J28+(Inputs!$B$2*Sensitivity!D3*Sensitivity!C3*((1-Inputs!$B$6)*Sensitivity!B3+Inputs!$B$6*MIN('Executive report'!B5,Sensitivity!B3))*(1+Inputs!$B$20)^('Cash flows'!B28-1)-'Cash flows'!E28-( Inputs!$B$2*Sensitivity!D3*Sensitivity!C3*Inputs!$B$4*(1+Inputs!$B$21)^('Cash flows'!B28-1)-'Cash flows'!F28))</f>
        <v>457297.04621045076</v>
      </c>
      <c r="D28" s="3">
        <f>'Cash flows'!I28-'Cash flows'!J28+(Inputs!$B$2*Sensitivity!D4*Sensitivity!C4*((1-Inputs!$B$6)*Sensitivity!B4+Inputs!$B$6*MIN('Executive report'!B5,Sensitivity!B4))*(1+Inputs!$B$20)^('Cash flows'!B28-1)-'Cash flows'!E28-( Inputs!$B$2*Sensitivity!D4*Sensitivity!C4*Inputs!$B$4*(1+Inputs!$B$21)^('Cash flows'!B28-1)-'Cash flows'!F28))</f>
        <v>479491.5501285096</v>
      </c>
      <c r="E28" s="3">
        <f>'Cash flows'!I28-'Cash flows'!J28+(Inputs!$B$2*Sensitivity!D5*Sensitivity!C5*((1-Inputs!$B$6)*Sensitivity!B5+Inputs!$B$6*MIN('Executive report'!B5,Sensitivity!B5))*(1+Inputs!$B$20)^('Cash flows'!B28-1)-'Cash flows'!E28-( Inputs!$B$2*Sensitivity!D5*Sensitivity!C5*Inputs!$B$4*(1+Inputs!$B$21)^('Cash flows'!B28-1)-'Cash flows'!F28))</f>
        <v>428261.697826649</v>
      </c>
      <c r="F28" s="3">
        <f>'Cash flows'!I28-'Cash flows'!J28+(Inputs!$B$2*Sensitivity!D6*Sensitivity!C6*((1-Inputs!$B$6)*Sensitivity!B6+Inputs!$B$6*MIN('Executive report'!B5,Sensitivity!B6))*(1+Inputs!$B$20)^('Cash flows'!B28-1)-'Cash flows'!E28-( Inputs!$B$2*Sensitivity!D6*Sensitivity!C6*Inputs!$B$4*(1+Inputs!$B$21)^('Cash flows'!B28-1)-'Cash flows'!F28))</f>
        <v>567314.1540745562</v>
      </c>
      <c r="G28" s="3">
        <f>'Cash flows'!I28-'Cash flows'!J28+(Inputs!$B$2*Sensitivity!D7*Sensitivity!C7*((1-Inputs!$B$6)*Sensitivity!B7+Inputs!$B$6*MIN('Executive report'!B5,Sensitivity!B7))*(1+Inputs!$B$20)^('Cash flows'!B28-1)-'Cash flows'!E28-( Inputs!$B$2*Sensitivity!D7*Sensitivity!C7*Inputs!$B$4*(1+Inputs!$B$21)^('Cash flows'!B28-1)-'Cash flows'!F28))</f>
        <v>567314.1540745562</v>
      </c>
    </row>
    <row r="29">
      <c r="A29" s="2" t="n">
        <v>27</v>
      </c>
      <c r="B29" s="3">
        <f>'Cash flows'!I29-'Cash flows'!J29+(Inputs!$B$2*Sensitivity!D2*Sensitivity!C2*((1-Inputs!$B$6)*Sensitivity!B2+Inputs!$B$6*MIN('Executive report'!B5,Sensitivity!B2))*(1+Inputs!$B$20)^('Cash flows'!B29-1)-'Cash flows'!E29-( Inputs!$B$2*Sensitivity!D2*Sensitivity!C2*Inputs!$B$4*(1+Inputs!$B$21)^('Cash flows'!B29-1)-'Cash flows'!F29))</f>
        <v>578660.4371560473</v>
      </c>
      <c r="C29" s="3">
        <f>'Cash flows'!I29-'Cash flows'!J29+(Inputs!$B$2*Sensitivity!D3*Sensitivity!C3*((1-Inputs!$B$6)*Sensitivity!B3+Inputs!$B$6*MIN('Executive report'!B5,Sensitivity!B3))*(1+Inputs!$B$20)^('Cash flows'!B29-1)-'Cash flows'!E29-( Inputs!$B$2*Sensitivity!D3*Sensitivity!C3*Inputs!$B$4*(1+Inputs!$B$21)^('Cash flows'!B29-1)-'Cash flows'!F29))</f>
        <v>466442.9871346598</v>
      </c>
      <c r="D29" s="3">
        <f>'Cash flows'!I29-'Cash flows'!J29+(Inputs!$B$2*Sensitivity!D4*Sensitivity!C4*((1-Inputs!$B$6)*Sensitivity!B4+Inputs!$B$6*MIN('Executive report'!B5,Sensitivity!B4))*(1+Inputs!$B$20)^('Cash flows'!B29-1)-'Cash flows'!E29-( Inputs!$B$2*Sensitivity!D4*Sensitivity!C4*Inputs!$B$4*(1+Inputs!$B$21)^('Cash flows'!B29-1)-'Cash flows'!F29))</f>
        <v>489081.38113107975</v>
      </c>
      <c r="E29" s="3">
        <f>'Cash flows'!I29-'Cash flows'!J29+(Inputs!$B$2*Sensitivity!D5*Sensitivity!C5*((1-Inputs!$B$6)*Sensitivity!B5+Inputs!$B$6*MIN('Executive report'!B5,Sensitivity!B5))*(1+Inputs!$B$20)^('Cash flows'!B29-1)-'Cash flows'!E29-( Inputs!$B$2*Sensitivity!D5*Sensitivity!C5*Inputs!$B$4*(1+Inputs!$B$21)^('Cash flows'!B29-1)-'Cash flows'!F29))</f>
        <v>436826.93178318196</v>
      </c>
      <c r="F29" s="3">
        <f>'Cash flows'!I29-'Cash flows'!J29+(Inputs!$B$2*Sensitivity!D6*Sensitivity!C6*((1-Inputs!$B$6)*Sensitivity!B6+Inputs!$B$6*MIN('Executive report'!B5,Sensitivity!B6))*(1+Inputs!$B$20)^('Cash flows'!B29-1)-'Cash flows'!E29-( Inputs!$B$2*Sensitivity!D6*Sensitivity!C6*Inputs!$B$4*(1+Inputs!$B$21)^('Cash flows'!B29-1)-'Cash flows'!F29))</f>
        <v>578660.4371560473</v>
      </c>
      <c r="G29" s="3">
        <f>'Cash flows'!I29-'Cash flows'!J29+(Inputs!$B$2*Sensitivity!D7*Sensitivity!C7*((1-Inputs!$B$6)*Sensitivity!B7+Inputs!$B$6*MIN('Executive report'!B5,Sensitivity!B7))*(1+Inputs!$B$20)^('Cash flows'!B29-1)-'Cash flows'!E29-( Inputs!$B$2*Sensitivity!D7*Sensitivity!C7*Inputs!$B$4*(1+Inputs!$B$21)^('Cash flows'!B29-1)-'Cash flows'!F29))</f>
        <v>578660.4371560473</v>
      </c>
    </row>
    <row r="30">
      <c r="A30" s="2" t="n">
        <v>28</v>
      </c>
      <c r="B30" s="3">
        <f>'Cash flows'!I30-'Cash flows'!J30+(Inputs!$B$2*Sensitivity!D2*Sensitivity!C2*((1-Inputs!$B$6)*Sensitivity!B2+Inputs!$B$6*MIN('Executive report'!B5,Sensitivity!B2))*(1+Inputs!$B$20)^('Cash flows'!B30-1)-'Cash flows'!E30-( Inputs!$B$2*Sensitivity!D2*Sensitivity!C2*Inputs!$B$4*(1+Inputs!$B$21)^('Cash flows'!B30-1)-'Cash flows'!F30))</f>
        <v>590233.6458991682</v>
      </c>
      <c r="C30" s="3">
        <f>'Cash flows'!I30-'Cash flows'!J30+(Inputs!$B$2*Sensitivity!D3*Sensitivity!C3*((1-Inputs!$B$6)*Sensitivity!B3+Inputs!$B$6*MIN('Executive report'!B5,Sensitivity!B3))*(1+Inputs!$B$20)^('Cash flows'!B30-1)-'Cash flows'!E30-( Inputs!$B$2*Sensitivity!D3*Sensitivity!C3*Inputs!$B$4*(1+Inputs!$B$21)^('Cash flows'!B30-1)-'Cash flows'!F30))</f>
        <v>475771.8468773529</v>
      </c>
      <c r="D30" s="3">
        <f>'Cash flows'!I30-'Cash flows'!J30+(Inputs!$B$2*Sensitivity!D4*Sensitivity!C4*((1-Inputs!$B$6)*Sensitivity!B4+Inputs!$B$6*MIN('Executive report'!B5,Sensitivity!B4))*(1+Inputs!$B$20)^('Cash flows'!B30-1)-'Cash flows'!E30-( Inputs!$B$2*Sensitivity!D4*Sensitivity!C4*Inputs!$B$4*(1+Inputs!$B$21)^('Cash flows'!B30-1)-'Cash flows'!F30))</f>
        <v>498863.00875370135</v>
      </c>
      <c r="E30" s="3">
        <f>'Cash flows'!I30-'Cash flows'!J30+(Inputs!$B$2*Sensitivity!D5*Sensitivity!C5*((1-Inputs!$B$6)*Sensitivity!B5+Inputs!$B$6*MIN('Executive report'!B5,Sensitivity!B5))*(1+Inputs!$B$20)^('Cash flows'!B30-1)-'Cash flows'!E30-( Inputs!$B$2*Sensitivity!D5*Sensitivity!C5*Inputs!$B$4*(1+Inputs!$B$21)^('Cash flows'!B30-1)-'Cash flows'!F30))</f>
        <v>445563.4704188456</v>
      </c>
      <c r="F30" s="3">
        <f>'Cash flows'!I30-'Cash flows'!J30+(Inputs!$B$2*Sensitivity!D6*Sensitivity!C6*((1-Inputs!$B$6)*Sensitivity!B6+Inputs!$B$6*MIN('Executive report'!B5,Sensitivity!B6))*(1+Inputs!$B$20)^('Cash flows'!B30-1)-'Cash flows'!E30-( Inputs!$B$2*Sensitivity!D6*Sensitivity!C6*Inputs!$B$4*(1+Inputs!$B$21)^('Cash flows'!B30-1)-'Cash flows'!F30))</f>
        <v>590233.6458991682</v>
      </c>
      <c r="G30" s="3">
        <f>'Cash flows'!I30-'Cash flows'!J30+(Inputs!$B$2*Sensitivity!D7*Sensitivity!C7*((1-Inputs!$B$6)*Sensitivity!B7+Inputs!$B$6*MIN('Executive report'!B5,Sensitivity!B7))*(1+Inputs!$B$20)^('Cash flows'!B30-1)-'Cash flows'!E30-( Inputs!$B$2*Sensitivity!D7*Sensitivity!C7*Inputs!$B$4*(1+Inputs!$B$21)^('Cash flows'!B30-1)-'Cash flows'!F30))</f>
        <v>590233.6458991682</v>
      </c>
    </row>
    <row r="31">
      <c r="A31" s="2" t="n">
        <v>29</v>
      </c>
      <c r="B31" s="3">
        <f>'Cash flows'!I31-'Cash flows'!J31+(Inputs!$B$2*Sensitivity!D2*Sensitivity!C2*((1-Inputs!$B$6)*Sensitivity!B2+Inputs!$B$6*MIN('Executive report'!B5,Sensitivity!B2))*(1+Inputs!$B$20)^('Cash flows'!B31-1)-'Cash flows'!E31-( Inputs!$B$2*Sensitivity!D2*Sensitivity!C2*Inputs!$B$4*(1+Inputs!$B$21)^('Cash flows'!B31-1)-'Cash flows'!F31))</f>
        <v>602038.3188171517</v>
      </c>
      <c r="C31" s="3">
        <f>'Cash flows'!I31-'Cash flows'!J31+(Inputs!$B$2*Sensitivity!D3*Sensitivity!C3*((1-Inputs!$B$6)*Sensitivity!B3+Inputs!$B$6*MIN('Executive report'!B5,Sensitivity!B3))*(1+Inputs!$B$20)^('Cash flows'!B31-1)-'Cash flows'!E31-( Inputs!$B$2*Sensitivity!D3*Sensitivity!C3*Inputs!$B$4*(1+Inputs!$B$21)^('Cash flows'!B31-1)-'Cash flows'!F31))</f>
        <v>485287.28381490003</v>
      </c>
      <c r="D31" s="3">
        <f>'Cash flows'!I31-'Cash flows'!J31+(Inputs!$B$2*Sensitivity!D4*Sensitivity!C4*((1-Inputs!$B$6)*Sensitivity!B4+Inputs!$B$6*MIN('Executive report'!B5,Sensitivity!B4))*(1+Inputs!$B$20)^('Cash flows'!B31-1)-'Cash flows'!E31-( Inputs!$B$2*Sensitivity!D4*Sensitivity!C4*Inputs!$B$4*(1+Inputs!$B$21)^('Cash flows'!B31-1)-'Cash flows'!F31))</f>
        <v>508840.2689287754</v>
      </c>
      <c r="E31" s="3">
        <f>'Cash flows'!I31-'Cash flows'!J31+(Inputs!$B$2*Sensitivity!D5*Sensitivity!C5*((1-Inputs!$B$6)*Sensitivity!B5+Inputs!$B$6*MIN('Executive report'!B5,Sensitivity!B5))*(1+Inputs!$B$20)^('Cash flows'!B31-1)-'Cash flows'!E31-( Inputs!$B$2*Sensitivity!D5*Sensitivity!C5*Inputs!$B$4*(1+Inputs!$B$21)^('Cash flows'!B31-1)-'Cash flows'!F31))</f>
        <v>454474.73982722254</v>
      </c>
      <c r="F31" s="3">
        <f>'Cash flows'!I31-'Cash flows'!J31+(Inputs!$B$2*Sensitivity!D6*Sensitivity!C6*((1-Inputs!$B$6)*Sensitivity!B6+Inputs!$B$6*MIN('Executive report'!B5,Sensitivity!B6))*(1+Inputs!$B$20)^('Cash flows'!B31-1)-'Cash flows'!E31-( Inputs!$B$2*Sensitivity!D6*Sensitivity!C6*Inputs!$B$4*(1+Inputs!$B$21)^('Cash flows'!B31-1)-'Cash flows'!F31))</f>
        <v>602038.3188171517</v>
      </c>
      <c r="G31" s="3">
        <f>'Cash flows'!I31-'Cash flows'!J31+(Inputs!$B$2*Sensitivity!D7*Sensitivity!C7*((1-Inputs!$B$6)*Sensitivity!B7+Inputs!$B$6*MIN('Executive report'!B5,Sensitivity!B7))*(1+Inputs!$B$20)^('Cash flows'!B31-1)-'Cash flows'!E31-( Inputs!$B$2*Sensitivity!D7*Sensitivity!C7*Inputs!$B$4*(1+Inputs!$B$21)^('Cash flows'!B31-1)-'Cash flows'!F31))</f>
        <v>602038.3188171517</v>
      </c>
    </row>
    <row r="32">
      <c r="A32" s="2" t="n">
        <v>30</v>
      </c>
      <c r="B32" s="3">
        <f>'Cash flows'!I32-'Cash flows'!J32+(Inputs!$B$2*Sensitivity!D2*Sensitivity!C2*((1-Inputs!$B$6)*Sensitivity!B2+Inputs!$B$6*MIN('Executive report'!B5,Sensitivity!B2))*(1+Inputs!$B$20)^('Cash flows'!B32-1)-'Cash flows'!E32-( Inputs!$B$2*Sensitivity!D2*Sensitivity!C2*Inputs!$B$4*(1+Inputs!$B$21)^('Cash flows'!B32-1)-'Cash flows'!F32))</f>
        <v>614079.0851934948</v>
      </c>
      <c r="C32" s="3">
        <f>'Cash flows'!I32-'Cash flows'!J32+(Inputs!$B$2*Sensitivity!D3*Sensitivity!C3*((1-Inputs!$B$6)*Sensitivity!B3+Inputs!$B$6*MIN('Executive report'!B5,Sensitivity!B3))*(1+Inputs!$B$20)^('Cash flows'!B32-1)-'Cash flows'!E32-( Inputs!$B$2*Sensitivity!D3*Sensitivity!C3*Inputs!$B$4*(1+Inputs!$B$21)^('Cash flows'!B32-1)-'Cash flows'!F32))</f>
        <v>494993.0294911981</v>
      </c>
      <c r="D32" s="3">
        <f>'Cash flows'!I32-'Cash flows'!J32+(Inputs!$B$2*Sensitivity!D4*Sensitivity!C4*((1-Inputs!$B$6)*Sensitivity!B4+Inputs!$B$6*MIN('Executive report'!B5,Sensitivity!B4))*(1+Inputs!$B$20)^('Cash flows'!B32-1)-'Cash flows'!E32-( Inputs!$B$2*Sensitivity!D4*Sensitivity!C4*Inputs!$B$4*(1+Inputs!$B$21)^('Cash flows'!B32-1)-'Cash flows'!F32))</f>
        <v>519017.07430735097</v>
      </c>
      <c r="E32" s="3">
        <f>'Cash flows'!I32-'Cash flows'!J32+(Inputs!$B$2*Sensitivity!D5*Sensitivity!C5*((1-Inputs!$B$6)*Sensitivity!B5+Inputs!$B$6*MIN('Executive report'!B5,Sensitivity!B5))*(1+Inputs!$B$20)^('Cash flows'!B32-1)-'Cash flows'!E32-( Inputs!$B$2*Sensitivity!D5*Sensitivity!C5*Inputs!$B$4*(1+Inputs!$B$21)^('Cash flows'!B32-1)-'Cash flows'!F32))</f>
        <v>463564.23462376697</v>
      </c>
      <c r="F32" s="3">
        <f>'Cash flows'!I32-'Cash flows'!J32+(Inputs!$B$2*Sensitivity!D6*Sensitivity!C6*((1-Inputs!$B$6)*Sensitivity!B6+Inputs!$B$6*MIN('Executive report'!B5,Sensitivity!B6))*(1+Inputs!$B$20)^('Cash flows'!B32-1)-'Cash flows'!E32-( Inputs!$B$2*Sensitivity!D6*Sensitivity!C6*Inputs!$B$4*(1+Inputs!$B$21)^('Cash flows'!B32-1)-'Cash flows'!F32))</f>
        <v>614079.0851934948</v>
      </c>
      <c r="G32" s="3">
        <f>'Cash flows'!I32-'Cash flows'!J32+(Inputs!$B$2*Sensitivity!D7*Sensitivity!C7*((1-Inputs!$B$6)*Sensitivity!B7+Inputs!$B$6*MIN('Executive report'!B5,Sensitivity!B7))*(1+Inputs!$B$20)^('Cash flows'!B32-1)-'Cash flows'!E32-( Inputs!$B$2*Sensitivity!D7*Sensitivity!C7*Inputs!$B$4*(1+Inputs!$B$21)^('Cash flows'!B32-1)-'Cash flows'!F32))</f>
        <v>614079.0851934948</v>
      </c>
    </row>
    <row r="33">
      <c r="A33" s="2" t="n">
        <v>31</v>
      </c>
      <c r="B33" s="3">
        <f>'Cash flows'!I33-'Cash flows'!J33+(Inputs!$B$2*Sensitivity!D2*Sensitivity!C2*((1-Inputs!$B$6)*Sensitivity!B2+Inputs!$B$6*MIN('Executive report'!B5,Sensitivity!B2))*(1+Inputs!$B$20)^('Cash flows'!B33-1)-'Cash flows'!E33-( Inputs!$B$2*Sensitivity!D2*Sensitivity!C2*Inputs!$B$4*(1+Inputs!$B$21)^('Cash flows'!B33-1)-'Cash flows'!F33))+(Inputs!$B$2*Sensitivity!D2*Sensitivity!C2*((1-Inputs!$B$6)*Sensitivity!B2+Inputs!$B$6*MIN('Executive report'!B5,Sensitivity!B2))*(1+Inputs!$B$20)^30-(Inputs!$B$2*Sensitivity!D2*Sensitivity!C2*Inputs!$B$4+'Development budget'!B3*Inputs!$B$18+Inputs!$B$19)*(1+Inputs!$B$21)^30)/Inputs!$B$25*(1-Inputs!$B$26)*Sensitivity!F2</f>
        <v>11061529.377407458</v>
      </c>
      <c r="C33" s="3">
        <f>'Cash flows'!I33-'Cash flows'!J33+(Inputs!$B$2*Sensitivity!D3*Sensitivity!C3*((1-Inputs!$B$6)*Sensitivity!B3+Inputs!$B$6*MIN('Executive report'!B5,Sensitivity!B3))*(1+Inputs!$B$20)^('Cash flows'!B33-1)-'Cash flows'!E33-( Inputs!$B$2*Sensitivity!D3*Sensitivity!C3*Inputs!$B$4*(1+Inputs!$B$21)^('Cash flows'!B33-1)-'Cash flows'!F33))+(Inputs!$B$2*Sensitivity!D3*Sensitivity!C3*((1-Inputs!$B$6)*Sensitivity!B3+Inputs!$B$6*MIN('Executive report'!B5,Sensitivity!B3))*(1+Inputs!$B$20)^30-(Inputs!$B$2*Sensitivity!D3*Sensitivity!C3*Inputs!$B$4+'Development budget'!B3*Inputs!$B$18+Inputs!$B$19)*(1+Inputs!$B$21)^30)/Inputs!$B$25*(1-Inputs!$B$26)*Sensitivity!F3</f>
        <v>8916408.438830849</v>
      </c>
      <c r="D33" s="3">
        <f>'Cash flows'!I33-'Cash flows'!J33+(Inputs!$B$2*Sensitivity!D4*Sensitivity!C4*((1-Inputs!$B$6)*Sensitivity!B4+Inputs!$B$6*MIN('Executive report'!B5,Sensitivity!B4))*(1+Inputs!$B$20)^('Cash flows'!B33-1)-'Cash flows'!E33-( Inputs!$B$2*Sensitivity!D4*Sensitivity!C4*Inputs!$B$4*(1+Inputs!$B$21)^('Cash flows'!B33-1)-'Cash flows'!F33))+(Inputs!$B$2*Sensitivity!D4*Sensitivity!C4*((1-Inputs!$B$6)*Sensitivity!B4+Inputs!$B$6*MIN('Executive report'!B5,Sensitivity!B4))*(1+Inputs!$B$20)^30-(Inputs!$B$2*Sensitivity!D4*Sensitivity!C4*Inputs!$B$4+'Development budget'!B3*Inputs!$B$18+Inputs!$B$19)*(1+Inputs!$B$21)^30)/Inputs!$B$25*(1-Inputs!$B$26)*Sensitivity!F4</f>
        <v>9349158.362913173</v>
      </c>
      <c r="E33" s="3">
        <f>'Cash flows'!I33-'Cash flows'!J33+(Inputs!$B$2*Sensitivity!D5*Sensitivity!C5*((1-Inputs!$B$6)*Sensitivity!B5+Inputs!$B$6*MIN('Executive report'!B5,Sensitivity!B5))*(1+Inputs!$B$20)^('Cash flows'!B33-1)-'Cash flows'!E33-( Inputs!$B$2*Sensitivity!D5*Sensitivity!C5*Inputs!$B$4*(1+Inputs!$B$21)^('Cash flows'!B33-1)-'Cash flows'!F33))+(Inputs!$B$2*Sensitivity!D5*Sensitivity!C5*((1-Inputs!$B$6)*Sensitivity!B5+Inputs!$B$6*MIN('Executive report'!B5,Sensitivity!B5))*(1+Inputs!$B$20)^30-(Inputs!$B$2*Sensitivity!D5*Sensitivity!C5*Inputs!$B$4+'Development budget'!B3*Inputs!$B$18+Inputs!$B$19)*(1+Inputs!$B$21)^30)/Inputs!$B$25*(1-Inputs!$B$26)*Sensitivity!F5</f>
        <v>8350275.271124841</v>
      </c>
      <c r="F33" s="3">
        <f>'Cash flows'!I33-'Cash flows'!J33+(Inputs!$B$2*Sensitivity!D6*Sensitivity!C6*((1-Inputs!$B$6)*Sensitivity!B6+Inputs!$B$6*MIN('Executive report'!B5,Sensitivity!B6))*(1+Inputs!$B$20)^('Cash flows'!B33-1)-'Cash flows'!E33-( Inputs!$B$2*Sensitivity!D6*Sensitivity!C6*Inputs!$B$4*(1+Inputs!$B$21)^('Cash flows'!B33-1)-'Cash flows'!F33))+(Inputs!$B$2*Sensitivity!D6*Sensitivity!C6*((1-Inputs!$B$6)*Sensitivity!B6+Inputs!$B$6*MIN('Executive report'!B5,Sensitivity!B6))*(1+Inputs!$B$20)^30-(Inputs!$B$2*Sensitivity!D6*Sensitivity!C6*Inputs!$B$4+'Development budget'!B3*Inputs!$B$18+Inputs!$B$19)*(1+Inputs!$B$21)^30)/Inputs!$B$25*(1-Inputs!$B$26)*Sensitivity!F6</f>
        <v>11061529.377407458</v>
      </c>
      <c r="G33" s="3">
        <f>'Cash flows'!I33-'Cash flows'!J33+(Inputs!$B$2*Sensitivity!D7*Sensitivity!C7*((1-Inputs!$B$6)*Sensitivity!B7+Inputs!$B$6*MIN('Executive report'!B5,Sensitivity!B7))*(1+Inputs!$B$20)^('Cash flows'!B33-1)-'Cash flows'!E33-( Inputs!$B$2*Sensitivity!D7*Sensitivity!C7*Inputs!$B$4*(1+Inputs!$B$21)^('Cash flows'!B33-1)-'Cash flows'!F33))+(Inputs!$B$2*Sensitivity!D7*Sensitivity!C7*((1-Inputs!$B$6)*Sensitivity!B7+Inputs!$B$6*MIN('Executive report'!B5,Sensitivity!B7))*(1+Inputs!$B$20)^30-(Inputs!$B$2*Sensitivity!D7*Sensitivity!C7*Inputs!$B$4+'Development budget'!B3*Inputs!$B$18+Inputs!$B$19)*(1+Inputs!$B$21)^30)/Inputs!$B$25*(1-Inputs!$B$26)*Sensitivity!F7</f>
        <v>626360.6668973647</v>
      </c>
    </row>
  </sheetData>
  <autoFilter ref="A1:G33"/>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2026-10-14T19:47:26Z</dcterms:created>
  <dcterms:modified xsi:type="dcterms:W3CDTF">2026-10-14T19:47:26Z</dcterms:modified>
</cp:coreProperties>
</file>