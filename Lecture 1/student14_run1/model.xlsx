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Development" sheetId="3" state="visible" r:id="rId3"/>
    <sheet name="Cash flows" sheetId="4" state="visible" r:id="rId4"/>
    <sheet name="Read me" sheetId="5" state="visible" r:id="rId5"/>
    <sheet name="Legal &amp; sources" sheetId="6" state="visible" r:id="rId6"/>
    <sheet name="Sensitivity" sheetId="7" state="visible" r:id="rId7"/>
  </sheets>
  <definedNames>
    <definedName name="_xlnm._FilterDatabase" localSheetId="0" hidden="1">'Summary'!$A$1:$A$1</definedName>
    <definedName name="_xlnm.Print_Area" localSheetId="0">'Summary'!$A$1:$C$40</definedName>
    <definedName name="_xlnm._FilterDatabase" localSheetId="1" hidden="1">'Inputs'!$A$1:$D$37</definedName>
    <definedName name="_xlnm._FilterDatabase" localSheetId="2" hidden="1">'Development'!$A$1:$A$1</definedName>
    <definedName name="_xlnm._FilterDatabase" localSheetId="3" hidden="1">'Cash flows'!$A$1:$A$1</definedName>
    <definedName name="_xlnm._FilterDatabase" localSheetId="4" hidden="1">'Read me'!$A$1:$A$1</definedName>
    <definedName name="_xlnm._FilterDatabase" localSheetId="5" hidden="1">'Legal &amp; sources'!$A$1:$D$13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;[Red](#,##0.00);–"/>
    <numFmt numFmtId="165" formatCode="0.0%"/>
    <numFmt numFmtId="166" formatCode="0.0000"/>
    <numFmt numFmtId="167" formatCode="#,##0;[Red](#,##0)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color rgb="00000000"/>
    </font>
    <font>
      <b val="1"/>
      <color rgb="001565C0"/>
    </font>
    <font>
      <b val="1"/>
      <color rgb="0017365D"/>
    </font>
    <font>
      <color rgb="001565C0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E8F1FA"/>
      </patternFill>
    </fill>
    <fill>
      <patternFill patternType="solid">
        <fgColor rgb="00DCE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64" fontId="4" fillId="5" borderId="0" applyAlignment="1" pivotButton="0" quotePrefix="0" xfId="0">
      <alignment vertical="top" wrapText="1"/>
    </xf>
    <xf numFmtId="10" fontId="4" fillId="5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164" fontId="4" fillId="5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167" fontId="0" fillId="0" borderId="0" pivotButton="0" quotePrefix="0" xfId="0"/>
    <xf numFmtId="165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project cash flow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flows'!A28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flows'!$B$2:$AG$2</f>
            </numRef>
          </cat>
          <val>
            <numRef>
              <f>'Cash flows'!$B$28:$AG$28</f>
            </numRef>
          </val>
        </ser>
        <ser>
          <idx val="1"/>
          <order val="1"/>
          <tx>
            <strRef>
              <f>'Cash flows'!A29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flows'!$B$2:$AG$2</f>
            </numRef>
          </cat>
          <val>
            <numRef>
              <f>'Cash flows'!$B$29:$AG$29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 from acquisition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e.brussels/en/taxes-finances/taxes/property-related-taxes/registration-duties/abatement" TargetMode="External" Id="rId1" /><Relationship Type="http://schemas.openxmlformats.org/officeDocument/2006/relationships/hyperlink" Target="https://finances.belgium.be/fr/particuliers/habitation/construire-renover/renover/renover-taux-de-tva" TargetMode="External" Id="rId2" /><Relationship Type="http://schemas.openxmlformats.org/officeDocument/2006/relationships/hyperlink" Target="https://be.brussels/fr/developpement-urbain/urbanisme" TargetMode="External" Id="rId3" /><Relationship Type="http://schemas.openxmlformats.org/officeDocument/2006/relationships/hyperlink" Target="https://mypermit.urban.brussels/" TargetMode="External" Id="rId4" /><Relationship Type="http://schemas.openxmlformats.org/officeDocument/2006/relationships/hyperlink" Target="https://be.brussels/fr/logement/location/conformite-logement/normes-et-securite" TargetMode="External" Id="rId5" /><Relationship Type="http://schemas.openxmlformats.org/officeDocument/2006/relationships/hyperlink" Target="https://be.brussels/fr/logement/location/les-differentes-etapes-de-la-location" TargetMode="External" Id="rId6" /><Relationship Type="http://schemas.openxmlformats.org/officeDocument/2006/relationships/hyperlink" Target="https://be.brussels/fr/logement/location/bail-dhabitation" TargetMode="External" Id="rId7" /><Relationship Type="http://schemas.openxmlformats.org/officeDocument/2006/relationships/hyperlink" Target="https://be.brussels/fr/logement/location/conformite-logement/label-logement-etudiant" TargetMode="External" Id="rId8" /><Relationship Type="http://schemas.openxmlformats.org/officeDocument/2006/relationships/hyperlink" Target="https://be.brussels/fr/developpement-urbain/urbanisme" TargetMode="External" Id="rId9" /><Relationship Type="http://schemas.openxmlformats.org/officeDocument/2006/relationships/hyperlink" Target="https://www.brik.be/en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5" customWidth="1" min="1" max="1"/>
    <col width="27" customWidth="1" min="2" max="2"/>
    <col width="83" customWidth="1" min="3" max="3"/>
  </cols>
  <sheetData>
    <row r="1" ht="28" customHeight="1">
      <c r="A1" s="1" t="inlineStr">
        <is>
          <t>INVESTMENT DASHBOARD</t>
        </is>
      </c>
      <c r="B1" s="1" t="inlineStr">
        <is>
          <t>Base case</t>
        </is>
      </c>
      <c r="C1" s="1" t="inlineStr">
        <is>
          <t>Interpretation</t>
        </is>
      </c>
    </row>
    <row r="2" ht="39" customHeight="1">
      <c r="A2" s="2" t="inlineStr">
        <is>
          <t>Status</t>
        </is>
      </c>
      <c r="B2" s="2" t="inlineStr">
        <is>
          <t>Illustrative feasibility model</t>
        </is>
      </c>
      <c r="C2" s="2" t="inlineStr">
        <is>
          <t>Replace all blue assumptions with quotes and site data.</t>
        </is>
      </c>
    </row>
    <row r="3" ht="39" customHeight="1">
      <c r="A3" s="3" t="inlineStr">
        <is>
          <t>Horizon</t>
        </is>
      </c>
      <c r="B3" s="3" t="inlineStr">
        <is>
          <t>31 years from land acquisition</t>
        </is>
      </c>
      <c r="C3" s="3" t="inlineStr">
        <is>
          <t>t0 land + construction deposit; t1 balance; t2–t31 operations; sale at t31.</t>
        </is>
      </c>
    </row>
    <row r="4" ht="39" customHeight="1">
      <c r="A4" s="4" t="inlineStr">
        <is>
          <t>NPV</t>
        </is>
      </c>
      <c r="B4" s="5">
        <f>NPV(Inputs!$B$31,'Cash flows'!C24:AG24)+'Cash flows'!B24</f>
        <v>172795.36650203937</v>
      </c>
      <c r="C4" s="4" t="inlineStr">
        <is>
          <t>EUR at selected nominal discount rate; includes terminal sale.</t>
        </is>
      </c>
    </row>
    <row r="5" ht="39" customHeight="1">
      <c r="A5" s="4" t="inlineStr">
        <is>
          <t>Project IRR</t>
        </is>
      </c>
      <c r="B5" s="6">
        <f>IFERROR(IRR('Cash flows'!B24:AG24),"No IRR")</f>
        <v>0.06727959146923934</v>
      </c>
      <c r="C5" s="4" t="inlineStr">
        <is>
          <t>Unlevered, pre-income-tax; annual equally spaced periods; includes exit.</t>
        </is>
      </c>
    </row>
    <row r="6" ht="39" customHeight="1">
      <c r="A6" s="4" t="inlineStr">
        <is>
          <t>Total development cost</t>
        </is>
      </c>
      <c r="B6" s="5">
        <f>Development!B20</f>
        <v>4688593.4</v>
      </c>
      <c r="C6" s="4" t="inlineStr">
        <is>
          <t>Includes assumed non-recoverable VAT, transfer duty and contingency.</t>
        </is>
      </c>
    </row>
    <row r="7" ht="39" customHeight="1">
      <c r="A7" s="3" t="inlineStr">
        <is>
          <t>First operating year NOI</t>
        </is>
      </c>
      <c r="B7" s="7">
        <f>'Cash flows'!D15</f>
        <v>266380.0</v>
      </c>
      <c r="C7" s="3" t="inlineStr">
        <is>
          <t>Before recurring replacement reserve and furniture replacement.</t>
        </is>
      </c>
    </row>
    <row r="8" ht="39" customHeight="1">
      <c r="A8" s="2" t="inlineStr">
        <is>
          <t>Initial NOI yield on development cost</t>
        </is>
      </c>
      <c r="B8" s="8">
        <f>B7/B6</f>
        <v>0.0568144808632798</v>
      </c>
      <c r="C8" s="2" t="inlineStr">
        <is>
          <t>First operating-year NOI / total development cost.</t>
        </is>
      </c>
    </row>
    <row r="9" ht="39" customHeight="1">
      <c r="A9" s="4" t="inlineStr">
        <is>
          <t>Simple PBP including sale</t>
        </is>
      </c>
      <c r="B9" s="5">
        <f>IF(MIN('Cash flows'!B33:AG33)=999,"Not reached",IF(MIN('Cash flows'!B33:AG33)&gt;30,31,MIN('Cash flows'!B33:AG33)))</f>
        <v>18.05549786226993</v>
      </c>
      <c r="C9" s="4" t="inlineStr">
        <is>
          <t>Years from t0. Fractional year assumes cash arrives evenly; exit occurs at t31.</t>
        </is>
      </c>
    </row>
    <row r="10" ht="39" customHeight="1">
      <c r="A10" s="4" t="inlineStr">
        <is>
          <t>Simple PBP from operations only</t>
        </is>
      </c>
      <c r="B10" s="5">
        <f>IF(MIN('Cash flows'!B34:AG34)=999,"Not reached",MIN('Cash flows'!B34:AG34))</f>
        <v>18.05549786226993</v>
      </c>
      <c r="C10" s="4" t="inlineStr">
        <is>
          <t>Years from t0. Fractional year assumes cash arrives evenly; exit occurs at t31.</t>
        </is>
      </c>
    </row>
    <row r="11" ht="39" customHeight="1">
      <c r="A11" s="4" t="inlineStr">
        <is>
          <t>Discounted PBP including sale</t>
        </is>
      </c>
      <c r="B11" s="5">
        <f>IF(MIN('Cash flows'!B35:AG35)=999,"Not reached",IF(MIN('Cash flows'!B35:AG35)&gt;30,31,MIN('Cash flows'!B35:AG35)))</f>
        <v>31</v>
      </c>
      <c r="C11" s="4" t="inlineStr">
        <is>
          <t>Years from t0. Fractional year assumes cash arrives evenly; exit occurs at t31.</t>
        </is>
      </c>
    </row>
    <row r="12" ht="39" customHeight="1">
      <c r="A12" s="4" t="inlineStr">
        <is>
          <t>Discounted PBP from operations only</t>
        </is>
      </c>
      <c r="B12" s="5" t="str">
        <f>IF(MIN('Cash flows'!B36:AG36)=999,"Not reached",MIN('Cash flows'!B36:AG36))</f>
        <v>Not reached</v>
      </c>
      <c r="C12" s="4" t="inlineStr">
        <is>
          <t>Years from t0. Fractional year assumes cash arrives evenly; exit occurs at t31.</t>
        </is>
      </c>
    </row>
    <row r="13" ht="39" customHeight="1">
      <c r="A13" s="3" t="n"/>
      <c r="B13" s="3" t="n"/>
      <c r="C13" s="3" t="n"/>
    </row>
    <row r="14" ht="39" customHeight="1">
      <c r="A14" s="2" t="inlineStr">
        <is>
          <t>Discount rate</t>
        </is>
      </c>
      <c r="B14" s="8">
        <f>Inputs!$B$31</f>
        <v>0.065</v>
      </c>
      <c r="C14" s="2" t="n"/>
    </row>
    <row r="15" ht="39" customHeight="1">
      <c r="A15" s="3" t="inlineStr">
        <is>
          <t>Net sale proceeds at t31</t>
        </is>
      </c>
      <c r="B15" s="7">
        <f>'Cash flows'!AG22</f>
        <v>8597459.796326958</v>
      </c>
      <c r="C15" s="3" t="inlineStr">
        <is>
          <t>Residual value has a material impact on IRR and NPV.</t>
        </is>
      </c>
    </row>
    <row r="16" ht="39" customHeight="1">
      <c r="A16" s="2" t="n"/>
      <c r="B16" s="2" t="n"/>
      <c r="C16" s="2" t="n"/>
    </row>
    <row r="17" ht="39" customHeight="1">
      <c r="A17" s="4" t="inlineStr">
        <is>
          <t>Decision</t>
        </is>
      </c>
      <c r="B17" s="5" t="str">
        <f>IF(B4&gt;=0,"Meets required return","Below required return")</f>
        <v>Meets required return</v>
      </c>
      <c r="C17" s="4" t="inlineStr">
        <is>
          <t>NPV is the primary accept/reject criterion, subject to feasibility and risk.</t>
        </is>
      </c>
    </row>
    <row r="18" ht="39" customHeight="1"/>
    <row r="19" ht="52" customHeight="1">
      <c r="A19" t="inlineStr">
        <is>
          <t>Affordable / planning rule</t>
        </is>
      </c>
      <c r="B19" t="inlineStr">
        <is>
          <t>Unresolved</t>
        </is>
      </c>
      <c r="C19" s="22" t="inlineStr">
        <is>
          <t>Confirm municipality, zoning and permit conditions. Inputs contain affordable share, rent discount and additional cost.</t>
        </is>
      </c>
    </row>
    <row r="20" ht="39" customHeight="1">
      <c r="A20" t="inlineStr">
        <is>
          <t>Input validity</t>
        </is>
      </c>
      <c r="B20" s="24" t="str">
        <f>IF(AND(Inputs!$B$4&gt;0,Inputs!$B$5&gt;0,Inputs!$B$20&gt;0,Inputs!$B$32&gt;0,Inputs!$B$35&gt;0),"OK","Correct positive inputs")</f>
        <v>OK</v>
      </c>
    </row>
  </sheetData>
  <autoFilter ref="A1:A1"/>
  <printOptions horizontalCentered="1"/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  <col width="31" customWidth="1" min="2" max="2"/>
    <col width="26" customWidth="1" min="3" max="3"/>
    <col width="94" customWidth="1" min="4" max="4"/>
  </cols>
  <sheetData>
    <row r="1" ht="28" customHeight="1">
      <c r="A1" s="1" t="inlineStr">
        <is>
          <t>BRUSSELS STUDENT HOUSING | editable assumptions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Basis / caution</t>
        </is>
      </c>
    </row>
    <row r="2" ht="42" customHeight="1">
      <c r="A2" s="2" t="inlineStr">
        <is>
          <t>Model basis</t>
        </is>
      </c>
      <c r="B2" s="9" t="inlineStr">
        <is>
          <t>Unlevered, nominal, pre-income-tax</t>
        </is>
      </c>
      <c r="C2" s="2" t="inlineStr"/>
      <c r="D2" s="2" t="inlineStr">
        <is>
          <t>EUR. No financing or corporate income tax; not an equity IRR.</t>
        </is>
      </c>
    </row>
    <row r="3" ht="42" customHeight="1">
      <c r="A3" s="3" t="inlineStr">
        <is>
          <t>Location</t>
        </is>
      </c>
      <c r="B3" s="9" t="inlineStr">
        <is>
          <t>Brussels-Capital Region; site TBD</t>
        </is>
      </c>
      <c r="C3" s="3" t="inlineStr"/>
      <c r="D3" s="3" t="inlineStr">
        <is>
          <t>Empty site near university and public transport; exact municipality and plot not supplied.</t>
        </is>
      </c>
    </row>
    <row r="4" ht="42" customHeight="1">
      <c r="A4" s="2" t="inlineStr">
        <is>
          <t>Rooms</t>
        </is>
      </c>
      <c r="B4" s="10" t="n">
        <v>40</v>
      </c>
      <c r="C4" s="2" t="inlineStr">
        <is>
          <t>rooms</t>
        </is>
      </c>
      <c r="D4" s="2" t="inlineStr">
        <is>
          <t>Illustrative; replace with architect feasibility study.</t>
        </is>
      </c>
    </row>
    <row r="5" ht="42" customHeight="1">
      <c r="A5" s="3" t="inlineStr">
        <is>
          <t>Gross floor area</t>
        </is>
      </c>
      <c r="B5" s="10" t="n">
        <v>1200</v>
      </c>
      <c r="C5" s="3" t="inlineStr">
        <is>
          <t>m²</t>
        </is>
      </c>
      <c r="D5" s="3" t="inlineStr">
        <is>
          <t>Includes circulation and shared spaces; 30 m² gross per room.</t>
        </is>
      </c>
    </row>
    <row r="6" ht="42" customHeight="1">
      <c r="A6" s="2" t="inlineStr">
        <is>
          <t>Land price</t>
        </is>
      </c>
      <c r="B6" s="10" t="n">
        <v>800000</v>
      </c>
      <c r="C6" s="2" t="inlineStr">
        <is>
          <t>EUR</t>
        </is>
      </c>
      <c r="D6" s="2" t="inlineStr">
        <is>
          <t>Illustrative empty plot; not a valuation or listing.</t>
        </is>
      </c>
    </row>
    <row r="7" ht="42" customHeight="1">
      <c r="A7" s="3" t="inlineStr">
        <is>
          <t>Land transfer duty</t>
        </is>
      </c>
      <c r="B7" s="11" t="n">
        <v>0.125</v>
      </c>
      <c r="C7" s="3" t="inlineStr">
        <is>
          <t>%</t>
        </is>
      </c>
      <c r="D7" s="3" t="inlineStr">
        <is>
          <t>Ordinary Brussels rate verified in Legal &amp; sources; confirm specific land transaction and market-value tax base.</t>
        </is>
      </c>
    </row>
    <row r="8" ht="42" customHeight="1">
      <c r="A8" s="2" t="inlineStr">
        <is>
          <t>Land legal / acquisition fees</t>
        </is>
      </c>
      <c r="B8" s="10" t="n">
        <v>20000</v>
      </c>
      <c r="C8" s="2" t="inlineStr">
        <is>
          <t>EUR</t>
        </is>
      </c>
      <c r="D8" s="2" t="inlineStr">
        <is>
          <t>Allowance excluding transfer duty; obtain notarial quote.</t>
        </is>
      </c>
    </row>
    <row r="9" ht="42" customHeight="1">
      <c r="A9" s="3" t="inlineStr">
        <is>
          <t>Structure / envelope / finishes</t>
        </is>
      </c>
      <c r="B9" s="10" t="n">
        <v>1450</v>
      </c>
      <c r="C9" s="3" t="inlineStr">
        <is>
          <t>EUR/m² net VAT</t>
        </is>
      </c>
      <c r="D9" s="3" t="inlineStr">
        <is>
          <t>Planning allowance, not a contractor quote.</t>
        </is>
      </c>
    </row>
    <row r="10" ht="42" customHeight="1">
      <c r="A10" s="2" t="inlineStr">
        <is>
          <t>MEP / pipes / electrical / heating</t>
        </is>
      </c>
      <c r="B10" s="10" t="n">
        <v>350</v>
      </c>
      <c r="C10" s="2" t="inlineStr">
        <is>
          <t>EUR/m² net VAT</t>
        </is>
      </c>
      <c r="D10" s="2" t="inlineStr">
        <is>
          <t>Separate from structure; avoid double counting in quotations.</t>
        </is>
      </c>
    </row>
    <row r="11" ht="42" customHeight="1">
      <c r="A11" s="3" t="inlineStr">
        <is>
          <t>Bathrooms / sanitary fixtures</t>
        </is>
      </c>
      <c r="B11" s="10" t="n">
        <v>4500</v>
      </c>
      <c r="C11" s="3" t="inlineStr">
        <is>
          <t>EUR/room net VAT</t>
        </is>
      </c>
      <c r="D11" s="3" t="inlineStr">
        <is>
          <t>Fixtures and fit-out; distribution pipes in MEP.</t>
        </is>
      </c>
    </row>
    <row r="12" ht="42" customHeight="1">
      <c r="A12" s="2" t="inlineStr">
        <is>
          <t>Kitchens</t>
        </is>
      </c>
      <c r="B12" s="10" t="n">
        <v>60000</v>
      </c>
      <c r="C12" s="2" t="inlineStr">
        <is>
          <t>EUR net VAT</t>
        </is>
      </c>
      <c r="D12" s="2" t="inlineStr">
        <is>
          <t>Shared kitchen allowance; clarify room-by-room vs shared layout.</t>
        </is>
      </c>
    </row>
    <row r="13" ht="42" customHeight="1">
      <c r="A13" s="3" t="inlineStr">
        <is>
          <t>Furniture</t>
        </is>
      </c>
      <c r="B13" s="10" t="n">
        <v>2500</v>
      </c>
      <c r="C13" s="3" t="inlineStr">
        <is>
          <t>EUR/room net VAT</t>
        </is>
      </c>
      <c r="D13" s="3" t="inlineStr">
        <is>
          <t>Bed, mattress, wardrobe, desk, chair; initial equipment.</t>
        </is>
      </c>
    </row>
    <row r="14" ht="42" customHeight="1">
      <c r="A14" s="2" t="inlineStr">
        <is>
          <t>Site works / utility connections</t>
        </is>
      </c>
      <c r="B14" s="10" t="n">
        <v>80000</v>
      </c>
      <c r="C14" s="2" t="inlineStr">
        <is>
          <t>EUR net VAT</t>
        </is>
      </c>
      <c r="D14" s="2" t="inlineStr">
        <is>
          <t>External works and connections; soil issues excluded.</t>
        </is>
      </c>
    </row>
    <row r="15" ht="42" customHeight="1">
      <c r="A15" s="3" t="inlineStr">
        <is>
          <t>Architect fee</t>
        </is>
      </c>
      <c r="B15" s="11" t="n">
        <v>0.08</v>
      </c>
      <c r="C15" s="3" t="inlineStr">
        <is>
          <t>% of hard works</t>
        </is>
      </c>
      <c r="D15" s="3" t="inlineStr">
        <is>
          <t>Illustrative planning allowance.</t>
        </is>
      </c>
    </row>
    <row r="16" ht="42" customHeight="1">
      <c r="A16" s="2" t="inlineStr">
        <is>
          <t>Studies / permits / other consultants</t>
        </is>
      </c>
      <c r="B16" s="10" t="n">
        <v>45000</v>
      </c>
      <c r="C16" s="2" t="inlineStr">
        <is>
          <t>EUR net VAT</t>
        </is>
      </c>
      <c r="D16" s="2" t="inlineStr">
        <is>
          <t>Engineering, survey, permits; excludes unknown remediation.</t>
        </is>
      </c>
    </row>
    <row r="17" ht="42" customHeight="1">
      <c r="A17" s="3" t="inlineStr">
        <is>
          <t>Construction contingency</t>
        </is>
      </c>
      <c r="B17" s="11" t="n">
        <v>0.1</v>
      </c>
      <c r="C17" s="3" t="inlineStr">
        <is>
          <t>% of hard works + design</t>
        </is>
      </c>
      <c r="D17" s="3" t="inlineStr">
        <is>
          <t>Cost margin; distinct from operating maintenance.</t>
        </is>
      </c>
    </row>
    <row r="18" ht="42" customHeight="1">
      <c r="A18" s="2" t="inlineStr">
        <is>
          <t>Construction VAT</t>
        </is>
      </c>
      <c r="B18" s="11" t="n">
        <v>0.21</v>
      </c>
      <c r="C18" s="2" t="inlineStr">
        <is>
          <t>%</t>
        </is>
      </c>
      <c r="D18" s="2" t="inlineStr">
        <is>
          <t>Federal standard new-build rate verified; non-recovery is an assumption. Confirm project-specific treatment.</t>
        </is>
      </c>
    </row>
    <row r="19" ht="42" customHeight="1">
      <c r="A19" s="3" t="inlineStr">
        <is>
          <t>Affordable-room share</t>
        </is>
      </c>
      <c r="B19" s="11" t="n">
        <v>0</v>
      </c>
      <c r="C19" s="3" t="inlineStr">
        <is>
          <t>%</t>
        </is>
      </c>
      <c r="D19" s="3" t="inlineStr">
        <is>
          <t>User-controlled scenario. Zero means no assumed mandatory threshold; verify site rules.</t>
        </is>
      </c>
    </row>
    <row r="20" ht="42" customHeight="1">
      <c r="A20" s="2" t="inlineStr">
        <is>
          <t>Monthly market rent</t>
        </is>
      </c>
      <c r="B20" s="10" t="n">
        <v>750</v>
      </c>
      <c r="C20" s="2" t="inlineStr">
        <is>
          <t>EUR/room/month</t>
        </is>
      </c>
      <c r="D20" s="2" t="inlineStr">
        <is>
          <t>Illustrative base rent excluding tenant-paid utilities.</t>
        </is>
      </c>
    </row>
    <row r="21" ht="42" customHeight="1">
      <c r="A21" s="3" t="inlineStr">
        <is>
          <t>Affordable rent discount</t>
        </is>
      </c>
      <c r="B21" s="11" t="n">
        <v>0.25</v>
      </c>
      <c r="C21" s="3" t="inlineStr">
        <is>
          <t>%</t>
        </is>
      </c>
      <c r="D21" s="3" t="inlineStr">
        <is>
          <t>Assumption applied only to affordable-room share.</t>
        </is>
      </c>
    </row>
    <row r="22" ht="42" customHeight="1">
      <c r="A22" s="2" t="inlineStr">
        <is>
          <t>Occupancy</t>
        </is>
      </c>
      <c r="B22" s="11" t="n">
        <v>0.95</v>
      </c>
      <c r="C22" s="2" t="inlineStr">
        <is>
          <t>%</t>
        </is>
      </c>
      <c r="D22" s="2" t="inlineStr">
        <is>
          <t>Collected occupancy; 12-month annual leases assumed.</t>
        </is>
      </c>
    </row>
    <row r="23" ht="42" customHeight="1">
      <c r="A23" s="3" t="inlineStr">
        <is>
          <t>Rent growth</t>
        </is>
      </c>
      <c r="B23" s="11" t="n">
        <v>0.02</v>
      </c>
      <c r="C23" s="3" t="inlineStr">
        <is>
          <t>%/year</t>
        </is>
      </c>
      <c r="D23" s="3" t="inlineStr">
        <is>
          <t>Nominal assumption; actual indexation and lease rules may differ.</t>
        </is>
      </c>
    </row>
    <row r="24" ht="42" customHeight="1">
      <c r="A24" s="2" t="inlineStr">
        <is>
          <t>Maintenance / repairs</t>
        </is>
      </c>
      <c r="B24" s="11" t="n">
        <v>0.06</v>
      </c>
      <c r="C24" s="2" t="inlineStr">
        <is>
          <t>% of collected rent</t>
        </is>
      </c>
      <c r="D24" s="2" t="inlineStr">
        <is>
          <t>Routine reserve/expense, excluding planned large replacements below.</t>
        </is>
      </c>
    </row>
    <row r="25" ht="42" customHeight="1">
      <c r="A25" s="3" t="inlineStr">
        <is>
          <t>Management</t>
        </is>
      </c>
      <c r="B25" s="11" t="n">
        <v>0.05</v>
      </c>
      <c r="C25" s="3" t="inlineStr">
        <is>
          <t>% of collected rent</t>
        </is>
      </c>
      <c r="D25" s="3" t="inlineStr">
        <is>
          <t>Third-party or internal management allowance.</t>
        </is>
      </c>
    </row>
    <row r="26" ht="42" customHeight="1">
      <c r="A26" s="2" t="inlineStr">
        <is>
          <t>Annual building insurance</t>
        </is>
      </c>
      <c r="B26" s="10" t="n">
        <v>6000</v>
      </c>
      <c r="C26" s="2" t="inlineStr">
        <is>
          <t>EUR/year</t>
        </is>
      </c>
      <c r="D26" s="2" t="inlineStr">
        <is>
          <t>Assumption; obtain insurer quote.</t>
        </is>
      </c>
    </row>
    <row r="27" ht="42" customHeight="1">
      <c r="A27" s="3" t="inlineStr">
        <is>
          <t>Annual property tax</t>
        </is>
      </c>
      <c r="B27" s="10" t="n">
        <v>10000</v>
      </c>
      <c r="C27" s="3" t="inlineStr">
        <is>
          <t>EUR/year</t>
        </is>
      </c>
      <c r="D27" s="3" t="inlineStr">
        <is>
          <t>Placeholder; depends on cadastral income and municipal/regional charges.</t>
        </is>
      </c>
    </row>
    <row r="28" ht="42" customHeight="1">
      <c r="A28" s="2" t="inlineStr">
        <is>
          <t>Annual common utilities / cleaning</t>
        </is>
      </c>
      <c r="B28" s="10" t="n">
        <v>18000</v>
      </c>
      <c r="C28" s="2" t="inlineStr">
        <is>
          <t>EUR/year</t>
        </is>
      </c>
      <c r="D28" s="2" t="inlineStr">
        <is>
          <t>Owner-borne, net of assumed zero tenant reimbursements.</t>
        </is>
      </c>
    </row>
    <row r="29" ht="42" customHeight="1">
      <c r="A29" s="3" t="inlineStr">
        <is>
          <t>Annual administration / compliance</t>
        </is>
      </c>
      <c r="B29" s="10" t="n">
        <v>4000</v>
      </c>
      <c r="C29" s="3" t="inlineStr">
        <is>
          <t>EUR/year</t>
        </is>
      </c>
      <c r="D29" s="3" t="inlineStr">
        <is>
          <t>Inspections, accountancy and operational administration.</t>
        </is>
      </c>
    </row>
    <row r="30" ht="42" customHeight="1">
      <c r="A30" s="2" t="inlineStr">
        <is>
          <t>Operating cost growth</t>
        </is>
      </c>
      <c r="B30" s="11" t="n">
        <v>0.02</v>
      </c>
      <c r="C30" s="2" t="inlineStr">
        <is>
          <t>%/year</t>
        </is>
      </c>
      <c r="D30" s="2" t="inlineStr">
        <is>
          <t>Applies to fixed costs and replacement costs.</t>
        </is>
      </c>
    </row>
    <row r="31" ht="42" customHeight="1">
      <c r="A31" s="3" t="inlineStr">
        <is>
          <t>Discount rate</t>
        </is>
      </c>
      <c r="B31" s="11" t="n">
        <v>0.065</v>
      </c>
      <c r="C31" s="3" t="inlineStr">
        <is>
          <t>%/year</t>
        </is>
      </c>
      <c r="D31" s="3" t="inlineStr">
        <is>
          <t>Nominal unlevered required return; investor assumption.</t>
        </is>
      </c>
    </row>
    <row r="32" ht="42" customHeight="1">
      <c r="A32" s="2" t="inlineStr">
        <is>
          <t>Exit capitalization rate</t>
        </is>
      </c>
      <c r="B32" s="11" t="n">
        <v>0.055</v>
      </c>
      <c r="C32" s="2" t="inlineStr">
        <is>
          <t>%</t>
        </is>
      </c>
      <c r="D32" s="2" t="inlineStr">
        <is>
          <t>Market assumption; applied to following-year net operating income.</t>
        </is>
      </c>
    </row>
    <row r="33" ht="42" customHeight="1">
      <c r="A33" s="3" t="inlineStr">
        <is>
          <t>Selling costs</t>
        </is>
      </c>
      <c r="B33" s="11" t="n">
        <v>0.02</v>
      </c>
      <c r="C33" s="3" t="inlineStr">
        <is>
          <t>% of gross sale</t>
        </is>
      </c>
      <c r="D33" s="3" t="inlineStr">
        <is>
          <t>Allowance; excludes sale-specific income/capital-gains tax.</t>
        </is>
      </c>
    </row>
    <row r="34" ht="42" customHeight="1">
      <c r="A34" s="2" t="inlineStr">
        <is>
          <t>Annual recurring replacement reserve</t>
        </is>
      </c>
      <c r="B34" s="11" t="n">
        <v>0.01</v>
      </c>
      <c r="C34" s="2" t="inlineStr">
        <is>
          <t>% of initial net hard works</t>
        </is>
      </c>
      <c r="D34" s="2" t="inlineStr">
        <is>
          <t>Annual cash reserve treated as spent cash; no reserve asset recovered on exit.</t>
        </is>
      </c>
    </row>
    <row r="35" ht="42" customHeight="1">
      <c r="A35" s="3" t="inlineStr">
        <is>
          <t>Furniture replacement interval</t>
        </is>
      </c>
      <c r="B35" s="10" t="n">
        <v>10</v>
      </c>
      <c r="C35" s="3" t="inlineStr">
        <is>
          <t>years</t>
        </is>
      </c>
      <c r="D35" s="3" t="inlineStr">
        <is>
          <t>Furniture renewed after each 10 operating years except exit year.</t>
        </is>
      </c>
    </row>
    <row r="36" ht="42" customHeight="1">
      <c r="A36" s="2" t="inlineStr">
        <is>
          <t>Affordable / planning additional capital cost</t>
        </is>
      </c>
      <c r="B36" s="10" t="n">
        <v>0</v>
      </c>
      <c r="C36" s="2" t="inlineStr">
        <is>
          <t>EUR net VAT</t>
        </is>
      </c>
      <c r="D36" s="2" t="inlineStr">
        <is>
          <t>Site-specific obligation or planning charge; enter if confirmed.</t>
        </is>
      </c>
    </row>
    <row r="37" ht="42" customHeight="1">
      <c r="A37" s="3" t="inlineStr">
        <is>
          <t>Construction share paid at time 0</t>
        </is>
      </c>
      <c r="B37" s="11" t="n">
        <v>0.5</v>
      </c>
      <c r="C37" s="3" t="inlineStr">
        <is>
          <t>%</t>
        </is>
      </c>
      <c r="D37" s="3" t="inlineStr">
        <is>
          <t>Land at t0; construction balance at t1. First operations at t2.</t>
        </is>
      </c>
    </row>
  </sheetData>
  <autoFilter ref="A1:D37"/>
  <dataValidations count="34">
    <dataValidation sqref="B6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7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8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9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10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11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12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13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14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15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16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17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18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19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20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21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22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23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24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25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26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27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28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29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30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31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33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34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36" showDropDown="0" showInputMessage="0" showErrorMessage="1" allowBlank="0" errorTitle="Invalid assumption" error="Enter a non-negative value within the allowed range." type="decimal" operator="between">
      <formula1>0</formula1>
      <formula2>100000000</formula2>
    </dataValidation>
    <dataValidation sqref="B37" showDropDown="0" showInputMessage="0" showErrorMessage="1" allowBlank="0" errorTitle="Invalid assumption" error="Enter a non-negative value within the allowed range." type="decimal" operator="between">
      <formula1>0</formula1>
      <formula2>1</formula2>
    </dataValidation>
    <dataValidation sqref="B4" showDropDown="0" showInputMessage="0" showErrorMessage="1" allowBlank="0" error="Enter a positive whole number." type="whole" operator="between">
      <formula1>1</formula1>
      <formula2>10000</formula2>
    </dataValidation>
    <dataValidation sqref="B35" showDropDown="0" showInputMessage="0" showErrorMessage="1" allowBlank="0" error="Enter a positive whole number." type="whole" operator="between">
      <formula1>1</formula1>
      <formula2>10000</formula2>
    </dataValidation>
    <dataValidation sqref="B5" showDropDown="0" showInputMessage="0" showErrorMessage="1" allowBlank="0" error="Enter a positive value." type="decimal" operator="between">
      <formula1>0.0001</formula1>
      <formula2>1000000</formula2>
    </dataValidation>
    <dataValidation sqref="B32" showDropDown="0" showInputMessage="0" showErrorMessage="1" allowBlank="0" error="Enter a positive value." type="decimal" operator="between">
      <formula1>0.0001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3" customWidth="1" min="1" max="1"/>
    <col width="25" customWidth="1" min="2" max="2"/>
    <col width="60" customWidth="1" min="3" max="3"/>
    <col width="60" customWidth="1" min="4" max="4"/>
  </cols>
  <sheetData>
    <row r="1" ht="28" customHeight="1">
      <c r="A1" s="1" t="inlineStr">
        <is>
          <t>DEVELOPMENT BUDGET</t>
        </is>
      </c>
      <c r="B1" s="1" t="inlineStr">
        <is>
          <t>EUR</t>
        </is>
      </c>
      <c r="C1" s="1" t="inlineStr">
        <is>
          <t>Treatment</t>
        </is>
      </c>
      <c r="D1" s="1" t="inlineStr"/>
    </row>
    <row r="2" ht="34" customHeight="1">
      <c r="A2" s="2" t="inlineStr">
        <is>
          <t>Land price</t>
        </is>
      </c>
      <c r="B2" s="12">
        <f>Inputs!$B$6</f>
        <v>800000</v>
      </c>
      <c r="C2" s="2" t="n"/>
      <c r="D2" s="2" t="n"/>
    </row>
    <row r="3" ht="34" customHeight="1">
      <c r="A3" s="3" t="inlineStr">
        <is>
          <t>Land transfer duty</t>
        </is>
      </c>
      <c r="B3" s="7">
        <f>Inputs!$B$6*Inputs!$B$7</f>
        <v>100000.0</v>
      </c>
      <c r="C3" s="3" t="n"/>
      <c r="D3" s="3" t="n"/>
    </row>
    <row r="4" ht="34" customHeight="1">
      <c r="A4" s="2" t="inlineStr">
        <is>
          <t>Other acquisition fees</t>
        </is>
      </c>
      <c r="B4" s="12">
        <f>Inputs!$B$8</f>
        <v>20000</v>
      </c>
      <c r="C4" s="2" t="n"/>
      <c r="D4" s="2" t="n"/>
    </row>
    <row r="5" ht="34" customHeight="1">
      <c r="A5" s="3" t="inlineStr">
        <is>
          <t>Structure / envelope / finishes</t>
        </is>
      </c>
      <c r="B5" s="7">
        <f>Inputs!$B$5*Inputs!$B$9</f>
        <v>1740000</v>
      </c>
      <c r="C5" s="3" t="n"/>
      <c r="D5" s="3" t="n"/>
    </row>
    <row r="6" ht="34" customHeight="1">
      <c r="A6" s="2" t="inlineStr">
        <is>
          <t>MEP / pipes / electrical / heating</t>
        </is>
      </c>
      <c r="B6" s="12">
        <f>Inputs!$B$5*Inputs!$B$10</f>
        <v>420000</v>
      </c>
      <c r="C6" s="2" t="n"/>
      <c r="D6" s="2" t="n"/>
    </row>
    <row r="7" ht="34" customHeight="1">
      <c r="A7" s="3" t="inlineStr">
        <is>
          <t>Bathrooms / sanitary fixtures</t>
        </is>
      </c>
      <c r="B7" s="7">
        <f>Inputs!$B$4*Inputs!$B$11</f>
        <v>180000</v>
      </c>
      <c r="C7" s="3" t="n"/>
      <c r="D7" s="3" t="n"/>
    </row>
    <row r="8" ht="34" customHeight="1">
      <c r="A8" s="2" t="inlineStr">
        <is>
          <t>Kitchens</t>
        </is>
      </c>
      <c r="B8" s="12">
        <f>Inputs!$B$12</f>
        <v>60000</v>
      </c>
      <c r="C8" s="2" t="n"/>
      <c r="D8" s="2" t="n"/>
    </row>
    <row r="9" ht="34" customHeight="1">
      <c r="A9" s="3" t="inlineStr">
        <is>
          <t>Furniture</t>
        </is>
      </c>
      <c r="B9" s="7">
        <f>Inputs!$B$13*Inputs!$B$4</f>
        <v>100000</v>
      </c>
      <c r="C9" s="3" t="n"/>
      <c r="D9" s="3" t="n"/>
    </row>
    <row r="10" ht="34" customHeight="1">
      <c r="A10" s="2" t="inlineStr">
        <is>
          <t>Site works / utility connections</t>
        </is>
      </c>
      <c r="B10" s="12">
        <f>Inputs!$B$14</f>
        <v>80000</v>
      </c>
      <c r="C10" s="2" t="n"/>
      <c r="D10" s="2" t="n"/>
    </row>
    <row r="11" ht="34" customHeight="1">
      <c r="A11" s="4" t="inlineStr">
        <is>
          <t>Hard works subtotal</t>
        </is>
      </c>
      <c r="B11" s="5">
        <f>SUM(B5:B10)</f>
        <v>2580000</v>
      </c>
      <c r="C11" s="4" t="n"/>
      <c r="D11" s="4" t="n"/>
    </row>
    <row r="12" ht="34" customHeight="1">
      <c r="A12" s="2" t="inlineStr">
        <is>
          <t>Architect fee</t>
        </is>
      </c>
      <c r="B12" s="12">
        <f>B11*Inputs!$B$15</f>
        <v>206400.0</v>
      </c>
      <c r="C12" s="2" t="n"/>
      <c r="D12" s="2" t="n"/>
    </row>
    <row r="13" ht="34" customHeight="1">
      <c r="A13" s="3" t="inlineStr">
        <is>
          <t>Studies / permits / consultants</t>
        </is>
      </c>
      <c r="B13" s="7">
        <f>Inputs!$B$16</f>
        <v>45000</v>
      </c>
      <c r="C13" s="3" t="n"/>
      <c r="D13" s="3" t="n"/>
    </row>
    <row r="14" ht="34" customHeight="1">
      <c r="A14" s="2" t="inlineStr">
        <is>
          <t>Affordable / planning extra cost</t>
        </is>
      </c>
      <c r="B14" s="12">
        <f>Inputs!$B$36</f>
        <v>0</v>
      </c>
      <c r="C14" s="2" t="n"/>
      <c r="D14" s="2" t="n"/>
    </row>
    <row r="15" ht="34" customHeight="1">
      <c r="A15" s="3" t="inlineStr">
        <is>
          <t>Contingency</t>
        </is>
      </c>
      <c r="B15" s="7">
        <f>SUM(B11:B14)*Inputs!$B$17</f>
        <v>283140.0</v>
      </c>
      <c r="C15" s="3" t="n"/>
      <c r="D15" s="3" t="n"/>
    </row>
    <row r="16" ht="34" customHeight="1">
      <c r="A16" s="4" t="inlineStr">
        <is>
          <t>Construction budget net VAT</t>
        </is>
      </c>
      <c r="B16" s="5">
        <f>SUM(B11:B15)</f>
        <v>3114540.0</v>
      </c>
      <c r="C16" s="4" t="n"/>
      <c r="D16" s="4" t="n"/>
    </row>
    <row r="17" ht="34" customHeight="1">
      <c r="A17" s="3" t="inlineStr">
        <is>
          <t>Non-recoverable construction VAT</t>
        </is>
      </c>
      <c r="B17" s="7">
        <f>B16*Inputs!$B$18</f>
        <v>654053.4</v>
      </c>
      <c r="C17" s="3" t="n"/>
      <c r="D17" s="3" t="n"/>
    </row>
    <row r="18" ht="34" customHeight="1">
      <c r="A18" s="4" t="inlineStr">
        <is>
          <t>Construction budget gross VAT</t>
        </is>
      </c>
      <c r="B18" s="5">
        <f>B16+B17</f>
        <v>3768593.4</v>
      </c>
      <c r="C18" s="4" t="n"/>
      <c r="D18" s="4" t="n"/>
    </row>
    <row r="19" ht="34" customHeight="1">
      <c r="A19" s="4" t="inlineStr">
        <is>
          <t>Land acquisition total</t>
        </is>
      </c>
      <c r="B19" s="5">
        <f>SUM(B2:B4)</f>
        <v>920000.0</v>
      </c>
      <c r="C19" s="4" t="n"/>
      <c r="D19" s="4" t="n"/>
    </row>
    <row r="20" ht="34" customHeight="1">
      <c r="A20" s="4" t="inlineStr">
        <is>
          <t>TOTAL INITIAL DEVELOPMENT COST</t>
        </is>
      </c>
      <c r="B20" s="5">
        <f>B18+B19</f>
        <v>4688593.4</v>
      </c>
      <c r="C20" s="4" t="n"/>
      <c r="D20" s="4" t="n"/>
    </row>
    <row r="21" ht="34" customHeight="1">
      <c r="A21" s="3" t="inlineStr">
        <is>
          <t>Development cost per room</t>
        </is>
      </c>
      <c r="B21" s="7">
        <f>B20/Inputs!$B$4</f>
        <v>117214.835</v>
      </c>
      <c r="C21" s="3" t="n"/>
      <c r="D21" s="3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</cols>
  <sheetData>
    <row r="1" ht="28" customHeight="1">
      <c r="A1" s="1" t="inlineStr">
        <is>
          <t>ANNUAL CASH FLOWS | EUR, nominal</t>
        </is>
      </c>
      <c r="B1" s="1" t="inlineStr">
        <is>
          <t>t=0</t>
        </is>
      </c>
      <c r="C1" s="1" t="inlineStr">
        <is>
          <t>t=1</t>
        </is>
      </c>
      <c r="D1" s="1" t="inlineStr">
        <is>
          <t>t=2</t>
        </is>
      </c>
      <c r="E1" s="1" t="inlineStr">
        <is>
          <t>t=3</t>
        </is>
      </c>
      <c r="F1" s="1" t="inlineStr">
        <is>
          <t>t=4</t>
        </is>
      </c>
      <c r="G1" s="1" t="inlineStr">
        <is>
          <t>t=5</t>
        </is>
      </c>
      <c r="H1" s="1" t="inlineStr">
        <is>
          <t>t=6</t>
        </is>
      </c>
      <c r="I1" s="1" t="inlineStr">
        <is>
          <t>t=7</t>
        </is>
      </c>
      <c r="J1" s="1" t="inlineStr">
        <is>
          <t>t=8</t>
        </is>
      </c>
      <c r="K1" s="1" t="inlineStr">
        <is>
          <t>t=9</t>
        </is>
      </c>
      <c r="L1" s="1" t="inlineStr">
        <is>
          <t>t=10</t>
        </is>
      </c>
      <c r="M1" s="1" t="inlineStr">
        <is>
          <t>t=11</t>
        </is>
      </c>
      <c r="N1" s="1" t="inlineStr">
        <is>
          <t>t=12</t>
        </is>
      </c>
      <c r="O1" s="1" t="inlineStr">
        <is>
          <t>t=13</t>
        </is>
      </c>
      <c r="P1" s="1" t="inlineStr">
        <is>
          <t>t=14</t>
        </is>
      </c>
      <c r="Q1" s="1" t="inlineStr">
        <is>
          <t>t=15</t>
        </is>
      </c>
      <c r="R1" s="1" t="inlineStr">
        <is>
          <t>t=16</t>
        </is>
      </c>
      <c r="S1" s="1" t="inlineStr">
        <is>
          <t>t=17</t>
        </is>
      </c>
      <c r="T1" s="1" t="inlineStr">
        <is>
          <t>t=18</t>
        </is>
      </c>
      <c r="U1" s="1" t="inlineStr">
        <is>
          <t>t=19</t>
        </is>
      </c>
      <c r="V1" s="1" t="inlineStr">
        <is>
          <t>t=20</t>
        </is>
      </c>
      <c r="W1" s="1" t="inlineStr">
        <is>
          <t>t=21</t>
        </is>
      </c>
      <c r="X1" s="1" t="inlineStr">
        <is>
          <t>t=22</t>
        </is>
      </c>
      <c r="Y1" s="1" t="inlineStr">
        <is>
          <t>t=23</t>
        </is>
      </c>
      <c r="Z1" s="1" t="inlineStr">
        <is>
          <t>t=24</t>
        </is>
      </c>
      <c r="AA1" s="1" t="inlineStr">
        <is>
          <t>t=25</t>
        </is>
      </c>
      <c r="AB1" s="1" t="inlineStr">
        <is>
          <t>t=26</t>
        </is>
      </c>
      <c r="AC1" s="1" t="inlineStr">
        <is>
          <t>t=27</t>
        </is>
      </c>
      <c r="AD1" s="1" t="inlineStr">
        <is>
          <t>t=28</t>
        </is>
      </c>
      <c r="AE1" s="1" t="inlineStr">
        <is>
          <t>t=29</t>
        </is>
      </c>
      <c r="AF1" s="1" t="inlineStr">
        <is>
          <t>t=30</t>
        </is>
      </c>
      <c r="AG1" s="1" t="inlineStr">
        <is>
          <t>t=31</t>
        </is>
      </c>
    </row>
    <row r="2">
      <c r="A2" s="13" t="inlineStr">
        <is>
          <t>Time from purchase (years)</t>
        </is>
      </c>
      <c r="B2" s="14" t="n">
        <v>0</v>
      </c>
      <c r="C2" s="14" t="n">
        <v>1</v>
      </c>
      <c r="D2" s="14" t="n">
        <v>2</v>
      </c>
      <c r="E2" s="14" t="n">
        <v>3</v>
      </c>
      <c r="F2" s="14" t="n">
        <v>4</v>
      </c>
      <c r="G2" s="14" t="n">
        <v>5</v>
      </c>
      <c r="H2" s="14" t="n">
        <v>6</v>
      </c>
      <c r="I2" s="14" t="n">
        <v>7</v>
      </c>
      <c r="J2" s="14" t="n">
        <v>8</v>
      </c>
      <c r="K2" s="14" t="n">
        <v>9</v>
      </c>
      <c r="L2" s="14" t="n">
        <v>10</v>
      </c>
      <c r="M2" s="14" t="n">
        <v>11</v>
      </c>
      <c r="N2" s="14" t="n">
        <v>12</v>
      </c>
      <c r="O2" s="14" t="n">
        <v>13</v>
      </c>
      <c r="P2" s="14" t="n">
        <v>14</v>
      </c>
      <c r="Q2" s="14" t="n">
        <v>15</v>
      </c>
      <c r="R2" s="14" t="n">
        <v>16</v>
      </c>
      <c r="S2" s="14" t="n">
        <v>17</v>
      </c>
      <c r="T2" s="14" t="n">
        <v>18</v>
      </c>
      <c r="U2" s="14" t="n">
        <v>19</v>
      </c>
      <c r="V2" s="14" t="n">
        <v>20</v>
      </c>
      <c r="W2" s="14" t="n">
        <v>21</v>
      </c>
      <c r="X2" s="14" t="n">
        <v>22</v>
      </c>
      <c r="Y2" s="14" t="n">
        <v>23</v>
      </c>
      <c r="Z2" s="14" t="n">
        <v>24</v>
      </c>
      <c r="AA2" s="14" t="n">
        <v>25</v>
      </c>
      <c r="AB2" s="14" t="n">
        <v>26</v>
      </c>
      <c r="AC2" s="14" t="n">
        <v>27</v>
      </c>
      <c r="AD2" s="14" t="n">
        <v>28</v>
      </c>
      <c r="AE2" s="14" t="n">
        <v>29</v>
      </c>
      <c r="AF2" s="14" t="n">
        <v>30</v>
      </c>
      <c r="AG2" s="14" t="n">
        <v>31</v>
      </c>
    </row>
    <row r="3">
      <c r="A3" s="15" t="inlineStr">
        <is>
          <t>Operating year (0 = construction)</t>
        </is>
      </c>
      <c r="B3" s="16" t="n">
        <v>0</v>
      </c>
      <c r="C3" s="16" t="n">
        <v>0</v>
      </c>
      <c r="D3" s="16" t="n">
        <v>1</v>
      </c>
      <c r="E3" s="16" t="n">
        <v>2</v>
      </c>
      <c r="F3" s="16" t="n">
        <v>3</v>
      </c>
      <c r="G3" s="16" t="n">
        <v>4</v>
      </c>
      <c r="H3" s="16" t="n">
        <v>5</v>
      </c>
      <c r="I3" s="16" t="n">
        <v>6</v>
      </c>
      <c r="J3" s="16" t="n">
        <v>7</v>
      </c>
      <c r="K3" s="16" t="n">
        <v>8</v>
      </c>
      <c r="L3" s="16" t="n">
        <v>9</v>
      </c>
      <c r="M3" s="16" t="n">
        <v>10</v>
      </c>
      <c r="N3" s="16" t="n">
        <v>11</v>
      </c>
      <c r="O3" s="16" t="n">
        <v>12</v>
      </c>
      <c r="P3" s="16" t="n">
        <v>13</v>
      </c>
      <c r="Q3" s="16" t="n">
        <v>14</v>
      </c>
      <c r="R3" s="16" t="n">
        <v>15</v>
      </c>
      <c r="S3" s="16" t="n">
        <v>16</v>
      </c>
      <c r="T3" s="16" t="n">
        <v>17</v>
      </c>
      <c r="U3" s="16" t="n">
        <v>18</v>
      </c>
      <c r="V3" s="16" t="n">
        <v>19</v>
      </c>
      <c r="W3" s="16" t="n">
        <v>20</v>
      </c>
      <c r="X3" s="16" t="n">
        <v>21</v>
      </c>
      <c r="Y3" s="16" t="n">
        <v>22</v>
      </c>
      <c r="Z3" s="16" t="n">
        <v>23</v>
      </c>
      <c r="AA3" s="16" t="n">
        <v>24</v>
      </c>
      <c r="AB3" s="16" t="n">
        <v>25</v>
      </c>
      <c r="AC3" s="16" t="n">
        <v>26</v>
      </c>
      <c r="AD3" s="16" t="n">
        <v>27</v>
      </c>
      <c r="AE3" s="16" t="n">
        <v>28</v>
      </c>
      <c r="AF3" s="16" t="n">
        <v>29</v>
      </c>
      <c r="AG3" s="16" t="n">
        <v>30</v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</row>
    <row r="5">
      <c r="A5" s="15" t="inlineStr">
        <is>
          <t>Land acquisition</t>
        </is>
      </c>
      <c r="B5" s="17">
        <f> -Development!$B$19</f>
        <v>-920000.0</v>
      </c>
      <c r="C5" s="17">
        <f>0</f>
        <v>0</v>
      </c>
      <c r="D5" s="17">
        <f>0</f>
        <v>0</v>
      </c>
      <c r="E5" s="17">
        <f>0</f>
        <v>0</v>
      </c>
      <c r="F5" s="17">
        <f>0</f>
        <v>0</v>
      </c>
      <c r="G5" s="17">
        <f>0</f>
        <v>0</v>
      </c>
      <c r="H5" s="17">
        <f>0</f>
        <v>0</v>
      </c>
      <c r="I5" s="17">
        <f>0</f>
        <v>0</v>
      </c>
      <c r="J5" s="17">
        <f>0</f>
        <v>0</v>
      </c>
      <c r="K5" s="17">
        <f>0</f>
        <v>0</v>
      </c>
      <c r="L5" s="17">
        <f>0</f>
        <v>0</v>
      </c>
      <c r="M5" s="17">
        <f>0</f>
        <v>0</v>
      </c>
      <c r="N5" s="17">
        <f>0</f>
        <v>0</v>
      </c>
      <c r="O5" s="17">
        <f>0</f>
        <v>0</v>
      </c>
      <c r="P5" s="17">
        <f>0</f>
        <v>0</v>
      </c>
      <c r="Q5" s="17">
        <f>0</f>
        <v>0</v>
      </c>
      <c r="R5" s="17">
        <f>0</f>
        <v>0</v>
      </c>
      <c r="S5" s="17">
        <f>0</f>
        <v>0</v>
      </c>
      <c r="T5" s="17">
        <f>0</f>
        <v>0</v>
      </c>
      <c r="U5" s="17">
        <f>0</f>
        <v>0</v>
      </c>
      <c r="V5" s="17">
        <f>0</f>
        <v>0</v>
      </c>
      <c r="W5" s="17">
        <f>0</f>
        <v>0</v>
      </c>
      <c r="X5" s="17">
        <f>0</f>
        <v>0</v>
      </c>
      <c r="Y5" s="17">
        <f>0</f>
        <v>0</v>
      </c>
      <c r="Z5" s="17">
        <f>0</f>
        <v>0</v>
      </c>
      <c r="AA5" s="17">
        <f>0</f>
        <v>0</v>
      </c>
      <c r="AB5" s="17">
        <f>0</f>
        <v>0</v>
      </c>
      <c r="AC5" s="17">
        <f>0</f>
        <v>0</v>
      </c>
      <c r="AD5" s="17">
        <f>0</f>
        <v>0</v>
      </c>
      <c r="AE5" s="17">
        <f>0</f>
        <v>0</v>
      </c>
      <c r="AF5" s="17">
        <f>0</f>
        <v>0</v>
      </c>
      <c r="AG5" s="17">
        <f>0</f>
        <v>0</v>
      </c>
    </row>
    <row r="6">
      <c r="A6" s="13" t="inlineStr">
        <is>
          <t>Construction spending</t>
        </is>
      </c>
      <c r="B6" s="18">
        <f>-Development!$B$18*Inputs!$B$37</f>
        <v>-1884296.7</v>
      </c>
      <c r="C6" s="18">
        <f>-Development!$B$18*(1-Inputs!$B$37)</f>
        <v>-1884296.7</v>
      </c>
      <c r="D6" s="18">
        <f>0</f>
        <v>0</v>
      </c>
      <c r="E6" s="18">
        <f>0</f>
        <v>0</v>
      </c>
      <c r="F6" s="18">
        <f>0</f>
        <v>0</v>
      </c>
      <c r="G6" s="18">
        <f>0</f>
        <v>0</v>
      </c>
      <c r="H6" s="18">
        <f>0</f>
        <v>0</v>
      </c>
      <c r="I6" s="18">
        <f>0</f>
        <v>0</v>
      </c>
      <c r="J6" s="18">
        <f>0</f>
        <v>0</v>
      </c>
      <c r="K6" s="18">
        <f>0</f>
        <v>0</v>
      </c>
      <c r="L6" s="18">
        <f>0</f>
        <v>0</v>
      </c>
      <c r="M6" s="18">
        <f>0</f>
        <v>0</v>
      </c>
      <c r="N6" s="18">
        <f>0</f>
        <v>0</v>
      </c>
      <c r="O6" s="18">
        <f>0</f>
        <v>0</v>
      </c>
      <c r="P6" s="18">
        <f>0</f>
        <v>0</v>
      </c>
      <c r="Q6" s="18">
        <f>0</f>
        <v>0</v>
      </c>
      <c r="R6" s="18">
        <f>0</f>
        <v>0</v>
      </c>
      <c r="S6" s="18">
        <f>0</f>
        <v>0</v>
      </c>
      <c r="T6" s="18">
        <f>0</f>
        <v>0</v>
      </c>
      <c r="U6" s="18">
        <f>0</f>
        <v>0</v>
      </c>
      <c r="V6" s="18">
        <f>0</f>
        <v>0</v>
      </c>
      <c r="W6" s="18">
        <f>0</f>
        <v>0</v>
      </c>
      <c r="X6" s="18">
        <f>0</f>
        <v>0</v>
      </c>
      <c r="Y6" s="18">
        <f>0</f>
        <v>0</v>
      </c>
      <c r="Z6" s="18">
        <f>0</f>
        <v>0</v>
      </c>
      <c r="AA6" s="18">
        <f>0</f>
        <v>0</v>
      </c>
      <c r="AB6" s="18">
        <f>0</f>
        <v>0</v>
      </c>
      <c r="AC6" s="18">
        <f>0</f>
        <v>0</v>
      </c>
      <c r="AD6" s="18">
        <f>0</f>
        <v>0</v>
      </c>
      <c r="AE6" s="18">
        <f>0</f>
        <v>0</v>
      </c>
      <c r="AF6" s="18">
        <f>0</f>
        <v>0</v>
      </c>
      <c r="AG6" s="18">
        <f>0</f>
        <v>0</v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</row>
    <row r="8">
      <c r="A8" s="13" t="inlineStr">
        <is>
          <t>Collected rental income</t>
        </is>
      </c>
      <c r="B8" s="18">
        <f>IF(B$3=0,0,Inputs!$B$4*12*Inputs!$B$20*(1-Inputs!$B$19*Inputs!$B$21 )*Inputs!$B$22*(1+Inputs!$B$23)^(B$3-1))</f>
        <v>0</v>
      </c>
      <c r="C8" s="18">
        <f>IF(C$3=0,0,Inputs!$B$4*12*Inputs!$B$20*(1-Inputs!$B$19*Inputs!$B$21 )*Inputs!$B$22*(1+Inputs!$B$23)^(C$3-1))</f>
        <v>0</v>
      </c>
      <c r="D8" s="18">
        <f>IF(D$3=0,0,Inputs!$B$4*12*Inputs!$B$20*(1-Inputs!$B$19*Inputs!$B$21 )*Inputs!$B$22*(1+Inputs!$B$23)^(D$3-1))</f>
        <v>342000.0</v>
      </c>
      <c r="E8" s="18">
        <f>IF(E$3=0,0,Inputs!$B$4*12*Inputs!$B$20*(1-Inputs!$B$19*Inputs!$B$21 )*Inputs!$B$22*(1+Inputs!$B$23)^(E$3-1))</f>
        <v>348840.0</v>
      </c>
      <c r="F8" s="18">
        <f>IF(F$3=0,0,Inputs!$B$4*12*Inputs!$B$20*(1-Inputs!$B$19*Inputs!$B$21 )*Inputs!$B$22*(1+Inputs!$B$23)^(F$3-1))</f>
        <v>355816.8</v>
      </c>
      <c r="G8" s="18">
        <f>IF(G$3=0,0,Inputs!$B$4*12*Inputs!$B$20*(1-Inputs!$B$19*Inputs!$B$21 )*Inputs!$B$22*(1+Inputs!$B$23)^(G$3-1))</f>
        <v>362933.13600000006</v>
      </c>
      <c r="H8" s="18">
        <f>IF(H$3=0,0,Inputs!$B$4*12*Inputs!$B$20*(1-Inputs!$B$19*Inputs!$B$21 )*Inputs!$B$22*(1+Inputs!$B$23)^(H$3-1))</f>
        <v>370191.79872</v>
      </c>
      <c r="I8" s="18">
        <f>IF(I$3=0,0,Inputs!$B$4*12*Inputs!$B$20*(1-Inputs!$B$19*Inputs!$B$21 )*Inputs!$B$22*(1+Inputs!$B$23)^(I$3-1))</f>
        <v>377595.6346944</v>
      </c>
      <c r="J8" s="18">
        <f>IF(J$3=0,0,Inputs!$B$4*12*Inputs!$B$20*(1-Inputs!$B$19*Inputs!$B$21 )*Inputs!$B$22*(1+Inputs!$B$23)^(J$3-1))</f>
        <v>385147.547388288</v>
      </c>
      <c r="K8" s="18">
        <f>IF(K$3=0,0,Inputs!$B$4*12*Inputs!$B$20*(1-Inputs!$B$19*Inputs!$B$21 )*Inputs!$B$22*(1+Inputs!$B$23)^(K$3-1))</f>
        <v>392850.4983360538</v>
      </c>
      <c r="L8" s="18">
        <f>IF(L$3=0,0,Inputs!$B$4*12*Inputs!$B$20*(1-Inputs!$B$19*Inputs!$B$21 )*Inputs!$B$22*(1+Inputs!$B$23)^(L$3-1))</f>
        <v>400707.50830277486</v>
      </c>
      <c r="M8" s="18">
        <f>IF(M$3=0,0,Inputs!$B$4*12*Inputs!$B$20*(1-Inputs!$B$19*Inputs!$B$21 )*Inputs!$B$22*(1+Inputs!$B$23)^(M$3-1))</f>
        <v>408721.6584688304</v>
      </c>
      <c r="N8" s="18">
        <f>IF(N$3=0,0,Inputs!$B$4*12*Inputs!$B$20*(1-Inputs!$B$19*Inputs!$B$21 )*Inputs!$B$22*(1+Inputs!$B$23)^(N$3-1))</f>
        <v>416896.091638207</v>
      </c>
      <c r="O8" s="18">
        <f>IF(O$3=0,0,Inputs!$B$4*12*Inputs!$B$20*(1-Inputs!$B$19*Inputs!$B$21 )*Inputs!$B$22*(1+Inputs!$B$23)^(O$3-1))</f>
        <v>425234.01347097114</v>
      </c>
      <c r="P8" s="18">
        <f>IF(P$3=0,0,Inputs!$B$4*12*Inputs!$B$20*(1-Inputs!$B$19*Inputs!$B$21 )*Inputs!$B$22*(1+Inputs!$B$23)^(P$3-1))</f>
        <v>433738.69374039053</v>
      </c>
      <c r="Q8" s="18">
        <f>IF(Q$3=0,0,Inputs!$B$4*12*Inputs!$B$20*(1-Inputs!$B$19*Inputs!$B$21 )*Inputs!$B$22*(1+Inputs!$B$23)^(Q$3-1))</f>
        <v>442413.4676151984</v>
      </c>
      <c r="R8" s="18">
        <f>IF(R$3=0,0,Inputs!$B$4*12*Inputs!$B$20*(1-Inputs!$B$19*Inputs!$B$21 )*Inputs!$B$22*(1+Inputs!$B$23)^(R$3-1))</f>
        <v>451261.73696750234</v>
      </c>
      <c r="S8" s="18">
        <f>IF(S$3=0,0,Inputs!$B$4*12*Inputs!$B$20*(1-Inputs!$B$19*Inputs!$B$21 )*Inputs!$B$22*(1+Inputs!$B$23)^(S$3-1))</f>
        <v>460286.97170685243</v>
      </c>
      <c r="T8" s="18">
        <f>IF(T$3=0,0,Inputs!$B$4*12*Inputs!$B$20*(1-Inputs!$B$19*Inputs!$B$21 )*Inputs!$B$22*(1+Inputs!$B$23)^(T$3-1))</f>
        <v>469492.71114098944</v>
      </c>
      <c r="U8" s="18">
        <f>IF(U$3=0,0,Inputs!$B$4*12*Inputs!$B$20*(1-Inputs!$B$19*Inputs!$B$21 )*Inputs!$B$22*(1+Inputs!$B$23)^(U$3-1))</f>
        <v>478882.5653638093</v>
      </c>
      <c r="V8" s="18">
        <f>IF(V$3=0,0,Inputs!$B$4*12*Inputs!$B$20*(1-Inputs!$B$19*Inputs!$B$21 )*Inputs!$B$22*(1+Inputs!$B$23)^(V$3-1))</f>
        <v>488460.2166710855</v>
      </c>
      <c r="W8" s="18">
        <f>IF(W$3=0,0,Inputs!$B$4*12*Inputs!$B$20*(1-Inputs!$B$19*Inputs!$B$21 )*Inputs!$B$22*(1+Inputs!$B$23)^(W$3-1))</f>
        <v>498229.42100450717</v>
      </c>
      <c r="X8" s="18">
        <f>IF(X$3=0,0,Inputs!$B$4*12*Inputs!$B$20*(1-Inputs!$B$19*Inputs!$B$21 )*Inputs!$B$22*(1+Inputs!$B$23)^(X$3-1))</f>
        <v>508194.0094245974</v>
      </c>
      <c r="Y8" s="18">
        <f>IF(Y$3=0,0,Inputs!$B$4*12*Inputs!$B$20*(1-Inputs!$B$19*Inputs!$B$21 )*Inputs!$B$22*(1+Inputs!$B$23)^(Y$3-1))</f>
        <v>518357.88961308927</v>
      </c>
      <c r="Z8" s="18">
        <f>IF(Z$3=0,0,Inputs!$B$4*12*Inputs!$B$20*(1-Inputs!$B$19*Inputs!$B$21 )*Inputs!$B$22*(1+Inputs!$B$23)^(Z$3-1))</f>
        <v>528725.0474053511</v>
      </c>
      <c r="AA8" s="18">
        <f>IF(AA$3=0,0,Inputs!$B$4*12*Inputs!$B$20*(1-Inputs!$B$19*Inputs!$B$21 )*Inputs!$B$22*(1+Inputs!$B$23)^(AA$3-1))</f>
        <v>539299.5483534582</v>
      </c>
      <c r="AB8" s="18">
        <f>IF(AB$3=0,0,Inputs!$B$4*12*Inputs!$B$20*(1-Inputs!$B$19*Inputs!$B$21 )*Inputs!$B$22*(1+Inputs!$B$23)^(AB$3-1))</f>
        <v>550085.5393205273</v>
      </c>
      <c r="AC8" s="18">
        <f>IF(AC$3=0,0,Inputs!$B$4*12*Inputs!$B$20*(1-Inputs!$B$19*Inputs!$B$21 )*Inputs!$B$22*(1+Inputs!$B$23)^(AC$3-1))</f>
        <v>561087.2501069378</v>
      </c>
      <c r="AD8" s="18">
        <f>IF(AD$3=0,0,Inputs!$B$4*12*Inputs!$B$20*(1-Inputs!$B$19*Inputs!$B$21 )*Inputs!$B$22*(1+Inputs!$B$23)^(AD$3-1))</f>
        <v>572308.9951090766</v>
      </c>
      <c r="AE8" s="18">
        <f>IF(AE$3=0,0,Inputs!$B$4*12*Inputs!$B$20*(1-Inputs!$B$19*Inputs!$B$21 )*Inputs!$B$22*(1+Inputs!$B$23)^(AE$3-1))</f>
        <v>583755.1750112582</v>
      </c>
      <c r="AF8" s="18">
        <f>IF(AF$3=0,0,Inputs!$B$4*12*Inputs!$B$20*(1-Inputs!$B$19*Inputs!$B$21 )*Inputs!$B$22*(1+Inputs!$B$23)^(AF$3-1))</f>
        <v>595430.2785114833</v>
      </c>
      <c r="AG8" s="18">
        <f>IF(AG$3=0,0,Inputs!$B$4*12*Inputs!$B$20*(1-Inputs!$B$19*Inputs!$B$21 )*Inputs!$B$22*(1+Inputs!$B$23)^(AG$3-1))</f>
        <v>607338.884081713</v>
      </c>
    </row>
    <row r="9">
      <c r="A9" s="15" t="inlineStr">
        <is>
          <t>Maintenance / repairs</t>
        </is>
      </c>
      <c r="B9" s="17">
        <f>-B8*Inputs!$B$24</f>
        <v>-0.0</v>
      </c>
      <c r="C9" s="17">
        <f>-C8*Inputs!$B$24</f>
        <v>-0.0</v>
      </c>
      <c r="D9" s="17">
        <f>-D8*Inputs!$B$24</f>
        <v>-20520.0</v>
      </c>
      <c r="E9" s="17">
        <f>-E8*Inputs!$B$24</f>
        <v>-20930.399999999998</v>
      </c>
      <c r="F9" s="17">
        <f>-F8*Inputs!$B$24</f>
        <v>-21349.007999999998</v>
      </c>
      <c r="G9" s="17">
        <f>-G8*Inputs!$B$24</f>
        <v>-21775.98816</v>
      </c>
      <c r="H9" s="17">
        <f>-H8*Inputs!$B$24</f>
        <v>-22211.5079232</v>
      </c>
      <c r="I9" s="17">
        <f>-I8*Inputs!$B$24</f>
        <v>-22655.738081664</v>
      </c>
      <c r="J9" s="17">
        <f>-J8*Inputs!$B$24</f>
        <v>-23108.85284329728</v>
      </c>
      <c r="K9" s="17">
        <f>-K8*Inputs!$B$24</f>
        <v>-23571.029900163227</v>
      </c>
      <c r="L9" s="17">
        <f>-L8*Inputs!$B$24</f>
        <v>-24042.45049816649</v>
      </c>
      <c r="M9" s="17">
        <f>-M8*Inputs!$B$24</f>
        <v>-24523.29950812982</v>
      </c>
      <c r="N9" s="17">
        <f>-N8*Inputs!$B$24</f>
        <v>-25013.76549829242</v>
      </c>
      <c r="O9" s="17">
        <f>-O8*Inputs!$B$24</f>
        <v>-25514.04080825827</v>
      </c>
      <c r="P9" s="17">
        <f>-P8*Inputs!$B$24</f>
        <v>-26024.32162442343</v>
      </c>
      <c r="Q9" s="17">
        <f>-Q8*Inputs!$B$24</f>
        <v>-26544.808056911905</v>
      </c>
      <c r="R9" s="17">
        <f>-R8*Inputs!$B$24</f>
        <v>-27075.704218050138</v>
      </c>
      <c r="S9" s="17">
        <f>-S8*Inputs!$B$24</f>
        <v>-27617.218302411144</v>
      </c>
      <c r="T9" s="17">
        <f>-T8*Inputs!$B$24</f>
        <v>-28169.562668459366</v>
      </c>
      <c r="U9" s="17">
        <f>-U8*Inputs!$B$24</f>
        <v>-28732.953921828557</v>
      </c>
      <c r="V9" s="17">
        <f>-V8*Inputs!$B$24</f>
        <v>-29307.61300026513</v>
      </c>
      <c r="W9" s="17">
        <f>-W8*Inputs!$B$24</f>
        <v>-29893.76526027043</v>
      </c>
      <c r="X9" s="17">
        <f>-X8*Inputs!$B$24</f>
        <v>-30491.640565475842</v>
      </c>
      <c r="Y9" s="17">
        <f>-Y8*Inputs!$B$24</f>
        <v>-31101.473376785354</v>
      </c>
      <c r="Z9" s="17">
        <f>-Z8*Inputs!$B$24</f>
        <v>-31723.50284432106</v>
      </c>
      <c r="AA9" s="17">
        <f>-AA8*Inputs!$B$24</f>
        <v>-32357.97290120749</v>
      </c>
      <c r="AB9" s="17">
        <f>-AB8*Inputs!$B$24</f>
        <v>-33005.13235923164</v>
      </c>
      <c r="AC9" s="17">
        <f>-AC8*Inputs!$B$24</f>
        <v>-33665.23500641627</v>
      </c>
      <c r="AD9" s="17">
        <f>-AD8*Inputs!$B$24</f>
        <v>-34338.539706544594</v>
      </c>
      <c r="AE9" s="17">
        <f>-AE8*Inputs!$B$24</f>
        <v>-35025.31050067549</v>
      </c>
      <c r="AF9" s="17">
        <f>-AF8*Inputs!$B$24</f>
        <v>-35725.816710688996</v>
      </c>
      <c r="AG9" s="17">
        <f>-AG8*Inputs!$B$24</f>
        <v>-36440.33304490278</v>
      </c>
    </row>
    <row r="10">
      <c r="A10" s="13" t="inlineStr">
        <is>
          <t>Management</t>
        </is>
      </c>
      <c r="B10" s="18">
        <f>-B8*Inputs!$B$25</f>
        <v>-0.0</v>
      </c>
      <c r="C10" s="18">
        <f>-C8*Inputs!$B$25</f>
        <v>-0.0</v>
      </c>
      <c r="D10" s="18">
        <f>-D8*Inputs!$B$25</f>
        <v>-17100.0</v>
      </c>
      <c r="E10" s="18">
        <f>-E8*Inputs!$B$25</f>
        <v>-17442.0</v>
      </c>
      <c r="F10" s="18">
        <f>-F8*Inputs!$B$25</f>
        <v>-17790.84</v>
      </c>
      <c r="G10" s="18">
        <f>-G8*Inputs!$B$25</f>
        <v>-18146.656800000004</v>
      </c>
      <c r="H10" s="18">
        <f>-H8*Inputs!$B$25</f>
        <v>-18509.589936</v>
      </c>
      <c r="I10" s="18">
        <f>-I8*Inputs!$B$25</f>
        <v>-18879.78173472</v>
      </c>
      <c r="J10" s="18">
        <f>-J8*Inputs!$B$25</f>
        <v>-19257.3773694144</v>
      </c>
      <c r="K10" s="18">
        <f>-K8*Inputs!$B$25</f>
        <v>-19642.52491680269</v>
      </c>
      <c r="L10" s="18">
        <f>-L8*Inputs!$B$25</f>
        <v>-20035.375415138744</v>
      </c>
      <c r="M10" s="18">
        <f>-M8*Inputs!$B$25</f>
        <v>-20436.08292344152</v>
      </c>
      <c r="N10" s="18">
        <f>-N8*Inputs!$B$25</f>
        <v>-20844.804581910354</v>
      </c>
      <c r="O10" s="18">
        <f>-O8*Inputs!$B$25</f>
        <v>-21261.70067354856</v>
      </c>
      <c r="P10" s="18">
        <f>-P8*Inputs!$B$25</f>
        <v>-21686.93468701953</v>
      </c>
      <c r="Q10" s="18">
        <f>-Q8*Inputs!$B$25</f>
        <v>-22120.673380759923</v>
      </c>
      <c r="R10" s="18">
        <f>-R8*Inputs!$B$25</f>
        <v>-22563.08684837512</v>
      </c>
      <c r="S10" s="18">
        <f>-S8*Inputs!$B$25</f>
        <v>-23014.348585342625</v>
      </c>
      <c r="T10" s="18">
        <f>-T8*Inputs!$B$25</f>
        <v>-23474.635557049474</v>
      </c>
      <c r="U10" s="18">
        <f>-U8*Inputs!$B$25</f>
        <v>-23944.128268190467</v>
      </c>
      <c r="V10" s="18">
        <f>-V8*Inputs!$B$25</f>
        <v>-24423.010833554275</v>
      </c>
      <c r="W10" s="18">
        <f>-W8*Inputs!$B$25</f>
        <v>-24911.47105022536</v>
      </c>
      <c r="X10" s="18">
        <f>-X8*Inputs!$B$25</f>
        <v>-25409.70047122987</v>
      </c>
      <c r="Y10" s="18">
        <f>-Y8*Inputs!$B$25</f>
        <v>-25917.894480654464</v>
      </c>
      <c r="Z10" s="18">
        <f>-Z8*Inputs!$B$25</f>
        <v>-26436.252370267553</v>
      </c>
      <c r="AA10" s="18">
        <f>-AA8*Inputs!$B$25</f>
        <v>-26964.97741767291</v>
      </c>
      <c r="AB10" s="18">
        <f>-AB8*Inputs!$B$25</f>
        <v>-27504.27696602637</v>
      </c>
      <c r="AC10" s="18">
        <f>-AC8*Inputs!$B$25</f>
        <v>-28054.362505346893</v>
      </c>
      <c r="AD10" s="18">
        <f>-AD8*Inputs!$B$25</f>
        <v>-28615.449755453832</v>
      </c>
      <c r="AE10" s="18">
        <f>-AE8*Inputs!$B$25</f>
        <v>-29187.758750562913</v>
      </c>
      <c r="AF10" s="18">
        <f>-AF8*Inputs!$B$25</f>
        <v>-29771.513925574167</v>
      </c>
      <c r="AG10" s="18">
        <f>-AG8*Inputs!$B$25</f>
        <v>-30366.944204085652</v>
      </c>
    </row>
    <row r="11">
      <c r="A11" s="15" t="inlineStr">
        <is>
          <t>Insurance</t>
        </is>
      </c>
      <c r="B11" s="17">
        <f>IF(B$3=0,0,-Inputs!$B$26*(1+Inputs!$B$30)^(B$3-1))</f>
        <v>0</v>
      </c>
      <c r="C11" s="17">
        <f>IF(C$3=0,0,-Inputs!$B$26*(1+Inputs!$B$30)^(C$3-1))</f>
        <v>0</v>
      </c>
      <c r="D11" s="17">
        <f>IF(D$3=0,0,-Inputs!$B$26*(1+Inputs!$B$30)^(D$3-1))</f>
        <v>-6000.0</v>
      </c>
      <c r="E11" s="17">
        <f>IF(E$3=0,0,-Inputs!$B$26*(1+Inputs!$B$30)^(E$3-1))</f>
        <v>-6120.0</v>
      </c>
      <c r="F11" s="17">
        <f>IF(F$3=0,0,-Inputs!$B$26*(1+Inputs!$B$30)^(F$3-1))</f>
        <v>-6242.4</v>
      </c>
      <c r="G11" s="17">
        <f>IF(G$3=0,0,-Inputs!$B$26*(1+Inputs!$B$30)^(G$3-1))</f>
        <v>-6367.2480000000005</v>
      </c>
      <c r="H11" s="17">
        <f>IF(H$3=0,0,-Inputs!$B$26*(1+Inputs!$B$30)^(H$3-1))</f>
        <v>-6494.59296</v>
      </c>
      <c r="I11" s="17">
        <f>IF(I$3=0,0,-Inputs!$B$26*(1+Inputs!$B$30)^(I$3-1))</f>
        <v>-6624.4848192</v>
      </c>
      <c r="J11" s="17">
        <f>IF(J$3=0,0,-Inputs!$B$26*(1+Inputs!$B$30)^(J$3-1))</f>
        <v>-6756.974515584</v>
      </c>
      <c r="K11" s="17">
        <f>IF(K$3=0,0,-Inputs!$B$26*(1+Inputs!$B$30)^(K$3-1))</f>
        <v>-6892.11400589568</v>
      </c>
      <c r="L11" s="17">
        <f>IF(L$3=0,0,-Inputs!$B$26*(1+Inputs!$B$30)^(L$3-1))</f>
        <v>-7029.956286013595</v>
      </c>
      <c r="M11" s="17">
        <f>IF(M$3=0,0,-Inputs!$B$26*(1+Inputs!$B$30)^(M$3-1))</f>
        <v>-7170.555411733866</v>
      </c>
      <c r="N11" s="17">
        <f>IF(N$3=0,0,-Inputs!$B$26*(1+Inputs!$B$30)^(N$3-1))</f>
        <v>-7313.966519968544</v>
      </c>
      <c r="O11" s="17">
        <f>IF(O$3=0,0,-Inputs!$B$26*(1+Inputs!$B$30)^(O$3-1))</f>
        <v>-7460.2458503679145</v>
      </c>
      <c r="P11" s="17">
        <f>IF(P$3=0,0,-Inputs!$B$26*(1+Inputs!$B$30)^(P$3-1))</f>
        <v>-7609.450767375273</v>
      </c>
      <c r="Q11" s="17">
        <f>IF(Q$3=0,0,-Inputs!$B$26*(1+Inputs!$B$30)^(Q$3-1))</f>
        <v>-7761.639782722779</v>
      </c>
      <c r="R11" s="17">
        <f>IF(R$3=0,0,-Inputs!$B$26*(1+Inputs!$B$30)^(R$3-1))</f>
        <v>-7916.872578377234</v>
      </c>
      <c r="S11" s="17">
        <f>IF(S$3=0,0,-Inputs!$B$26*(1+Inputs!$B$30)^(S$3-1))</f>
        <v>-8075.210029944779</v>
      </c>
      <c r="T11" s="17">
        <f>IF(T$3=0,0,-Inputs!$B$26*(1+Inputs!$B$30)^(T$3-1))</f>
        <v>-8236.714230543676</v>
      </c>
      <c r="U11" s="17">
        <f>IF(U$3=0,0,-Inputs!$B$26*(1+Inputs!$B$30)^(U$3-1))</f>
        <v>-8401.448515154549</v>
      </c>
      <c r="V11" s="17">
        <f>IF(V$3=0,0,-Inputs!$B$26*(1+Inputs!$B$30)^(V$3-1))</f>
        <v>-8569.47748545764</v>
      </c>
      <c r="W11" s="17">
        <f>IF(W$3=0,0,-Inputs!$B$26*(1+Inputs!$B$30)^(W$3-1))</f>
        <v>-8740.867035166793</v>
      </c>
      <c r="X11" s="17">
        <f>IF(X$3=0,0,-Inputs!$B$26*(1+Inputs!$B$30)^(X$3-1))</f>
        <v>-8915.684375870129</v>
      </c>
      <c r="Y11" s="17">
        <f>IF(Y$3=0,0,-Inputs!$B$26*(1+Inputs!$B$30)^(Y$3-1))</f>
        <v>-9093.998063387531</v>
      </c>
      <c r="Z11" s="17">
        <f>IF(Z$3=0,0,-Inputs!$B$26*(1+Inputs!$B$30)^(Z$3-1))</f>
        <v>-9275.878024655281</v>
      </c>
      <c r="AA11" s="17">
        <f>IF(AA$3=0,0,-Inputs!$B$26*(1+Inputs!$B$30)^(AA$3-1))</f>
        <v>-9461.39558514839</v>
      </c>
      <c r="AB11" s="17">
        <f>IF(AB$3=0,0,-Inputs!$B$26*(1+Inputs!$B$30)^(AB$3-1))</f>
        <v>-9650.623496851356</v>
      </c>
      <c r="AC11" s="17">
        <f>IF(AC$3=0,0,-Inputs!$B$26*(1+Inputs!$B$30)^(AC$3-1))</f>
        <v>-9843.635966788384</v>
      </c>
      <c r="AD11" s="17">
        <f>IF(AD$3=0,0,-Inputs!$B$26*(1+Inputs!$B$30)^(AD$3-1))</f>
        <v>-10040.50868612415</v>
      </c>
      <c r="AE11" s="17">
        <f>IF(AE$3=0,0,-Inputs!$B$26*(1+Inputs!$B$30)^(AE$3-1))</f>
        <v>-10241.318859846635</v>
      </c>
      <c r="AF11" s="17">
        <f>IF(AF$3=0,0,-Inputs!$B$26*(1+Inputs!$B$30)^(AF$3-1))</f>
        <v>-10446.145237043569</v>
      </c>
      <c r="AG11" s="17">
        <f>IF(AG$3=0,0,-Inputs!$B$26*(1+Inputs!$B$30)^(AG$3-1))</f>
        <v>-10655.068141784439</v>
      </c>
    </row>
    <row r="12">
      <c r="A12" s="13" t="inlineStr">
        <is>
          <t>Property tax</t>
        </is>
      </c>
      <c r="B12" s="18">
        <f>IF(B$3=0,0,-Inputs!$B$27*(1+Inputs!$B$30)^(B$3-1))</f>
        <v>0</v>
      </c>
      <c r="C12" s="18">
        <f>IF(C$3=0,0,-Inputs!$B$27*(1+Inputs!$B$30)^(C$3-1))</f>
        <v>0</v>
      </c>
      <c r="D12" s="18">
        <f>IF(D$3=0,0,-Inputs!$B$27*(1+Inputs!$B$30)^(D$3-1))</f>
        <v>-10000.0</v>
      </c>
      <c r="E12" s="18">
        <f>IF(E$3=0,0,-Inputs!$B$27*(1+Inputs!$B$30)^(E$3-1))</f>
        <v>-10200.0</v>
      </c>
      <c r="F12" s="18">
        <f>IF(F$3=0,0,-Inputs!$B$27*(1+Inputs!$B$30)^(F$3-1))</f>
        <v>-10404.0</v>
      </c>
      <c r="G12" s="18">
        <f>IF(G$3=0,0,-Inputs!$B$27*(1+Inputs!$B$30)^(G$3-1))</f>
        <v>-10612.080000000002</v>
      </c>
      <c r="H12" s="18">
        <f>IF(H$3=0,0,-Inputs!$B$27*(1+Inputs!$B$30)^(H$3-1))</f>
        <v>-10824.3216</v>
      </c>
      <c r="I12" s="18">
        <f>IF(I$3=0,0,-Inputs!$B$27*(1+Inputs!$B$30)^(I$3-1))</f>
        <v>-11040.808032</v>
      </c>
      <c r="J12" s="18">
        <f>IF(J$3=0,0,-Inputs!$B$27*(1+Inputs!$B$30)^(J$3-1))</f>
        <v>-11261.62419264</v>
      </c>
      <c r="K12" s="18">
        <f>IF(K$3=0,0,-Inputs!$B$27*(1+Inputs!$B$30)^(K$3-1))</f>
        <v>-11486.8566764928</v>
      </c>
      <c r="L12" s="18">
        <f>IF(L$3=0,0,-Inputs!$B$27*(1+Inputs!$B$30)^(L$3-1))</f>
        <v>-11716.593810022658</v>
      </c>
      <c r="M12" s="18">
        <f>IF(M$3=0,0,-Inputs!$B$27*(1+Inputs!$B$30)^(M$3-1))</f>
        <v>-11950.92568622311</v>
      </c>
      <c r="N12" s="18">
        <f>IF(N$3=0,0,-Inputs!$B$27*(1+Inputs!$B$30)^(N$3-1))</f>
        <v>-12189.944199947573</v>
      </c>
      <c r="O12" s="18">
        <f>IF(O$3=0,0,-Inputs!$B$27*(1+Inputs!$B$30)^(O$3-1))</f>
        <v>-12433.743083946525</v>
      </c>
      <c r="P12" s="18">
        <f>IF(P$3=0,0,-Inputs!$B$27*(1+Inputs!$B$30)^(P$3-1))</f>
        <v>-12682.417945625455</v>
      </c>
      <c r="Q12" s="18">
        <f>IF(Q$3=0,0,-Inputs!$B$27*(1+Inputs!$B$30)^(Q$3-1))</f>
        <v>-12936.066304537966</v>
      </c>
      <c r="R12" s="18">
        <f>IF(R$3=0,0,-Inputs!$B$27*(1+Inputs!$B$30)^(R$3-1))</f>
        <v>-13194.787630628723</v>
      </c>
      <c r="S12" s="18">
        <f>IF(S$3=0,0,-Inputs!$B$27*(1+Inputs!$B$30)^(S$3-1))</f>
        <v>-13458.6833832413</v>
      </c>
      <c r="T12" s="18">
        <f>IF(T$3=0,0,-Inputs!$B$27*(1+Inputs!$B$30)^(T$3-1))</f>
        <v>-13727.857050906125</v>
      </c>
      <c r="U12" s="18">
        <f>IF(U$3=0,0,-Inputs!$B$27*(1+Inputs!$B$30)^(U$3-1))</f>
        <v>-14002.414191924248</v>
      </c>
      <c r="V12" s="18">
        <f>IF(V$3=0,0,-Inputs!$B$27*(1+Inputs!$B$30)^(V$3-1))</f>
        <v>-14282.462475762733</v>
      </c>
      <c r="W12" s="18">
        <f>IF(W$3=0,0,-Inputs!$B$27*(1+Inputs!$B$30)^(W$3-1))</f>
        <v>-14568.111725277988</v>
      </c>
      <c r="X12" s="18">
        <f>IF(X$3=0,0,-Inputs!$B$27*(1+Inputs!$B$30)^(X$3-1))</f>
        <v>-14859.473959783549</v>
      </c>
      <c r="Y12" s="18">
        <f>IF(Y$3=0,0,-Inputs!$B$27*(1+Inputs!$B$30)^(Y$3-1))</f>
        <v>-15156.663438979218</v>
      </c>
      <c r="Z12" s="18">
        <f>IF(Z$3=0,0,-Inputs!$B$27*(1+Inputs!$B$30)^(Z$3-1))</f>
        <v>-15459.796707758804</v>
      </c>
      <c r="AA12" s="18">
        <f>IF(AA$3=0,0,-Inputs!$B$27*(1+Inputs!$B$30)^(AA$3-1))</f>
        <v>-15768.992641913981</v>
      </c>
      <c r="AB12" s="18">
        <f>IF(AB$3=0,0,-Inputs!$B$27*(1+Inputs!$B$30)^(AB$3-1))</f>
        <v>-16084.372494752262</v>
      </c>
      <c r="AC12" s="18">
        <f>IF(AC$3=0,0,-Inputs!$B$27*(1+Inputs!$B$30)^(AC$3-1))</f>
        <v>-16406.059944647306</v>
      </c>
      <c r="AD12" s="18">
        <f>IF(AD$3=0,0,-Inputs!$B$27*(1+Inputs!$B$30)^(AD$3-1))</f>
        <v>-16734.181143540252</v>
      </c>
      <c r="AE12" s="18">
        <f>IF(AE$3=0,0,-Inputs!$B$27*(1+Inputs!$B$30)^(AE$3-1))</f>
        <v>-17068.864766411058</v>
      </c>
      <c r="AF12" s="18">
        <f>IF(AF$3=0,0,-Inputs!$B$27*(1+Inputs!$B$30)^(AF$3-1))</f>
        <v>-17410.24206173928</v>
      </c>
      <c r="AG12" s="18">
        <f>IF(AG$3=0,0,-Inputs!$B$27*(1+Inputs!$B$30)^(AG$3-1))</f>
        <v>-17758.446902974065</v>
      </c>
    </row>
    <row r="13">
      <c r="A13" s="15" t="inlineStr">
        <is>
          <t>Common utilities / cleaning</t>
        </is>
      </c>
      <c r="B13" s="17">
        <f>IF(B$3=0,0,-Inputs!$B$28*(1+Inputs!$B$30)^(B$3-1))</f>
        <v>0</v>
      </c>
      <c r="C13" s="17">
        <f>IF(C$3=0,0,-Inputs!$B$28*(1+Inputs!$B$30)^(C$3-1))</f>
        <v>0</v>
      </c>
      <c r="D13" s="17">
        <f>IF(D$3=0,0,-Inputs!$B$28*(1+Inputs!$B$30)^(D$3-1))</f>
        <v>-18000.0</v>
      </c>
      <c r="E13" s="17">
        <f>IF(E$3=0,0,-Inputs!$B$28*(1+Inputs!$B$30)^(E$3-1))</f>
        <v>-18360.0</v>
      </c>
      <c r="F13" s="17">
        <f>IF(F$3=0,0,-Inputs!$B$28*(1+Inputs!$B$30)^(F$3-1))</f>
        <v>-18727.2</v>
      </c>
      <c r="G13" s="17">
        <f>IF(G$3=0,0,-Inputs!$B$28*(1+Inputs!$B$30)^(G$3-1))</f>
        <v>-19101.744000000002</v>
      </c>
      <c r="H13" s="17">
        <f>IF(H$3=0,0,-Inputs!$B$28*(1+Inputs!$B$30)^(H$3-1))</f>
        <v>-19483.778879999998</v>
      </c>
      <c r="I13" s="17">
        <f>IF(I$3=0,0,-Inputs!$B$28*(1+Inputs!$B$30)^(I$3-1))</f>
        <v>-19873.4544576</v>
      </c>
      <c r="J13" s="17">
        <f>IF(J$3=0,0,-Inputs!$B$28*(1+Inputs!$B$30)^(J$3-1))</f>
        <v>-20270.923546752</v>
      </c>
      <c r="K13" s="17">
        <f>IF(K$3=0,0,-Inputs!$B$28*(1+Inputs!$B$30)^(K$3-1))</f>
        <v>-20676.342017687042</v>
      </c>
      <c r="L13" s="17">
        <f>IF(L$3=0,0,-Inputs!$B$28*(1+Inputs!$B$30)^(L$3-1))</f>
        <v>-21089.868858040783</v>
      </c>
      <c r="M13" s="17">
        <f>IF(M$3=0,0,-Inputs!$B$28*(1+Inputs!$B$30)^(M$3-1))</f>
        <v>-21511.6662352016</v>
      </c>
      <c r="N13" s="17">
        <f>IF(N$3=0,0,-Inputs!$B$28*(1+Inputs!$B$30)^(N$3-1))</f>
        <v>-21941.899559905632</v>
      </c>
      <c r="O13" s="17">
        <f>IF(O$3=0,0,-Inputs!$B$28*(1+Inputs!$B$30)^(O$3-1))</f>
        <v>-22380.737551103743</v>
      </c>
      <c r="P13" s="17">
        <f>IF(P$3=0,0,-Inputs!$B$28*(1+Inputs!$B$30)^(P$3-1))</f>
        <v>-22828.35230212582</v>
      </c>
      <c r="Q13" s="17">
        <f>IF(Q$3=0,0,-Inputs!$B$28*(1+Inputs!$B$30)^(Q$3-1))</f>
        <v>-23284.919348168336</v>
      </c>
      <c r="R13" s="17">
        <f>IF(R$3=0,0,-Inputs!$B$28*(1+Inputs!$B$30)^(R$3-1))</f>
        <v>-23750.617735131702</v>
      </c>
      <c r="S13" s="17">
        <f>IF(S$3=0,0,-Inputs!$B$28*(1+Inputs!$B$30)^(S$3-1))</f>
        <v>-24225.63008983434</v>
      </c>
      <c r="T13" s="17">
        <f>IF(T$3=0,0,-Inputs!$B$28*(1+Inputs!$B$30)^(T$3-1))</f>
        <v>-24710.142691631027</v>
      </c>
      <c r="U13" s="17">
        <f>IF(U$3=0,0,-Inputs!$B$28*(1+Inputs!$B$30)^(U$3-1))</f>
        <v>-25204.345545463646</v>
      </c>
      <c r="V13" s="17">
        <f>IF(V$3=0,0,-Inputs!$B$28*(1+Inputs!$B$30)^(V$3-1))</f>
        <v>-25708.43245637292</v>
      </c>
      <c r="W13" s="17">
        <f>IF(W$3=0,0,-Inputs!$B$28*(1+Inputs!$B$30)^(W$3-1))</f>
        <v>-26222.60110550038</v>
      </c>
      <c r="X13" s="17">
        <f>IF(X$3=0,0,-Inputs!$B$28*(1+Inputs!$B$30)^(X$3-1))</f>
        <v>-26747.053127610387</v>
      </c>
      <c r="Y13" s="17">
        <f>IF(Y$3=0,0,-Inputs!$B$28*(1+Inputs!$B$30)^(Y$3-1))</f>
        <v>-27281.994190162593</v>
      </c>
      <c r="Z13" s="17">
        <f>IF(Z$3=0,0,-Inputs!$B$28*(1+Inputs!$B$30)^(Z$3-1))</f>
        <v>-27827.634073965848</v>
      </c>
      <c r="AA13" s="17">
        <f>IF(AA$3=0,0,-Inputs!$B$28*(1+Inputs!$B$30)^(AA$3-1))</f>
        <v>-28384.186755445167</v>
      </c>
      <c r="AB13" s="17">
        <f>IF(AB$3=0,0,-Inputs!$B$28*(1+Inputs!$B$30)^(AB$3-1))</f>
        <v>-28951.87049055407</v>
      </c>
      <c r="AC13" s="17">
        <f>IF(AC$3=0,0,-Inputs!$B$28*(1+Inputs!$B$30)^(AC$3-1))</f>
        <v>-29530.907900365153</v>
      </c>
      <c r="AD13" s="17">
        <f>IF(AD$3=0,0,-Inputs!$B$28*(1+Inputs!$B$30)^(AD$3-1))</f>
        <v>-30121.526058372452</v>
      </c>
      <c r="AE13" s="17">
        <f>IF(AE$3=0,0,-Inputs!$B$28*(1+Inputs!$B$30)^(AE$3-1))</f>
        <v>-30723.956579539903</v>
      </c>
      <c r="AF13" s="17">
        <f>IF(AF$3=0,0,-Inputs!$B$28*(1+Inputs!$B$30)^(AF$3-1))</f>
        <v>-31338.435711130704</v>
      </c>
      <c r="AG13" s="17">
        <f>IF(AG$3=0,0,-Inputs!$B$28*(1+Inputs!$B$30)^(AG$3-1))</f>
        <v>-31965.204425353317</v>
      </c>
    </row>
    <row r="14">
      <c r="A14" s="13" t="inlineStr">
        <is>
          <t>Administration / compliance</t>
        </is>
      </c>
      <c r="B14" s="18">
        <f>IF(B$3=0,0,-Inputs!$B$29*(1+Inputs!$B$30)^(B$3-1))</f>
        <v>0</v>
      </c>
      <c r="C14" s="18">
        <f>IF(C$3=0,0,-Inputs!$B$29*(1+Inputs!$B$30)^(C$3-1))</f>
        <v>0</v>
      </c>
      <c r="D14" s="18">
        <f>IF(D$3=0,0,-Inputs!$B$29*(1+Inputs!$B$30)^(D$3-1))</f>
        <v>-4000.0</v>
      </c>
      <c r="E14" s="18">
        <f>IF(E$3=0,0,-Inputs!$B$29*(1+Inputs!$B$30)^(E$3-1))</f>
        <v>-4080.0</v>
      </c>
      <c r="F14" s="18">
        <f>IF(F$3=0,0,-Inputs!$B$29*(1+Inputs!$B$30)^(F$3-1))</f>
        <v>-4161.6</v>
      </c>
      <c r="G14" s="18">
        <f>IF(G$3=0,0,-Inputs!$B$29*(1+Inputs!$B$30)^(G$3-1))</f>
        <v>-4244.832</v>
      </c>
      <c r="H14" s="18">
        <f>IF(H$3=0,0,-Inputs!$B$29*(1+Inputs!$B$30)^(H$3-1))</f>
        <v>-4329.72864</v>
      </c>
      <c r="I14" s="18">
        <f>IF(I$3=0,0,-Inputs!$B$29*(1+Inputs!$B$30)^(I$3-1))</f>
        <v>-4416.3232128</v>
      </c>
      <c r="J14" s="18">
        <f>IF(J$3=0,0,-Inputs!$B$29*(1+Inputs!$B$30)^(J$3-1))</f>
        <v>-4504.649677056001</v>
      </c>
      <c r="K14" s="18">
        <f>IF(K$3=0,0,-Inputs!$B$29*(1+Inputs!$B$30)^(K$3-1))</f>
        <v>-4594.74267059712</v>
      </c>
      <c r="L14" s="18">
        <f>IF(L$3=0,0,-Inputs!$B$29*(1+Inputs!$B$30)^(L$3-1))</f>
        <v>-4686.637524009063</v>
      </c>
      <c r="M14" s="18">
        <f>IF(M$3=0,0,-Inputs!$B$29*(1+Inputs!$B$30)^(M$3-1))</f>
        <v>-4780.370274489244</v>
      </c>
      <c r="N14" s="18">
        <f>IF(N$3=0,0,-Inputs!$B$29*(1+Inputs!$B$30)^(N$3-1))</f>
        <v>-4875.97767997903</v>
      </c>
      <c r="O14" s="18">
        <f>IF(O$3=0,0,-Inputs!$B$29*(1+Inputs!$B$30)^(O$3-1))</f>
        <v>-4973.49723357861</v>
      </c>
      <c r="P14" s="18">
        <f>IF(P$3=0,0,-Inputs!$B$29*(1+Inputs!$B$30)^(P$3-1))</f>
        <v>-5072.967178250182</v>
      </c>
      <c r="Q14" s="18">
        <f>IF(Q$3=0,0,-Inputs!$B$29*(1+Inputs!$B$30)^(Q$3-1))</f>
        <v>-5174.426521815186</v>
      </c>
      <c r="R14" s="18">
        <f>IF(R$3=0,0,-Inputs!$B$29*(1+Inputs!$B$30)^(R$3-1))</f>
        <v>-5277.915052251489</v>
      </c>
      <c r="S14" s="18">
        <f>IF(S$3=0,0,-Inputs!$B$29*(1+Inputs!$B$30)^(S$3-1))</f>
        <v>-5383.473353296519</v>
      </c>
      <c r="T14" s="18">
        <f>IF(T$3=0,0,-Inputs!$B$29*(1+Inputs!$B$30)^(T$3-1))</f>
        <v>-5491.14282036245</v>
      </c>
      <c r="U14" s="18">
        <f>IF(U$3=0,0,-Inputs!$B$29*(1+Inputs!$B$30)^(U$3-1))</f>
        <v>-5600.9656767697</v>
      </c>
      <c r="V14" s="18">
        <f>IF(V$3=0,0,-Inputs!$B$29*(1+Inputs!$B$30)^(V$3-1))</f>
        <v>-5712.984990305094</v>
      </c>
      <c r="W14" s="18">
        <f>IF(W$3=0,0,-Inputs!$B$29*(1+Inputs!$B$30)^(W$3-1))</f>
        <v>-5827.244690111195</v>
      </c>
      <c r="X14" s="18">
        <f>IF(X$3=0,0,-Inputs!$B$29*(1+Inputs!$B$30)^(X$3-1))</f>
        <v>-5943.78958391342</v>
      </c>
      <c r="Y14" s="18">
        <f>IF(Y$3=0,0,-Inputs!$B$29*(1+Inputs!$B$30)^(Y$3-1))</f>
        <v>-6062.665375591688</v>
      </c>
      <c r="Z14" s="18">
        <f>IF(Z$3=0,0,-Inputs!$B$29*(1+Inputs!$B$30)^(Z$3-1))</f>
        <v>-6183.918683103521</v>
      </c>
      <c r="AA14" s="18">
        <f>IF(AA$3=0,0,-Inputs!$B$29*(1+Inputs!$B$30)^(AA$3-1))</f>
        <v>-6307.597056765592</v>
      </c>
      <c r="AB14" s="18">
        <f>IF(AB$3=0,0,-Inputs!$B$29*(1+Inputs!$B$30)^(AB$3-1))</f>
        <v>-6433.748997900904</v>
      </c>
      <c r="AC14" s="18">
        <f>IF(AC$3=0,0,-Inputs!$B$29*(1+Inputs!$B$30)^(AC$3-1))</f>
        <v>-6562.423977858923</v>
      </c>
      <c r="AD14" s="18">
        <f>IF(AD$3=0,0,-Inputs!$B$29*(1+Inputs!$B$30)^(AD$3-1))</f>
        <v>-6693.672457416101</v>
      </c>
      <c r="AE14" s="18">
        <f>IF(AE$3=0,0,-Inputs!$B$29*(1+Inputs!$B$30)^(AE$3-1))</f>
        <v>-6827.545906564424</v>
      </c>
      <c r="AF14" s="18">
        <f>IF(AF$3=0,0,-Inputs!$B$29*(1+Inputs!$B$30)^(AF$3-1))</f>
        <v>-6964.096824695712</v>
      </c>
      <c r="AG14" s="18">
        <f>IF(AG$3=0,0,-Inputs!$B$29*(1+Inputs!$B$30)^(AG$3-1))</f>
        <v>-7103.378761189626</v>
      </c>
    </row>
    <row r="15">
      <c r="A15" s="19" t="inlineStr">
        <is>
          <t>Net operating income (NOI)</t>
        </is>
      </c>
      <c r="B15" s="20">
        <f>SUM(B8:B14)</f>
        <v>0.0</v>
      </c>
      <c r="C15" s="20">
        <f>SUM(C8:C14)</f>
        <v>0.0</v>
      </c>
      <c r="D15" s="20">
        <f>SUM(D8:D14)</f>
        <v>266380.0</v>
      </c>
      <c r="E15" s="20">
        <f>SUM(E8:E14)</f>
        <v>271707.6</v>
      </c>
      <c r="F15" s="20">
        <f>SUM(F8:F14)</f>
        <v>277141.752</v>
      </c>
      <c r="G15" s="20">
        <f>SUM(G8:G14)</f>
        <v>282684.5870400001</v>
      </c>
      <c r="H15" s="20">
        <f>SUM(H8:H14)</f>
        <v>288338.2787808</v>
      </c>
      <c r="I15" s="20">
        <f>SUM(I8:I14)</f>
        <v>294105.04435641604</v>
      </c>
      <c r="J15" s="20">
        <f>SUM(J8:J14)</f>
        <v>299987.1452435443</v>
      </c>
      <c r="K15" s="20">
        <f>SUM(K8:K14)</f>
        <v>305986.88814841525</v>
      </c>
      <c r="L15" s="20">
        <f>SUM(L8:L14)</f>
        <v>312106.62591138354</v>
      </c>
      <c r="M15" s="20">
        <f>SUM(M8:M14)</f>
        <v>318348.7584296112</v>
      </c>
      <c r="N15" s="20">
        <f>SUM(N8:N14)</f>
        <v>324715.7335982035</v>
      </c>
      <c r="O15" s="20">
        <f>SUM(O8:O14)</f>
        <v>331210.04827016755</v>
      </c>
      <c r="P15" s="20">
        <f>SUM(P8:P14)</f>
        <v>337834.24923557084</v>
      </c>
      <c r="Q15" s="20">
        <f>SUM(Q8:Q14)</f>
        <v>344590.9342202823</v>
      </c>
      <c r="R15" s="20">
        <f>SUM(R8:R14)</f>
        <v>351482.75290468795</v>
      </c>
      <c r="S15" s="20">
        <f>SUM(S8:S14)</f>
        <v>358512.4079627817</v>
      </c>
      <c r="T15" s="20">
        <f>SUM(T8:T14)</f>
        <v>365682.6561220373</v>
      </c>
      <c r="U15" s="20">
        <f>SUM(U8:U14)</f>
        <v>372996.3092444781</v>
      </c>
      <c r="V15" s="20">
        <f>SUM(V8:V14)</f>
        <v>380456.23542936775</v>
      </c>
      <c r="W15" s="20">
        <f>SUM(W8:W14)</f>
        <v>388065.360137955</v>
      </c>
      <c r="X15" s="20">
        <f>SUM(X8:X14)</f>
        <v>395826.6673407142</v>
      </c>
      <c r="Y15" s="20">
        <f>SUM(Y8:Y14)</f>
        <v>403743.2006875284</v>
      </c>
      <c r="Z15" s="20">
        <f>SUM(Z8:Z14)</f>
        <v>411818.064701279</v>
      </c>
      <c r="AA15" s="20">
        <f>SUM(AA8:AA14)</f>
        <v>420054.42599530466</v>
      </c>
      <c r="AB15" s="20">
        <f>SUM(AB8:AB14)</f>
        <v>428455.51451521076</v>
      </c>
      <c r="AC15" s="20">
        <f>SUM(AC8:AC14)</f>
        <v>437024.62480551493</v>
      </c>
      <c r="AD15" s="20">
        <f>SUM(AD8:AD14)</f>
        <v>445765.1173016252</v>
      </c>
      <c r="AE15" s="20">
        <f>SUM(AE8:AE14)</f>
        <v>454680.4196476578</v>
      </c>
      <c r="AF15" s="20">
        <f>SUM(AF8:AF14)</f>
        <v>463774.02804061095</v>
      </c>
      <c r="AG15" s="20">
        <f>SUM(AG8:AG14)</f>
        <v>473049.5086014232</v>
      </c>
    </row>
    <row r="16">
      <c r="A16" s="13" t="inlineStr">
        <is>
          <t>Recurring replacement reserve / cash expense</t>
        </is>
      </c>
      <c r="B16" s="18">
        <f>IF(B$3=0,0,-Development!$B$11*Inputs!$B$34*(1+Inputs!$B$30)^(B$3-1))</f>
        <v>0</v>
      </c>
      <c r="C16" s="18">
        <f>IF(C$3=0,0,-Development!$B$11*Inputs!$B$34*(1+Inputs!$B$30)^(C$3-1))</f>
        <v>0</v>
      </c>
      <c r="D16" s="18">
        <f>IF(D$3=0,0,-Development!$B$11*Inputs!$B$34*(1+Inputs!$B$30)^(D$3-1))</f>
        <v>-25800.0</v>
      </c>
      <c r="E16" s="18">
        <f>IF(E$3=0,0,-Development!$B$11*Inputs!$B$34*(1+Inputs!$B$30)^(E$3-1))</f>
        <v>-26316.0</v>
      </c>
      <c r="F16" s="18">
        <f>IF(F$3=0,0,-Development!$B$11*Inputs!$B$34*(1+Inputs!$B$30)^(F$3-1))</f>
        <v>-26842.32</v>
      </c>
      <c r="G16" s="18">
        <f>IF(G$3=0,0,-Development!$B$11*Inputs!$B$34*(1+Inputs!$B$30)^(G$3-1))</f>
        <v>-27379.166400000006</v>
      </c>
      <c r="H16" s="18">
        <f>IF(H$3=0,0,-Development!$B$11*Inputs!$B$34*(1+Inputs!$B$30)^(H$3-1))</f>
        <v>-27926.749728</v>
      </c>
      <c r="I16" s="18">
        <f>IF(I$3=0,0,-Development!$B$11*Inputs!$B$34*(1+Inputs!$B$30)^(I$3-1))</f>
        <v>-28485.28472256</v>
      </c>
      <c r="J16" s="18">
        <f>IF(J$3=0,0,-Development!$B$11*Inputs!$B$34*(1+Inputs!$B$30)^(J$3-1))</f>
        <v>-29054.990417011202</v>
      </c>
      <c r="K16" s="18">
        <f>IF(K$3=0,0,-Development!$B$11*Inputs!$B$34*(1+Inputs!$B$30)^(K$3-1))</f>
        <v>-29636.090225351425</v>
      </c>
      <c r="L16" s="18">
        <f>IF(L$3=0,0,-Development!$B$11*Inputs!$B$34*(1+Inputs!$B$30)^(L$3-1))</f>
        <v>-30228.812029858454</v>
      </c>
      <c r="M16" s="18">
        <f>IF(M$3=0,0,-Development!$B$11*Inputs!$B$34*(1+Inputs!$B$30)^(M$3-1))</f>
        <v>-30833.388270455624</v>
      </c>
      <c r="N16" s="18">
        <f>IF(N$3=0,0,-Development!$B$11*Inputs!$B$34*(1+Inputs!$B$30)^(N$3-1))</f>
        <v>-31450.056035864738</v>
      </c>
      <c r="O16" s="18">
        <f>IF(O$3=0,0,-Development!$B$11*Inputs!$B$34*(1+Inputs!$B$30)^(O$3-1))</f>
        <v>-32079.057156582032</v>
      </c>
      <c r="P16" s="18">
        <f>IF(P$3=0,0,-Development!$B$11*Inputs!$B$34*(1+Inputs!$B$30)^(P$3-1))</f>
        <v>-32720.638299713675</v>
      </c>
      <c r="Q16" s="18">
        <f>IF(Q$3=0,0,-Development!$B$11*Inputs!$B$34*(1+Inputs!$B$30)^(Q$3-1))</f>
        <v>-33375.05106570795</v>
      </c>
      <c r="R16" s="18">
        <f>IF(R$3=0,0,-Development!$B$11*Inputs!$B$34*(1+Inputs!$B$30)^(R$3-1))</f>
        <v>-34042.55208702211</v>
      </c>
      <c r="S16" s="18">
        <f>IF(S$3=0,0,-Development!$B$11*Inputs!$B$34*(1+Inputs!$B$30)^(S$3-1))</f>
        <v>-34723.40312876255</v>
      </c>
      <c r="T16" s="18">
        <f>IF(T$3=0,0,-Development!$B$11*Inputs!$B$34*(1+Inputs!$B$30)^(T$3-1))</f>
        <v>-35417.8711913378</v>
      </c>
      <c r="U16" s="18">
        <f>IF(U$3=0,0,-Development!$B$11*Inputs!$B$34*(1+Inputs!$B$30)^(U$3-1))</f>
        <v>-36126.22861516456</v>
      </c>
      <c r="V16" s="18">
        <f>IF(V$3=0,0,-Development!$B$11*Inputs!$B$34*(1+Inputs!$B$30)^(V$3-1))</f>
        <v>-36848.75318746785</v>
      </c>
      <c r="W16" s="18">
        <f>IF(W$3=0,0,-Development!$B$11*Inputs!$B$34*(1+Inputs!$B$30)^(W$3-1))</f>
        <v>-37585.72825121721</v>
      </c>
      <c r="X16" s="18">
        <f>IF(X$3=0,0,-Development!$B$11*Inputs!$B$34*(1+Inputs!$B$30)^(X$3-1))</f>
        <v>-38337.44281624156</v>
      </c>
      <c r="Y16" s="18">
        <f>IF(Y$3=0,0,-Development!$B$11*Inputs!$B$34*(1+Inputs!$B$30)^(Y$3-1))</f>
        <v>-39104.19167256638</v>
      </c>
      <c r="Z16" s="18">
        <f>IF(Z$3=0,0,-Development!$B$11*Inputs!$B$34*(1+Inputs!$B$30)^(Z$3-1))</f>
        <v>-39886.275506017715</v>
      </c>
      <c r="AA16" s="18">
        <f>IF(AA$3=0,0,-Development!$B$11*Inputs!$B$34*(1+Inputs!$B$30)^(AA$3-1))</f>
        <v>-40684.00101613807</v>
      </c>
      <c r="AB16" s="18">
        <f>IF(AB$3=0,0,-Development!$B$11*Inputs!$B$34*(1+Inputs!$B$30)^(AB$3-1))</f>
        <v>-41497.68103646083</v>
      </c>
      <c r="AC16" s="18">
        <f>IF(AC$3=0,0,-Development!$B$11*Inputs!$B$34*(1+Inputs!$B$30)^(AC$3-1))</f>
        <v>-42327.63465719005</v>
      </c>
      <c r="AD16" s="18">
        <f>IF(AD$3=0,0,-Development!$B$11*Inputs!$B$34*(1+Inputs!$B$30)^(AD$3-1))</f>
        <v>-43174.18735033385</v>
      </c>
      <c r="AE16" s="18">
        <f>IF(AE$3=0,0,-Development!$B$11*Inputs!$B$34*(1+Inputs!$B$30)^(AE$3-1))</f>
        <v>-44037.67109734053</v>
      </c>
      <c r="AF16" s="18">
        <f>IF(AF$3=0,0,-Development!$B$11*Inputs!$B$34*(1+Inputs!$B$30)^(AF$3-1))</f>
        <v>-44918.42451928734</v>
      </c>
      <c r="AG16" s="18">
        <f>IF(AG$3=0,0,-Development!$B$11*Inputs!$B$34*(1+Inputs!$B$30)^(AG$3-1))</f>
        <v>-45816.79300967309</v>
      </c>
    </row>
    <row r="17">
      <c r="A17" s="15" t="inlineStr">
        <is>
          <t>Furniture replacement</t>
        </is>
      </c>
      <c r="B17" s="17">
        <f>IF(AND(B$3&gt;0,MOD(B$3,Inputs!$B$35)=0,B$2&lt;31),-Inputs!$B$13*Inputs!$B$4*(1+Inputs!$B$18)*(1+Inputs!$B$30)^(B$3-1),0)</f>
        <v>0</v>
      </c>
      <c r="C17" s="17">
        <f>IF(AND(C$3&gt;0,MOD(C$3,Inputs!$B$35)=0,C$2&lt;31),-Inputs!$B$13*Inputs!$B$4*(1+Inputs!$B$18)*(1+Inputs!$B$30)^(C$3-1),0)</f>
        <v>0</v>
      </c>
      <c r="D17" s="17">
        <f>IF(AND(D$3&gt;0,MOD(D$3,Inputs!$B$35)=0,D$2&lt;31),-Inputs!$B$13*Inputs!$B$4*(1+Inputs!$B$18)*(1+Inputs!$B$30)^(D$3-1),0)</f>
        <v>0</v>
      </c>
      <c r="E17" s="17">
        <f>IF(AND(E$3&gt;0,MOD(E$3,Inputs!$B$35)=0,E$2&lt;31),-Inputs!$B$13*Inputs!$B$4*(1+Inputs!$B$18)*(1+Inputs!$B$30)^(E$3-1),0)</f>
        <v>0</v>
      </c>
      <c r="F17" s="17">
        <f>IF(AND(F$3&gt;0,MOD(F$3,Inputs!$B$35)=0,F$2&lt;31),-Inputs!$B$13*Inputs!$B$4*(1+Inputs!$B$18)*(1+Inputs!$B$30)^(F$3-1),0)</f>
        <v>0</v>
      </c>
      <c r="G17" s="17">
        <f>IF(AND(G$3&gt;0,MOD(G$3,Inputs!$B$35)=0,G$2&lt;31),-Inputs!$B$13*Inputs!$B$4*(1+Inputs!$B$18)*(1+Inputs!$B$30)^(G$3-1),0)</f>
        <v>0</v>
      </c>
      <c r="H17" s="17">
        <f>IF(AND(H$3&gt;0,MOD(H$3,Inputs!$B$35)=0,H$2&lt;31),-Inputs!$B$13*Inputs!$B$4*(1+Inputs!$B$18)*(1+Inputs!$B$30)^(H$3-1),0)</f>
        <v>0</v>
      </c>
      <c r="I17" s="17">
        <f>IF(AND(I$3&gt;0,MOD(I$3,Inputs!$B$35)=0,I$2&lt;31),-Inputs!$B$13*Inputs!$B$4*(1+Inputs!$B$18)*(1+Inputs!$B$30)^(I$3-1),0)</f>
        <v>0</v>
      </c>
      <c r="J17" s="17">
        <f>IF(AND(J$3&gt;0,MOD(J$3,Inputs!$B$35)=0,J$2&lt;31),-Inputs!$B$13*Inputs!$B$4*(1+Inputs!$B$18)*(1+Inputs!$B$30)^(J$3-1),0)</f>
        <v>0</v>
      </c>
      <c r="K17" s="17">
        <f>IF(AND(K$3&gt;0,MOD(K$3,Inputs!$B$35)=0,K$2&lt;31),-Inputs!$B$13*Inputs!$B$4*(1+Inputs!$B$18)*(1+Inputs!$B$30)^(K$3-1),0)</f>
        <v>0</v>
      </c>
      <c r="L17" s="17">
        <f>IF(AND(L$3&gt;0,MOD(L$3,Inputs!$B$35)=0,L$2&lt;31),-Inputs!$B$13*Inputs!$B$4*(1+Inputs!$B$18)*(1+Inputs!$B$30)^(L$3-1),0)</f>
        <v>0</v>
      </c>
      <c r="M17" s="17">
        <f>IF(AND(M$3&gt;0,MOD(M$3,Inputs!$B$35)=0,M$2&lt;31),-Inputs!$B$13*Inputs!$B$4*(1+Inputs!$B$18)*(1+Inputs!$B$30)^(M$3-1),0)</f>
        <v>-144606.20080329964</v>
      </c>
      <c r="N17" s="17">
        <f>IF(AND(N$3&gt;0,MOD(N$3,Inputs!$B$35)=0,N$2&lt;31),-Inputs!$B$13*Inputs!$B$4*(1+Inputs!$B$18)*(1+Inputs!$B$30)^(N$3-1),0)</f>
        <v>0</v>
      </c>
      <c r="O17" s="17">
        <f>IF(AND(O$3&gt;0,MOD(O$3,Inputs!$B$35)=0,O$2&lt;31),-Inputs!$B$13*Inputs!$B$4*(1+Inputs!$B$18)*(1+Inputs!$B$30)^(O$3-1),0)</f>
        <v>0</v>
      </c>
      <c r="P17" s="17">
        <f>IF(AND(P$3&gt;0,MOD(P$3,Inputs!$B$35)=0,P$2&lt;31),-Inputs!$B$13*Inputs!$B$4*(1+Inputs!$B$18)*(1+Inputs!$B$30)^(P$3-1),0)</f>
        <v>0</v>
      </c>
      <c r="Q17" s="17">
        <f>IF(AND(Q$3&gt;0,MOD(Q$3,Inputs!$B$35)=0,Q$2&lt;31),-Inputs!$B$13*Inputs!$B$4*(1+Inputs!$B$18)*(1+Inputs!$B$30)^(Q$3-1),0)</f>
        <v>0</v>
      </c>
      <c r="R17" s="17">
        <f>IF(AND(R$3&gt;0,MOD(R$3,Inputs!$B$35)=0,R$2&lt;31),-Inputs!$B$13*Inputs!$B$4*(1+Inputs!$B$18)*(1+Inputs!$B$30)^(R$3-1),0)</f>
        <v>0</v>
      </c>
      <c r="S17" s="17">
        <f>IF(AND(S$3&gt;0,MOD(S$3,Inputs!$B$35)=0,S$2&lt;31),-Inputs!$B$13*Inputs!$B$4*(1+Inputs!$B$18)*(1+Inputs!$B$30)^(S$3-1),0)</f>
        <v>0</v>
      </c>
      <c r="T17" s="17">
        <f>IF(AND(T$3&gt;0,MOD(T$3,Inputs!$B$35)=0,T$2&lt;31),-Inputs!$B$13*Inputs!$B$4*(1+Inputs!$B$18)*(1+Inputs!$B$30)^(T$3-1),0)</f>
        <v>0</v>
      </c>
      <c r="U17" s="17">
        <f>IF(AND(U$3&gt;0,MOD(U$3,Inputs!$B$35)=0,U$2&lt;31),-Inputs!$B$13*Inputs!$B$4*(1+Inputs!$B$18)*(1+Inputs!$B$30)^(U$3-1),0)</f>
        <v>0</v>
      </c>
      <c r="V17" s="17">
        <f>IF(AND(V$3&gt;0,MOD(V$3,Inputs!$B$35)=0,V$2&lt;31),-Inputs!$B$13*Inputs!$B$4*(1+Inputs!$B$18)*(1+Inputs!$B$30)^(V$3-1),0)</f>
        <v>0</v>
      </c>
      <c r="W17" s="17">
        <f>IF(AND(W$3&gt;0,MOD(W$3,Inputs!$B$35)=0,W$2&lt;31),-Inputs!$B$13*Inputs!$B$4*(1+Inputs!$B$18)*(1+Inputs!$B$30)^(W$3-1),0)</f>
        <v>-176274.15187586367</v>
      </c>
      <c r="X17" s="17">
        <f>IF(AND(X$3&gt;0,MOD(X$3,Inputs!$B$35)=0,X$2&lt;31),-Inputs!$B$13*Inputs!$B$4*(1+Inputs!$B$18)*(1+Inputs!$B$30)^(X$3-1),0)</f>
        <v>0</v>
      </c>
      <c r="Y17" s="17">
        <f>IF(AND(Y$3&gt;0,MOD(Y$3,Inputs!$B$35)=0,Y$2&lt;31),-Inputs!$B$13*Inputs!$B$4*(1+Inputs!$B$18)*(1+Inputs!$B$30)^(Y$3-1),0)</f>
        <v>0</v>
      </c>
      <c r="Z17" s="17">
        <f>IF(AND(Z$3&gt;0,MOD(Z$3,Inputs!$B$35)=0,Z$2&lt;31),-Inputs!$B$13*Inputs!$B$4*(1+Inputs!$B$18)*(1+Inputs!$B$30)^(Z$3-1),0)</f>
        <v>0</v>
      </c>
      <c r="AA17" s="17">
        <f>IF(AND(AA$3&gt;0,MOD(AA$3,Inputs!$B$35)=0,AA$2&lt;31),-Inputs!$B$13*Inputs!$B$4*(1+Inputs!$B$18)*(1+Inputs!$B$30)^(AA$3-1),0)</f>
        <v>0</v>
      </c>
      <c r="AB17" s="17">
        <f>IF(AND(AB$3&gt;0,MOD(AB$3,Inputs!$B$35)=0,AB$2&lt;31),-Inputs!$B$13*Inputs!$B$4*(1+Inputs!$B$18)*(1+Inputs!$B$30)^(AB$3-1),0)</f>
        <v>0</v>
      </c>
      <c r="AC17" s="17">
        <f>IF(AND(AC$3&gt;0,MOD(AC$3,Inputs!$B$35)=0,AC$2&lt;31),-Inputs!$B$13*Inputs!$B$4*(1+Inputs!$B$18)*(1+Inputs!$B$30)^(AC$3-1),0)</f>
        <v>0</v>
      </c>
      <c r="AD17" s="17">
        <f>IF(AND(AD$3&gt;0,MOD(AD$3,Inputs!$B$35)=0,AD$2&lt;31),-Inputs!$B$13*Inputs!$B$4*(1+Inputs!$B$18)*(1+Inputs!$B$30)^(AD$3-1),0)</f>
        <v>0</v>
      </c>
      <c r="AE17" s="17">
        <f>IF(AND(AE$3&gt;0,MOD(AE$3,Inputs!$B$35)=0,AE$2&lt;31),-Inputs!$B$13*Inputs!$B$4*(1+Inputs!$B$18)*(1+Inputs!$B$30)^(AE$3-1),0)</f>
        <v>0</v>
      </c>
      <c r="AF17" s="17">
        <f>IF(AND(AF$3&gt;0,MOD(AF$3,Inputs!$B$35)=0,AF$2&lt;31),-Inputs!$B$13*Inputs!$B$4*(1+Inputs!$B$18)*(1+Inputs!$B$30)^(AF$3-1),0)</f>
        <v>0</v>
      </c>
      <c r="AG17" s="17">
        <f>IF(AND(AG$3&gt;0,MOD(AG$3,Inputs!$B$35)=0,AG$2&lt;31),-Inputs!$B$13*Inputs!$B$4*(1+Inputs!$B$18)*(1+Inputs!$B$30)^(AG$3-1),0)</f>
        <v>0</v>
      </c>
    </row>
    <row r="18">
      <c r="A18" s="19" t="inlineStr">
        <is>
          <t>Operating free cash flow</t>
        </is>
      </c>
      <c r="B18" s="20">
        <f>SUM(B15:B17)</f>
        <v>0.0</v>
      </c>
      <c r="C18" s="20">
        <f>SUM(C15:C17)</f>
        <v>0.0</v>
      </c>
      <c r="D18" s="20">
        <f>SUM(D15:D17)</f>
        <v>240580.0</v>
      </c>
      <c r="E18" s="20">
        <f>SUM(E15:E17)</f>
        <v>245391.59999999998</v>
      </c>
      <c r="F18" s="20">
        <f>SUM(F15:F17)</f>
        <v>250299.43199999997</v>
      </c>
      <c r="G18" s="20">
        <f>SUM(G15:G17)</f>
        <v>255305.42064000005</v>
      </c>
      <c r="H18" s="20">
        <f>SUM(H15:H17)</f>
        <v>260411.5290528</v>
      </c>
      <c r="I18" s="20">
        <f>SUM(I15:I17)</f>
        <v>265619.759633856</v>
      </c>
      <c r="J18" s="20">
        <f>SUM(J15:J17)</f>
        <v>270932.1548265331</v>
      </c>
      <c r="K18" s="20">
        <f>SUM(K15:K17)</f>
        <v>276350.7979230638</v>
      </c>
      <c r="L18" s="20">
        <f>SUM(L15:L17)</f>
        <v>281877.8138815251</v>
      </c>
      <c r="M18" s="20">
        <f>SUM(M15:M17)</f>
        <v>142909.16935585593</v>
      </c>
      <c r="N18" s="20">
        <f>SUM(N15:N17)</f>
        <v>293265.67756233877</v>
      </c>
      <c r="O18" s="20">
        <f>SUM(O15:O17)</f>
        <v>299130.99111358554</v>
      </c>
      <c r="P18" s="20">
        <f>SUM(P15:P17)</f>
        <v>305113.61093585717</v>
      </c>
      <c r="Q18" s="20">
        <f>SUM(Q15:Q17)</f>
        <v>311215.8831545744</v>
      </c>
      <c r="R18" s="20">
        <f>SUM(R15:R17)</f>
        <v>317440.20081766584</v>
      </c>
      <c r="S18" s="20">
        <f>SUM(S15:S17)</f>
        <v>323789.0048340192</v>
      </c>
      <c r="T18" s="20">
        <f>SUM(T15:T17)</f>
        <v>330264.7849306995</v>
      </c>
      <c r="U18" s="20">
        <f>SUM(U15:U17)</f>
        <v>336870.08062931354</v>
      </c>
      <c r="V18" s="20">
        <f>SUM(V15:V17)</f>
        <v>343607.4822418999</v>
      </c>
      <c r="W18" s="20">
        <f>SUM(W15:W17)</f>
        <v>174205.4800108741</v>
      </c>
      <c r="X18" s="20">
        <f>SUM(X15:X17)</f>
        <v>357489.2245244726</v>
      </c>
      <c r="Y18" s="20">
        <f>SUM(Y15:Y17)</f>
        <v>364639.009014962</v>
      </c>
      <c r="Z18" s="20">
        <f>SUM(Z15:Z17)</f>
        <v>371931.78919526126</v>
      </c>
      <c r="AA18" s="20">
        <f>SUM(AA15:AA17)</f>
        <v>379370.4249791666</v>
      </c>
      <c r="AB18" s="20">
        <f>SUM(AB15:AB17)</f>
        <v>386957.8334787499</v>
      </c>
      <c r="AC18" s="20">
        <f>SUM(AC15:AC17)</f>
        <v>394696.99014832487</v>
      </c>
      <c r="AD18" s="20">
        <f>SUM(AD15:AD17)</f>
        <v>402590.92995129136</v>
      </c>
      <c r="AE18" s="20">
        <f>SUM(AE15:AE17)</f>
        <v>410642.74855031725</v>
      </c>
      <c r="AF18" s="20">
        <f>SUM(AF15:AF17)</f>
        <v>418855.6035213236</v>
      </c>
      <c r="AG18" s="20">
        <f>SUM(AG15:AG17)</f>
        <v>427232.7155917501</v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</row>
    <row r="20">
      <c r="A20" s="13" t="inlineStr">
        <is>
          <t>Gross terminal sale (next-year NOI / cap rate)</t>
        </is>
      </c>
      <c r="B20" s="18">
        <f>0</f>
        <v>0</v>
      </c>
      <c r="C20" s="18">
        <f>0</f>
        <v>0</v>
      </c>
      <c r="D20" s="18">
        <f>0</f>
        <v>0</v>
      </c>
      <c r="E20" s="18">
        <f>0</f>
        <v>0</v>
      </c>
      <c r="F20" s="18">
        <f>0</f>
        <v>0</v>
      </c>
      <c r="G20" s="18">
        <f>0</f>
        <v>0</v>
      </c>
      <c r="H20" s="18">
        <f>0</f>
        <v>0</v>
      </c>
      <c r="I20" s="18">
        <f>0</f>
        <v>0</v>
      </c>
      <c r="J20" s="18">
        <f>0</f>
        <v>0</v>
      </c>
      <c r="K20" s="18">
        <f>0</f>
        <v>0</v>
      </c>
      <c r="L20" s="18">
        <f>0</f>
        <v>0</v>
      </c>
      <c r="M20" s="18">
        <f>0</f>
        <v>0</v>
      </c>
      <c r="N20" s="18">
        <f>0</f>
        <v>0</v>
      </c>
      <c r="O20" s="18">
        <f>0</f>
        <v>0</v>
      </c>
      <c r="P20" s="18">
        <f>0</f>
        <v>0</v>
      </c>
      <c r="Q20" s="18">
        <f>0</f>
        <v>0</v>
      </c>
      <c r="R20" s="18">
        <f>0</f>
        <v>0</v>
      </c>
      <c r="S20" s="18">
        <f>0</f>
        <v>0</v>
      </c>
      <c r="T20" s="18">
        <f>0</f>
        <v>0</v>
      </c>
      <c r="U20" s="18">
        <f>0</f>
        <v>0</v>
      </c>
      <c r="V20" s="18">
        <f>0</f>
        <v>0</v>
      </c>
      <c r="W20" s="18">
        <f>0</f>
        <v>0</v>
      </c>
      <c r="X20" s="18">
        <f>0</f>
        <v>0</v>
      </c>
      <c r="Y20" s="18">
        <f>0</f>
        <v>0</v>
      </c>
      <c r="Z20" s="18">
        <f>0</f>
        <v>0</v>
      </c>
      <c r="AA20" s="18">
        <f>0</f>
        <v>0</v>
      </c>
      <c r="AB20" s="18">
        <f>0</f>
        <v>0</v>
      </c>
      <c r="AC20" s="18">
        <f>0</f>
        <v>0</v>
      </c>
      <c r="AD20" s="18">
        <f>0</f>
        <v>0</v>
      </c>
      <c r="AE20" s="18">
        <f>0</f>
        <v>0</v>
      </c>
      <c r="AF20" s="18">
        <f>0</f>
        <v>0</v>
      </c>
      <c r="AG20" s="18">
        <f>(AG8*(1+Inputs!$B$23)*(1-Inputs!$B$24-Inputs!$B$25)+SUM(AG11:AG14)*(1+Inputs!$B$30))/Inputs!$B$32</f>
        <v>8772918.159517303</v>
      </c>
    </row>
    <row r="21">
      <c r="A21" s="15" t="inlineStr">
        <is>
          <t>Selling costs</t>
        </is>
      </c>
      <c r="B21" s="17">
        <f>-B20*Inputs!$B$33</f>
        <v>0.0</v>
      </c>
      <c r="C21" s="17">
        <f>-C20*Inputs!$B$33</f>
        <v>0.0</v>
      </c>
      <c r="D21" s="17">
        <f>-D20*Inputs!$B$33</f>
        <v>0.0</v>
      </c>
      <c r="E21" s="17">
        <f>-E20*Inputs!$B$33</f>
        <v>0.0</v>
      </c>
      <c r="F21" s="17">
        <f>-F20*Inputs!$B$33</f>
        <v>0.0</v>
      </c>
      <c r="G21" s="17">
        <f>-G20*Inputs!$B$33</f>
        <v>0.0</v>
      </c>
      <c r="H21" s="17">
        <f>-H20*Inputs!$B$33</f>
        <v>0.0</v>
      </c>
      <c r="I21" s="17">
        <f>-I20*Inputs!$B$33</f>
        <v>0.0</v>
      </c>
      <c r="J21" s="17">
        <f>-J20*Inputs!$B$33</f>
        <v>0.0</v>
      </c>
      <c r="K21" s="17">
        <f>-K20*Inputs!$B$33</f>
        <v>0.0</v>
      </c>
      <c r="L21" s="17">
        <f>-L20*Inputs!$B$33</f>
        <v>0.0</v>
      </c>
      <c r="M21" s="17">
        <f>-M20*Inputs!$B$33</f>
        <v>0.0</v>
      </c>
      <c r="N21" s="17">
        <f>-N20*Inputs!$B$33</f>
        <v>0.0</v>
      </c>
      <c r="O21" s="17">
        <f>-O20*Inputs!$B$33</f>
        <v>0.0</v>
      </c>
      <c r="P21" s="17">
        <f>-P20*Inputs!$B$33</f>
        <v>0.0</v>
      </c>
      <c r="Q21" s="17">
        <f>-Q20*Inputs!$B$33</f>
        <v>0.0</v>
      </c>
      <c r="R21" s="17">
        <f>-R20*Inputs!$B$33</f>
        <v>0.0</v>
      </c>
      <c r="S21" s="17">
        <f>-S20*Inputs!$B$33</f>
        <v>0.0</v>
      </c>
      <c r="T21" s="17">
        <f>-T20*Inputs!$B$33</f>
        <v>0.0</v>
      </c>
      <c r="U21" s="17">
        <f>-U20*Inputs!$B$33</f>
        <v>0.0</v>
      </c>
      <c r="V21" s="17">
        <f>-V20*Inputs!$B$33</f>
        <v>0.0</v>
      </c>
      <c r="W21" s="17">
        <f>-W20*Inputs!$B$33</f>
        <v>0.0</v>
      </c>
      <c r="X21" s="17">
        <f>-X20*Inputs!$B$33</f>
        <v>0.0</v>
      </c>
      <c r="Y21" s="17">
        <f>-Y20*Inputs!$B$33</f>
        <v>0.0</v>
      </c>
      <c r="Z21" s="17">
        <f>-Z20*Inputs!$B$33</f>
        <v>0.0</v>
      </c>
      <c r="AA21" s="17">
        <f>-AA20*Inputs!$B$33</f>
        <v>0.0</v>
      </c>
      <c r="AB21" s="17">
        <f>-AB20*Inputs!$B$33</f>
        <v>0.0</v>
      </c>
      <c r="AC21" s="17">
        <f>-AC20*Inputs!$B$33</f>
        <v>0.0</v>
      </c>
      <c r="AD21" s="17">
        <f>-AD20*Inputs!$B$33</f>
        <v>0.0</v>
      </c>
      <c r="AE21" s="17">
        <f>-AE20*Inputs!$B$33</f>
        <v>0.0</v>
      </c>
      <c r="AF21" s="17">
        <f>-AF20*Inputs!$B$33</f>
        <v>0.0</v>
      </c>
      <c r="AG21" s="17">
        <f>-AG20*Inputs!$B$33</f>
        <v>-175458.36319034608</v>
      </c>
    </row>
    <row r="22">
      <c r="A22" s="19" t="inlineStr">
        <is>
          <t>Net terminal sale</t>
        </is>
      </c>
      <c r="B22" s="20">
        <f>SUM(B20:B21)</f>
        <v>0.0</v>
      </c>
      <c r="C22" s="20">
        <f>SUM(C20:C21)</f>
        <v>0.0</v>
      </c>
      <c r="D22" s="20">
        <f>SUM(D20:D21)</f>
        <v>0.0</v>
      </c>
      <c r="E22" s="20">
        <f>SUM(E20:E21)</f>
        <v>0.0</v>
      </c>
      <c r="F22" s="20">
        <f>SUM(F20:F21)</f>
        <v>0.0</v>
      </c>
      <c r="G22" s="20">
        <f>SUM(G20:G21)</f>
        <v>0.0</v>
      </c>
      <c r="H22" s="20">
        <f>SUM(H20:H21)</f>
        <v>0.0</v>
      </c>
      <c r="I22" s="20">
        <f>SUM(I20:I21)</f>
        <v>0.0</v>
      </c>
      <c r="J22" s="20">
        <f>SUM(J20:J21)</f>
        <v>0.0</v>
      </c>
      <c r="K22" s="20">
        <f>SUM(K20:K21)</f>
        <v>0.0</v>
      </c>
      <c r="L22" s="20">
        <f>SUM(L20:L21)</f>
        <v>0.0</v>
      </c>
      <c r="M22" s="20">
        <f>SUM(M20:M21)</f>
        <v>0.0</v>
      </c>
      <c r="N22" s="20">
        <f>SUM(N20:N21)</f>
        <v>0.0</v>
      </c>
      <c r="O22" s="20">
        <f>SUM(O20:O21)</f>
        <v>0.0</v>
      </c>
      <c r="P22" s="20">
        <f>SUM(P20:P21)</f>
        <v>0.0</v>
      </c>
      <c r="Q22" s="20">
        <f>SUM(Q20:Q21)</f>
        <v>0.0</v>
      </c>
      <c r="R22" s="20">
        <f>SUM(R20:R21)</f>
        <v>0.0</v>
      </c>
      <c r="S22" s="20">
        <f>SUM(S20:S21)</f>
        <v>0.0</v>
      </c>
      <c r="T22" s="20">
        <f>SUM(T20:T21)</f>
        <v>0.0</v>
      </c>
      <c r="U22" s="20">
        <f>SUM(U20:U21)</f>
        <v>0.0</v>
      </c>
      <c r="V22" s="20">
        <f>SUM(V20:V21)</f>
        <v>0.0</v>
      </c>
      <c r="W22" s="20">
        <f>SUM(W20:W21)</f>
        <v>0.0</v>
      </c>
      <c r="X22" s="20">
        <f>SUM(X20:X21)</f>
        <v>0.0</v>
      </c>
      <c r="Y22" s="20">
        <f>SUM(Y20:Y21)</f>
        <v>0.0</v>
      </c>
      <c r="Z22" s="20">
        <f>SUM(Z20:Z21)</f>
        <v>0.0</v>
      </c>
      <c r="AA22" s="20">
        <f>SUM(AA20:AA21)</f>
        <v>0.0</v>
      </c>
      <c r="AB22" s="20">
        <f>SUM(AB20:AB21)</f>
        <v>0.0</v>
      </c>
      <c r="AC22" s="20">
        <f>SUM(AC20:AC21)</f>
        <v>0.0</v>
      </c>
      <c r="AD22" s="20">
        <f>SUM(AD20:AD21)</f>
        <v>0.0</v>
      </c>
      <c r="AE22" s="20">
        <f>SUM(AE20:AE21)</f>
        <v>0.0</v>
      </c>
      <c r="AF22" s="20">
        <f>SUM(AF20:AF21)</f>
        <v>0.0</v>
      </c>
      <c r="AG22" s="20">
        <f>SUM(AG20:AG21)</f>
        <v>8597459.796326958</v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</row>
    <row r="24">
      <c r="A24" s="19" t="inlineStr">
        <is>
          <t>TOTAL PROJECT CASH FLOW</t>
        </is>
      </c>
      <c r="B24" s="20">
        <f>SUM(B5:B6)+B18+B22</f>
        <v>-2804296.7</v>
      </c>
      <c r="C24" s="20">
        <f>SUM(C5:C6)+C18+C22</f>
        <v>-1884296.7</v>
      </c>
      <c r="D24" s="20">
        <f>SUM(D5:D6)+D18+D22</f>
        <v>240580.0</v>
      </c>
      <c r="E24" s="20">
        <f>SUM(E5:E6)+E18+E22</f>
        <v>245391.59999999998</v>
      </c>
      <c r="F24" s="20">
        <f>SUM(F5:F6)+F18+F22</f>
        <v>250299.43199999997</v>
      </c>
      <c r="G24" s="20">
        <f>SUM(G5:G6)+G18+G22</f>
        <v>255305.42064000005</v>
      </c>
      <c r="H24" s="20">
        <f>SUM(H5:H6)+H18+H22</f>
        <v>260411.5290528</v>
      </c>
      <c r="I24" s="20">
        <f>SUM(I5:I6)+I18+I22</f>
        <v>265619.759633856</v>
      </c>
      <c r="J24" s="20">
        <f>SUM(J5:J6)+J18+J22</f>
        <v>270932.1548265331</v>
      </c>
      <c r="K24" s="20">
        <f>SUM(K5:K6)+K18+K22</f>
        <v>276350.7979230638</v>
      </c>
      <c r="L24" s="20">
        <f>SUM(L5:L6)+L18+L22</f>
        <v>281877.8138815251</v>
      </c>
      <c r="M24" s="20">
        <f>SUM(M5:M6)+M18+M22</f>
        <v>142909.16935585593</v>
      </c>
      <c r="N24" s="20">
        <f>SUM(N5:N6)+N18+N22</f>
        <v>293265.67756233877</v>
      </c>
      <c r="O24" s="20">
        <f>SUM(O5:O6)+O18+O22</f>
        <v>299130.99111358554</v>
      </c>
      <c r="P24" s="20">
        <f>SUM(P5:P6)+P18+P22</f>
        <v>305113.61093585717</v>
      </c>
      <c r="Q24" s="20">
        <f>SUM(Q5:Q6)+Q18+Q22</f>
        <v>311215.8831545744</v>
      </c>
      <c r="R24" s="20">
        <f>SUM(R5:R6)+R18+R22</f>
        <v>317440.20081766584</v>
      </c>
      <c r="S24" s="20">
        <f>SUM(S5:S6)+S18+S22</f>
        <v>323789.0048340192</v>
      </c>
      <c r="T24" s="20">
        <f>SUM(T5:T6)+T18+T22</f>
        <v>330264.7849306995</v>
      </c>
      <c r="U24" s="20">
        <f>SUM(U5:U6)+U18+U22</f>
        <v>336870.08062931354</v>
      </c>
      <c r="V24" s="20">
        <f>SUM(V5:V6)+V18+V22</f>
        <v>343607.4822418999</v>
      </c>
      <c r="W24" s="20">
        <f>SUM(W5:W6)+W18+W22</f>
        <v>174205.4800108741</v>
      </c>
      <c r="X24" s="20">
        <f>SUM(X5:X6)+X18+X22</f>
        <v>357489.2245244726</v>
      </c>
      <c r="Y24" s="20">
        <f>SUM(Y5:Y6)+Y18+Y22</f>
        <v>364639.009014962</v>
      </c>
      <c r="Z24" s="20">
        <f>SUM(Z5:Z6)+Z18+Z22</f>
        <v>371931.78919526126</v>
      </c>
      <c r="AA24" s="20">
        <f>SUM(AA5:AA6)+AA18+AA22</f>
        <v>379370.4249791666</v>
      </c>
      <c r="AB24" s="20">
        <f>SUM(AB5:AB6)+AB18+AB22</f>
        <v>386957.8334787499</v>
      </c>
      <c r="AC24" s="20">
        <f>SUM(AC5:AC6)+AC18+AC22</f>
        <v>394696.99014832487</v>
      </c>
      <c r="AD24" s="20">
        <f>SUM(AD5:AD6)+AD18+AD22</f>
        <v>402590.92995129136</v>
      </c>
      <c r="AE24" s="20">
        <f>SUM(AE5:AE6)+AE18+AE22</f>
        <v>410642.74855031725</v>
      </c>
      <c r="AF24" s="20">
        <f>SUM(AF5:AF6)+AF18+AF22</f>
        <v>418855.6035213236</v>
      </c>
      <c r="AG24" s="20">
        <f>SUM(AG5:AG6)+AG18+AG22</f>
        <v>9024692.511918709</v>
      </c>
    </row>
    <row r="25">
      <c r="A25" s="15" t="inlineStr">
        <is>
          <t>Discount factor</t>
        </is>
      </c>
      <c r="B25" s="21">
        <f>1/(1+Inputs!$B$31)^B$2</f>
        <v>1.0</v>
      </c>
      <c r="C25" s="21">
        <f>1/(1+Inputs!$B$31)^C$2</f>
        <v>0.9389671361502347</v>
      </c>
      <c r="D25" s="21">
        <f>1/(1+Inputs!$B$31)^D$2</f>
        <v>0.8816592827701736</v>
      </c>
      <c r="E25" s="21">
        <f>1/(1+Inputs!$B$31)^E$2</f>
        <v>0.8278490918029799</v>
      </c>
      <c r="F25" s="21">
        <f>1/(1+Inputs!$B$31)^F$2</f>
        <v>0.7773230908948169</v>
      </c>
      <c r="G25" s="21">
        <f>1/(1+Inputs!$B$31)^G$2</f>
        <v>0.7298808365209548</v>
      </c>
      <c r="H25" s="21">
        <f>1/(1+Inputs!$B$31)^H$2</f>
        <v>0.6853341187990186</v>
      </c>
      <c r="I25" s="21">
        <f>1/(1+Inputs!$B$31)^I$2</f>
        <v>0.6435062148347593</v>
      </c>
      <c r="J25" s="21">
        <f>1/(1+Inputs!$B$31)^J$2</f>
        <v>0.6042311876382717</v>
      </c>
      <c r="K25" s="21">
        <f>1/(1+Inputs!$B$31)^K$2</f>
        <v>0.5673532278293631</v>
      </c>
      <c r="L25" s="21">
        <f>1/(1+Inputs!$B$31)^L$2</f>
        <v>0.5327260355205288</v>
      </c>
      <c r="M25" s="21">
        <f>1/(1+Inputs!$B$31)^M$2</f>
        <v>0.5002122399253792</v>
      </c>
      <c r="N25" s="21">
        <f>1/(1+Inputs!$B$31)^N$2</f>
        <v>0.4696828543900274</v>
      </c>
      <c r="O25" s="21">
        <f>1/(1+Inputs!$B$31)^O$2</f>
        <v>0.44101676468547174</v>
      </c>
      <c r="P25" s="21">
        <f>1/(1+Inputs!$B$31)^P$2</f>
        <v>0.41410024853095945</v>
      </c>
      <c r="Q25" s="21">
        <f>1/(1+Inputs!$B$31)^Q$2</f>
        <v>0.38882652444221544</v>
      </c>
      <c r="R25" s="21">
        <f>1/(1+Inputs!$B$31)^R$2</f>
        <v>0.3650953281147563</v>
      </c>
      <c r="S25" s="21">
        <f>1/(1+Inputs!$B$31)^S$2</f>
        <v>0.342812514661743</v>
      </c>
      <c r="T25" s="21">
        <f>1/(1+Inputs!$B$31)^T$2</f>
        <v>0.3218896851283972</v>
      </c>
      <c r="U25" s="21">
        <f>1/(1+Inputs!$B$31)^U$2</f>
        <v>0.302243835801312</v>
      </c>
      <c r="V25" s="21">
        <f>1/(1+Inputs!$B$31)^V$2</f>
        <v>0.28379702892141967</v>
      </c>
      <c r="W25" s="21">
        <f>1/(1+Inputs!$B$31)^W$2</f>
        <v>0.2664760834942908</v>
      </c>
      <c r="X25" s="21">
        <f>1/(1+Inputs!$B$31)^X$2</f>
        <v>0.2502122849711651</v>
      </c>
      <c r="Y25" s="21">
        <f>1/(1+Inputs!$B$31)^Y$2</f>
        <v>0.23494111264898132</v>
      </c>
      <c r="Z25" s="21">
        <f>1/(1+Inputs!$B$31)^Z$2</f>
        <v>0.2206019837079637</v>
      </c>
      <c r="AA25" s="21">
        <f>1/(1+Inputs!$B$31)^AA$2</f>
        <v>0.2071380128713274</v>
      </c>
      <c r="AB25" s="21">
        <f>1/(1+Inputs!$B$31)^AB$2</f>
        <v>0.1944957867336408</v>
      </c>
      <c r="AC25" s="21">
        <f>1/(1+Inputs!$B$31)^AC$2</f>
        <v>0.1826251518625735</v>
      </c>
      <c r="AD25" s="21">
        <f>1/(1+Inputs!$B$31)^AD$2</f>
        <v>0.17147901583340236</v>
      </c>
      <c r="AE25" s="21">
        <f>1/(1+Inputs!$B$31)^AE$2</f>
        <v>0.16101316040695057</v>
      </c>
      <c r="AF25" s="21">
        <f>1/(1+Inputs!$B$31)^AF$2</f>
        <v>0.15118606610981275</v>
      </c>
      <c r="AG25" s="21">
        <f>1/(1+Inputs!$B$31)^AG$2</f>
        <v>0.14195874752095095</v>
      </c>
    </row>
    <row r="26">
      <c r="A26" s="19" t="inlineStr">
        <is>
          <t>Discounted project cash flow</t>
        </is>
      </c>
      <c r="B26" s="20">
        <f>B24*B25</f>
        <v>-2804296.7</v>
      </c>
      <c r="C26" s="20">
        <f>C24*C25</f>
        <v>-1769292.676056338</v>
      </c>
      <c r="D26" s="20">
        <f>D24*D25</f>
        <v>212109.59024884837</v>
      </c>
      <c r="E26" s="20">
        <f>E24*E25</f>
        <v>203147.21319608012</v>
      </c>
      <c r="F26" s="20">
        <f>F24*F25</f>
        <v>194563.52813145702</v>
      </c>
      <c r="G26" s="20">
        <f>G24*G25</f>
        <v>186342.5339850575</v>
      </c>
      <c r="H26" s="20">
        <f>H24*H25</f>
        <v>178468.90578850574</v>
      </c>
      <c r="I26" s="20">
        <f>I24*I25</f>
        <v>170927.96610730127</v>
      </c>
      <c r="J26" s="20">
        <f>J24*J25</f>
        <v>163705.6576802322</v>
      </c>
      <c r="K26" s="20">
        <f>K24*K25</f>
        <v>156788.5172148703</v>
      </c>
      <c r="L26" s="20">
        <f>L24*L25</f>
        <v>150163.65029029833</v>
      </c>
      <c r="M26" s="20">
        <f>M24*M25</f>
        <v>71484.91570936806</v>
      </c>
      <c r="N26" s="20">
        <f>N24*N25</f>
        <v>137741.86053210468</v>
      </c>
      <c r="O26" s="20">
        <f>O24*O25</f>
        <v>131921.78191807208</v>
      </c>
      <c r="P26" s="20">
        <f>P24*P25</f>
        <v>126347.62211871691</v>
      </c>
      <c r="Q26" s="20">
        <f>Q24*Q25</f>
        <v>121008.99019820777</v>
      </c>
      <c r="R26" s="20">
        <f>R24*R25</f>
        <v>115895.93427433984</v>
      </c>
      <c r="S26" s="20">
        <f>S24*S25</f>
        <v>110998.92296697338</v>
      </c>
      <c r="T26" s="20">
        <f>T24*T25</f>
        <v>106308.82763034069</v>
      </c>
      <c r="U26" s="20">
        <f>U24*U25</f>
        <v>101816.90533610097</v>
      </c>
      <c r="V26" s="20">
        <f>V24*V25</f>
        <v>97514.78257542066</v>
      </c>
      <c r="W26" s="20">
        <f>W24*W25</f>
        <v>46421.59403654069</v>
      </c>
      <c r="X26" s="20">
        <f>X24*X25</f>
        <v>89448.19572083816</v>
      </c>
      <c r="Y26" s="20">
        <f>Y24*Y25</f>
        <v>85668.69449319711</v>
      </c>
      <c r="Z26" s="20">
        <f>Z24*Z25</f>
        <v>82048.8905005268</v>
      </c>
      <c r="AA26" s="20">
        <f>AA24*AA25</f>
        <v>78582.03597233557</v>
      </c>
      <c r="AB26" s="20">
        <f>AB24*AB25</f>
        <v>75261.66825519463</v>
      </c>
      <c r="AC26" s="20">
        <f>AC24*AC25</f>
        <v>72081.5977655385</v>
      </c>
      <c r="AD26" s="20">
        <f>AD24*AD25</f>
        <v>69035.89645150167</v>
      </c>
      <c r="AE26" s="20">
        <f>AE24*AE25</f>
        <v>66118.8867422833</v>
      </c>
      <c r="AF26" s="20">
        <f>AF24*AF25</f>
        <v>63325.130964440345</v>
      </c>
      <c r="AG26" s="20">
        <f>AG24*AG25</f>
        <v>1281134.0457536846</v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</row>
    <row r="28">
      <c r="A28" s="19" t="inlineStr">
        <is>
          <t>Cumulative cash flow including exit</t>
        </is>
      </c>
      <c r="B28" s="20">
        <f>SUM($B24:B24)</f>
        <v>-2804296.7</v>
      </c>
      <c r="C28" s="20">
        <f>SUM($B24:C24)</f>
        <v>-4688593.4</v>
      </c>
      <c r="D28" s="20">
        <f>SUM($B24:D24)</f>
        <v>-4448013.4</v>
      </c>
      <c r="E28" s="20">
        <f>SUM($B24:E24)</f>
        <v>-4202621.800000001</v>
      </c>
      <c r="F28" s="20">
        <f>SUM($B24:F24)</f>
        <v>-3952322.3680000007</v>
      </c>
      <c r="G28" s="20">
        <f>SUM($B24:G24)</f>
        <v>-3697016.9473600006</v>
      </c>
      <c r="H28" s="20">
        <f>SUM($B24:H24)</f>
        <v>-3436605.4183072005</v>
      </c>
      <c r="I28" s="20">
        <f>SUM($B24:I24)</f>
        <v>-3170985.6586733446</v>
      </c>
      <c r="J28" s="20">
        <f>SUM($B24:J24)</f>
        <v>-2900053.5038468116</v>
      </c>
      <c r="K28" s="20">
        <f>SUM($B24:K24)</f>
        <v>-2623702.7059237477</v>
      </c>
      <c r="L28" s="20">
        <f>SUM($B24:L24)</f>
        <v>-2341824.8920422224</v>
      </c>
      <c r="M28" s="20">
        <f>SUM($B24:M24)</f>
        <v>-2198915.7226863666</v>
      </c>
      <c r="N28" s="20">
        <f>SUM($B24:N24)</f>
        <v>-1905650.0451240279</v>
      </c>
      <c r="O28" s="20">
        <f>SUM($B24:O24)</f>
        <v>-1606519.0540104425</v>
      </c>
      <c r="P28" s="20">
        <f>SUM($B24:P24)</f>
        <v>-1301405.4430745854</v>
      </c>
      <c r="Q28" s="20">
        <f>SUM($B24:Q24)</f>
        <v>-990189.5599200111</v>
      </c>
      <c r="R28" s="20">
        <f>SUM($B24:R24)</f>
        <v>-672749.3591023453</v>
      </c>
      <c r="S28" s="20">
        <f>SUM($B24:S24)</f>
        <v>-348960.35426832613</v>
      </c>
      <c r="T28" s="20">
        <f>SUM($B24:T24)</f>
        <v>-18695.569337626628</v>
      </c>
      <c r="U28" s="20">
        <f>SUM($B24:U24)</f>
        <v>318174.5112916869</v>
      </c>
      <c r="V28" s="20">
        <f>SUM($B24:V24)</f>
        <v>661781.9935335869</v>
      </c>
      <c r="W28" s="20">
        <f>SUM($B24:W24)</f>
        <v>835987.473544461</v>
      </c>
      <c r="X28" s="20">
        <f>SUM($B24:X24)</f>
        <v>1193476.6980689336</v>
      </c>
      <c r="Y28" s="20">
        <f>SUM($B24:Y24)</f>
        <v>1558115.7070838956</v>
      </c>
      <c r="Z28" s="20">
        <f>SUM($B24:Z24)</f>
        <v>1930047.4962791568</v>
      </c>
      <c r="AA28" s="20">
        <f>SUM($B24:AA24)</f>
        <v>2309417.9212583234</v>
      </c>
      <c r="AB28" s="20">
        <f>SUM($B24:AB24)</f>
        <v>2696375.754737073</v>
      </c>
      <c r="AC28" s="20">
        <f>SUM($B24:AC24)</f>
        <v>3091072.744885398</v>
      </c>
      <c r="AD28" s="20">
        <f>SUM($B24:AD24)</f>
        <v>3493663.6748366896</v>
      </c>
      <c r="AE28" s="20">
        <f>SUM($B24:AE24)</f>
        <v>3904306.423387007</v>
      </c>
      <c r="AF28" s="20">
        <f>SUM($B24:AF24)</f>
        <v>4323162.026908331</v>
      </c>
      <c r="AG28" s="20">
        <f>SUM($B24:AG24)</f>
        <v>13347854.53882704</v>
      </c>
    </row>
    <row r="29">
      <c r="A29" s="19" t="inlineStr">
        <is>
          <t>Cumulative operating cash flow excluding exit</t>
        </is>
      </c>
      <c r="B29" s="20">
        <f>B28-SUM($B22:B22)</f>
        <v>-2804296.7</v>
      </c>
      <c r="C29" s="20">
        <f>C28-SUM($B22:C22)</f>
        <v>-4688593.4</v>
      </c>
      <c r="D29" s="20">
        <f>D28-SUM($B22:D22)</f>
        <v>-4448013.4</v>
      </c>
      <c r="E29" s="20">
        <f>E28-SUM($B22:E22)</f>
        <v>-4202621.800000001</v>
      </c>
      <c r="F29" s="20">
        <f>F28-SUM($B22:F22)</f>
        <v>-3952322.3680000007</v>
      </c>
      <c r="G29" s="20">
        <f>G28-SUM($B22:G22)</f>
        <v>-3697016.9473600006</v>
      </c>
      <c r="H29" s="20">
        <f>H28-SUM($B22:H22)</f>
        <v>-3436605.4183072005</v>
      </c>
      <c r="I29" s="20">
        <f>I28-SUM($B22:I22)</f>
        <v>-3170985.6586733446</v>
      </c>
      <c r="J29" s="20">
        <f>J28-SUM($B22:J22)</f>
        <v>-2900053.5038468116</v>
      </c>
      <c r="K29" s="20">
        <f>K28-SUM($B22:K22)</f>
        <v>-2623702.7059237477</v>
      </c>
      <c r="L29" s="20">
        <f>L28-SUM($B22:L22)</f>
        <v>-2341824.8920422224</v>
      </c>
      <c r="M29" s="20">
        <f>M28-SUM($B22:M22)</f>
        <v>-2198915.7226863666</v>
      </c>
      <c r="N29" s="20">
        <f>N28-SUM($B22:N22)</f>
        <v>-1905650.0451240279</v>
      </c>
      <c r="O29" s="20">
        <f>O28-SUM($B22:O22)</f>
        <v>-1606519.0540104425</v>
      </c>
      <c r="P29" s="20">
        <f>P28-SUM($B22:P22)</f>
        <v>-1301405.4430745854</v>
      </c>
      <c r="Q29" s="20">
        <f>Q28-SUM($B22:Q22)</f>
        <v>-990189.5599200111</v>
      </c>
      <c r="R29" s="20">
        <f>R28-SUM($B22:R22)</f>
        <v>-672749.3591023453</v>
      </c>
      <c r="S29" s="20">
        <f>S28-SUM($B22:S22)</f>
        <v>-348960.35426832613</v>
      </c>
      <c r="T29" s="20">
        <f>T28-SUM($B22:T22)</f>
        <v>-18695.569337626628</v>
      </c>
      <c r="U29" s="20">
        <f>U28-SUM($B22:U22)</f>
        <v>318174.5112916869</v>
      </c>
      <c r="V29" s="20">
        <f>V28-SUM($B22:V22)</f>
        <v>661781.9935335869</v>
      </c>
      <c r="W29" s="20">
        <f>W28-SUM($B22:W22)</f>
        <v>835987.473544461</v>
      </c>
      <c r="X29" s="20">
        <f>X28-SUM($B22:X22)</f>
        <v>1193476.6980689336</v>
      </c>
      <c r="Y29" s="20">
        <f>Y28-SUM($B22:Y22)</f>
        <v>1558115.7070838956</v>
      </c>
      <c r="Z29" s="20">
        <f>Z28-SUM($B22:Z22)</f>
        <v>1930047.4962791568</v>
      </c>
      <c r="AA29" s="20">
        <f>AA28-SUM($B22:AA22)</f>
        <v>2309417.9212583234</v>
      </c>
      <c r="AB29" s="20">
        <f>AB28-SUM($B22:AB22)</f>
        <v>2696375.754737073</v>
      </c>
      <c r="AC29" s="20">
        <f>AC28-SUM($B22:AC22)</f>
        <v>3091072.744885398</v>
      </c>
      <c r="AD29" s="20">
        <f>AD28-SUM($B22:AD22)</f>
        <v>3493663.6748366896</v>
      </c>
      <c r="AE29" s="20">
        <f>AE28-SUM($B22:AE22)</f>
        <v>3904306.423387007</v>
      </c>
      <c r="AF29" s="20">
        <f>AF28-SUM($B22:AF22)</f>
        <v>4323162.026908331</v>
      </c>
      <c r="AG29" s="20">
        <f>AG28-SUM($B22:AG22)</f>
        <v>4750394.742500081</v>
      </c>
    </row>
    <row r="30">
      <c r="A30" s="19" t="inlineStr">
        <is>
          <t>Cumulative discounted cash flow including exit</t>
        </is>
      </c>
      <c r="B30" s="20">
        <f>SUM($B26:B26)</f>
        <v>-2804296.7</v>
      </c>
      <c r="C30" s="20">
        <f>SUM($B26:C26)</f>
        <v>-4573589.376056338</v>
      </c>
      <c r="D30" s="20">
        <f>SUM($B26:D26)</f>
        <v>-4361479.785807489</v>
      </c>
      <c r="E30" s="20">
        <f>SUM($B26:E26)</f>
        <v>-4158332.5726114092</v>
      </c>
      <c r="F30" s="20">
        <f>SUM($B26:F26)</f>
        <v>-3963769.044479952</v>
      </c>
      <c r="G30" s="20">
        <f>SUM($B26:G26)</f>
        <v>-3777426.510494895</v>
      </c>
      <c r="H30" s="20">
        <f>SUM($B26:H26)</f>
        <v>-3598957.604706389</v>
      </c>
      <c r="I30" s="20">
        <f>SUM($B26:I26)</f>
        <v>-3428029.6385990875</v>
      </c>
      <c r="J30" s="20">
        <f>SUM($B26:J26)</f>
        <v>-3264323.9809188554</v>
      </c>
      <c r="K30" s="20">
        <f>SUM($B26:K26)</f>
        <v>-3107535.4637039853</v>
      </c>
      <c r="L30" s="20">
        <f>SUM($B26:L26)</f>
        <v>-2957371.813413687</v>
      </c>
      <c r="M30" s="20">
        <f>SUM($B26:M26)</f>
        <v>-2885886.897704319</v>
      </c>
      <c r="N30" s="20">
        <f>SUM($B26:N26)</f>
        <v>-2748145.0371722146</v>
      </c>
      <c r="O30" s="20">
        <f>SUM($B26:O26)</f>
        <v>-2616223.2552541425</v>
      </c>
      <c r="P30" s="20">
        <f>SUM($B26:P26)</f>
        <v>-2489875.6331354254</v>
      </c>
      <c r="Q30" s="20">
        <f>SUM($B26:Q26)</f>
        <v>-2368866.642937218</v>
      </c>
      <c r="R30" s="20">
        <f>SUM($B26:R26)</f>
        <v>-2252970.708662878</v>
      </c>
      <c r="S30" s="20">
        <f>SUM($B26:S26)</f>
        <v>-2141971.7856959044</v>
      </c>
      <c r="T30" s="20">
        <f>SUM($B26:T26)</f>
        <v>-2035662.9580655638</v>
      </c>
      <c r="U30" s="20">
        <f>SUM($B26:U26)</f>
        <v>-1933846.0527294627</v>
      </c>
      <c r="V30" s="20">
        <f>SUM($B26:V26)</f>
        <v>-1836331.2701540422</v>
      </c>
      <c r="W30" s="20">
        <f>SUM($B26:W26)</f>
        <v>-1789909.6761175015</v>
      </c>
      <c r="X30" s="20">
        <f>SUM($B26:X26)</f>
        <v>-1700461.4803966633</v>
      </c>
      <c r="Y30" s="20">
        <f>SUM($B26:Y26)</f>
        <v>-1614792.7859034662</v>
      </c>
      <c r="Z30" s="20">
        <f>SUM($B26:Z26)</f>
        <v>-1532743.8954029393</v>
      </c>
      <c r="AA30" s="20">
        <f>SUM($B26:AA26)</f>
        <v>-1454161.8594306037</v>
      </c>
      <c r="AB30" s="20">
        <f>SUM($B26:AB26)</f>
        <v>-1378900.1911754091</v>
      </c>
      <c r="AC30" s="20">
        <f>SUM($B26:AC26)</f>
        <v>-1306818.5934098705</v>
      </c>
      <c r="AD30" s="20">
        <f>SUM($B26:AD26)</f>
        <v>-1237782.6969583689</v>
      </c>
      <c r="AE30" s="20">
        <f>SUM($B26:AE26)</f>
        <v>-1171663.8102160855</v>
      </c>
      <c r="AF30" s="20">
        <f>SUM($B26:AF26)</f>
        <v>-1108338.6792516452</v>
      </c>
      <c r="AG30" s="20">
        <f>SUM($B26:AG26)</f>
        <v>172795.36650203937</v>
      </c>
    </row>
    <row r="31">
      <c r="A31" s="19" t="inlineStr">
        <is>
          <t>Cumulative discounted cash flow excluding exit</t>
        </is>
      </c>
      <c r="B31" s="20">
        <f>B30-SUMPRODUCT($B22:B22,$B25:B25)</f>
        <v>-2804296.7</v>
      </c>
      <c r="C31" s="20">
        <f>C30-SUMPRODUCT($B22:C22,$B25:C25)</f>
        <v>-4573589.376056338</v>
      </c>
      <c r="D31" s="20">
        <f>D30-SUMPRODUCT($B22:D22,$B25:D25)</f>
        <v>-4361479.785807489</v>
      </c>
      <c r="E31" s="20">
        <f>E30-SUMPRODUCT($B22:E22,$B25:E25)</f>
        <v>-4158332.5726114092</v>
      </c>
      <c r="F31" s="20">
        <f>F30-SUMPRODUCT($B22:F22,$B25:F25)</f>
        <v>-3963769.044479952</v>
      </c>
      <c r="G31" s="20">
        <f>G30-SUMPRODUCT($B22:G22,$B25:G25)</f>
        <v>-3777426.510494895</v>
      </c>
      <c r="H31" s="20">
        <f>H30-SUMPRODUCT($B22:H22,$B25:H25)</f>
        <v>-3598957.604706389</v>
      </c>
      <c r="I31" s="20">
        <f>I30-SUMPRODUCT($B22:I22,$B25:I25)</f>
        <v>-3428029.6385990875</v>
      </c>
      <c r="J31" s="20">
        <f>J30-SUMPRODUCT($B22:J22,$B25:J25)</f>
        <v>-3264323.9809188554</v>
      </c>
      <c r="K31" s="20">
        <f>K30-SUMPRODUCT($B22:K22,$B25:K25)</f>
        <v>-3107535.4637039853</v>
      </c>
      <c r="L31" s="20">
        <f>L30-SUMPRODUCT($B22:L22,$B25:L25)</f>
        <v>-2957371.813413687</v>
      </c>
      <c r="M31" s="20">
        <f>M30-SUMPRODUCT($B22:M22,$B25:M25)</f>
        <v>-2885886.897704319</v>
      </c>
      <c r="N31" s="20">
        <f>N30-SUMPRODUCT($B22:N22,$B25:N25)</f>
        <v>-2748145.0371722146</v>
      </c>
      <c r="O31" s="20">
        <f>O30-SUMPRODUCT($B22:O22,$B25:O25)</f>
        <v>-2616223.2552541425</v>
      </c>
      <c r="P31" s="20">
        <f>P30-SUMPRODUCT($B22:P22,$B25:P25)</f>
        <v>-2489875.6331354254</v>
      </c>
      <c r="Q31" s="20">
        <f>Q30-SUMPRODUCT($B22:Q22,$B25:Q25)</f>
        <v>-2368866.642937218</v>
      </c>
      <c r="R31" s="20">
        <f>R30-SUMPRODUCT($B22:R22,$B25:R25)</f>
        <v>-2252970.708662878</v>
      </c>
      <c r="S31" s="20">
        <f>S30-SUMPRODUCT($B22:S22,$B25:S25)</f>
        <v>-2141971.7856959044</v>
      </c>
      <c r="T31" s="20">
        <f>T30-SUMPRODUCT($B22:T22,$B25:T25)</f>
        <v>-2035662.9580655638</v>
      </c>
      <c r="U31" s="20">
        <f>U30-SUMPRODUCT($B22:U22,$B25:U25)</f>
        <v>-1933846.0527294627</v>
      </c>
      <c r="V31" s="20">
        <f>V30-SUMPRODUCT($B22:V22,$B25:V25)</f>
        <v>-1836331.2701540422</v>
      </c>
      <c r="W31" s="20">
        <f>W30-SUMPRODUCT($B22:W22,$B25:W25)</f>
        <v>-1789909.6761175015</v>
      </c>
      <c r="X31" s="20">
        <f>X30-SUMPRODUCT($B22:X22,$B25:X25)</f>
        <v>-1700461.4803966633</v>
      </c>
      <c r="Y31" s="20">
        <f>Y30-SUMPRODUCT($B22:Y22,$B25:Y25)</f>
        <v>-1614792.7859034662</v>
      </c>
      <c r="Z31" s="20">
        <f>Z30-SUMPRODUCT($B22:Z22,$B25:Z25)</f>
        <v>-1532743.8954029393</v>
      </c>
      <c r="AA31" s="20">
        <f>AA30-SUMPRODUCT($B22:AA22,$B25:AA25)</f>
        <v>-1454161.8594306037</v>
      </c>
      <c r="AB31" s="20">
        <f>AB30-SUMPRODUCT($B22:AB22,$B25:AB25)</f>
        <v>-1378900.1911754091</v>
      </c>
      <c r="AC31" s="20">
        <f>AC30-SUMPRODUCT($B22:AC22,$B25:AC25)</f>
        <v>-1306818.5934098705</v>
      </c>
      <c r="AD31" s="20">
        <f>AD30-SUMPRODUCT($B22:AD22,$B25:AD25)</f>
        <v>-1237782.6969583689</v>
      </c>
      <c r="AE31" s="20">
        <f>AE30-SUMPRODUCT($B22:AE22,$B25:AE25)</f>
        <v>-1171663.8102160855</v>
      </c>
      <c r="AF31" s="20">
        <f>AF30-SUMPRODUCT($B22:AF22,$B25:AF25)</f>
        <v>-1108338.6792516452</v>
      </c>
      <c r="AG31" s="20">
        <f>AG30-SUMPRODUCT($B22:AG22,$B25:AG25)</f>
        <v>-1047689.2580462657</v>
      </c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</row>
    <row r="33">
      <c r="A33" s="15" t="inlineStr">
        <is>
          <t>Payback helper incl. exit</t>
        </is>
      </c>
      <c r="B33" s="17">
        <f>999</f>
        <v>999</v>
      </c>
      <c r="C33" s="17">
        <f>IF(AND(B28&lt;0,C28&gt;=0),B$2+(-B28)/(C28-B28),999)</f>
        <v>999</v>
      </c>
      <c r="D33" s="17">
        <f>IF(AND(C28&lt;0,D28&gt;=0),C$2+(-C28)/(D28-C28),999)</f>
        <v>999</v>
      </c>
      <c r="E33" s="17">
        <f>IF(AND(D28&lt;0,E28&gt;=0),D$2+(-D28)/(E28-D28),999)</f>
        <v>999</v>
      </c>
      <c r="F33" s="17">
        <f>IF(AND(E28&lt;0,F28&gt;=0),E$2+(-E28)/(F28-E28),999)</f>
        <v>999</v>
      </c>
      <c r="G33" s="17">
        <f>IF(AND(F28&lt;0,G28&gt;=0),F$2+(-F28)/(G28-F28),999)</f>
        <v>999</v>
      </c>
      <c r="H33" s="17">
        <f>IF(AND(G28&lt;0,H28&gt;=0),G$2+(-G28)/(H28-G28),999)</f>
        <v>999</v>
      </c>
      <c r="I33" s="17">
        <f>IF(AND(H28&lt;0,I28&gt;=0),H$2+(-H28)/(I28-H28),999)</f>
        <v>999</v>
      </c>
      <c r="J33" s="17">
        <f>IF(AND(I28&lt;0,J28&gt;=0),I$2+(-I28)/(J28-I28),999)</f>
        <v>999</v>
      </c>
      <c r="K33" s="17">
        <f>IF(AND(J28&lt;0,K28&gt;=0),J$2+(-J28)/(K28-J28),999)</f>
        <v>999</v>
      </c>
      <c r="L33" s="17">
        <f>IF(AND(K28&lt;0,L28&gt;=0),K$2+(-K28)/(L28-K28),999)</f>
        <v>999</v>
      </c>
      <c r="M33" s="17">
        <f>IF(AND(L28&lt;0,M28&gt;=0),L$2+(-L28)/(M28-L28),999)</f>
        <v>999</v>
      </c>
      <c r="N33" s="17">
        <f>IF(AND(M28&lt;0,N28&gt;=0),M$2+(-M28)/(N28-M28),999)</f>
        <v>999</v>
      </c>
      <c r="O33" s="17">
        <f>IF(AND(N28&lt;0,O28&gt;=0),N$2+(-N28)/(O28-N28),999)</f>
        <v>999</v>
      </c>
      <c r="P33" s="17">
        <f>IF(AND(O28&lt;0,P28&gt;=0),O$2+(-O28)/(P28-O28),999)</f>
        <v>999</v>
      </c>
      <c r="Q33" s="17">
        <f>IF(AND(P28&lt;0,Q28&gt;=0),P$2+(-P28)/(Q28-P28),999)</f>
        <v>999</v>
      </c>
      <c r="R33" s="17">
        <f>IF(AND(Q28&lt;0,R28&gt;=0),Q$2+(-Q28)/(R28-Q28),999)</f>
        <v>999</v>
      </c>
      <c r="S33" s="17">
        <f>IF(AND(R28&lt;0,S28&gt;=0),R$2+(-R28)/(S28-R28),999)</f>
        <v>999</v>
      </c>
      <c r="T33" s="17">
        <f>IF(AND(S28&lt;0,T28&gt;=0),S$2+(-S28)/(T28-S28),999)</f>
        <v>999</v>
      </c>
      <c r="U33" s="17">
        <f>IF(AND(T28&lt;0,U28&gt;=0),T$2+(-T28)/(U28-T28),999)</f>
        <v>18.05549786226993</v>
      </c>
      <c r="V33" s="17">
        <f>IF(AND(U28&lt;0,V28&gt;=0),U$2+(-U28)/(V28-U28),999)</f>
        <v>999</v>
      </c>
      <c r="W33" s="17">
        <f>IF(AND(V28&lt;0,W28&gt;=0),V$2+(-V28)/(W28-V28),999)</f>
        <v>999</v>
      </c>
      <c r="X33" s="17">
        <f>IF(AND(W28&lt;0,X28&gt;=0),W$2+(-W28)/(X28-W28),999)</f>
        <v>999</v>
      </c>
      <c r="Y33" s="17">
        <f>IF(AND(X28&lt;0,Y28&gt;=0),X$2+(-X28)/(Y28-X28),999)</f>
        <v>999</v>
      </c>
      <c r="Z33" s="17">
        <f>IF(AND(Y28&lt;0,Z28&gt;=0),Y$2+(-Y28)/(Z28-Y28),999)</f>
        <v>999</v>
      </c>
      <c r="AA33" s="17">
        <f>IF(AND(Z28&lt;0,AA28&gt;=0),Z$2+(-Z28)/(AA28-Z28),999)</f>
        <v>999</v>
      </c>
      <c r="AB33" s="17">
        <f>IF(AND(AA28&lt;0,AB28&gt;=0),AA$2+(-AA28)/(AB28-AA28),999)</f>
        <v>999</v>
      </c>
      <c r="AC33" s="17">
        <f>IF(AND(AB28&lt;0,AC28&gt;=0),AB$2+(-AB28)/(AC28-AB28),999)</f>
        <v>999</v>
      </c>
      <c r="AD33" s="17">
        <f>IF(AND(AC28&lt;0,AD28&gt;=0),AC$2+(-AC28)/(AD28-AC28),999)</f>
        <v>999</v>
      </c>
      <c r="AE33" s="17">
        <f>IF(AND(AD28&lt;0,AE28&gt;=0),AD$2+(-AD28)/(AE28-AD28),999)</f>
        <v>999</v>
      </c>
      <c r="AF33" s="17">
        <f>IF(AND(AE28&lt;0,AF28&gt;=0),AE$2+(-AE28)/(AF28-AE28),999)</f>
        <v>999</v>
      </c>
      <c r="AG33" s="17">
        <f>IF(AND(AF28&lt;0,AG28&gt;=0),AF$2+(-AF28)/(AG28-AF28),999)</f>
        <v>999</v>
      </c>
    </row>
    <row r="34">
      <c r="A34" s="13" t="inlineStr">
        <is>
          <t>Payback helper excl. exit</t>
        </is>
      </c>
      <c r="B34" s="18">
        <f>999</f>
        <v>999</v>
      </c>
      <c r="C34" s="18">
        <f>IF(AND(B29&lt;0,C29&gt;=0),B$2+(-B29)/(C29-B29),999)</f>
        <v>999</v>
      </c>
      <c r="D34" s="18">
        <f>IF(AND(C29&lt;0,D29&gt;=0),C$2+(-C29)/(D29-C29),999)</f>
        <v>999</v>
      </c>
      <c r="E34" s="18">
        <f>IF(AND(D29&lt;0,E29&gt;=0),D$2+(-D29)/(E29-D29),999)</f>
        <v>999</v>
      </c>
      <c r="F34" s="18">
        <f>IF(AND(E29&lt;0,F29&gt;=0),E$2+(-E29)/(F29-E29),999)</f>
        <v>999</v>
      </c>
      <c r="G34" s="18">
        <f>IF(AND(F29&lt;0,G29&gt;=0),F$2+(-F29)/(G29-F29),999)</f>
        <v>999</v>
      </c>
      <c r="H34" s="18">
        <f>IF(AND(G29&lt;0,H29&gt;=0),G$2+(-G29)/(H29-G29),999)</f>
        <v>999</v>
      </c>
      <c r="I34" s="18">
        <f>IF(AND(H29&lt;0,I29&gt;=0),H$2+(-H29)/(I29-H29),999)</f>
        <v>999</v>
      </c>
      <c r="J34" s="18">
        <f>IF(AND(I29&lt;0,J29&gt;=0),I$2+(-I29)/(J29-I29),999)</f>
        <v>999</v>
      </c>
      <c r="K34" s="18">
        <f>IF(AND(J29&lt;0,K29&gt;=0),J$2+(-J29)/(K29-J29),999)</f>
        <v>999</v>
      </c>
      <c r="L34" s="18">
        <f>IF(AND(K29&lt;0,L29&gt;=0),K$2+(-K29)/(L29-K29),999)</f>
        <v>999</v>
      </c>
      <c r="M34" s="18">
        <f>IF(AND(L29&lt;0,M29&gt;=0),L$2+(-L29)/(M29-L29),999)</f>
        <v>999</v>
      </c>
      <c r="N34" s="18">
        <f>IF(AND(M29&lt;0,N29&gt;=0),M$2+(-M29)/(N29-M29),999)</f>
        <v>999</v>
      </c>
      <c r="O34" s="18">
        <f>IF(AND(N29&lt;0,O29&gt;=0),N$2+(-N29)/(O29-N29),999)</f>
        <v>999</v>
      </c>
      <c r="P34" s="18">
        <f>IF(AND(O29&lt;0,P29&gt;=0),O$2+(-O29)/(P29-O29),999)</f>
        <v>999</v>
      </c>
      <c r="Q34" s="18">
        <f>IF(AND(P29&lt;0,Q29&gt;=0),P$2+(-P29)/(Q29-P29),999)</f>
        <v>999</v>
      </c>
      <c r="R34" s="18">
        <f>IF(AND(Q29&lt;0,R29&gt;=0),Q$2+(-Q29)/(R29-Q29),999)</f>
        <v>999</v>
      </c>
      <c r="S34" s="18">
        <f>IF(AND(R29&lt;0,S29&gt;=0),R$2+(-R29)/(S29-R29),999)</f>
        <v>999</v>
      </c>
      <c r="T34" s="18">
        <f>IF(AND(S29&lt;0,T29&gt;=0),S$2+(-S29)/(T29-S29),999)</f>
        <v>999</v>
      </c>
      <c r="U34" s="18">
        <f>IF(AND(T29&lt;0,U29&gt;=0),T$2+(-T29)/(U29-T29),999)</f>
        <v>18.05549786226993</v>
      </c>
      <c r="V34" s="18">
        <f>IF(AND(U29&lt;0,V29&gt;=0),U$2+(-U29)/(V29-U29),999)</f>
        <v>999</v>
      </c>
      <c r="W34" s="18">
        <f>IF(AND(V29&lt;0,W29&gt;=0),V$2+(-V29)/(W29-V29),999)</f>
        <v>999</v>
      </c>
      <c r="X34" s="18">
        <f>IF(AND(W29&lt;0,X29&gt;=0),W$2+(-W29)/(X29-W29),999)</f>
        <v>999</v>
      </c>
      <c r="Y34" s="18">
        <f>IF(AND(X29&lt;0,Y29&gt;=0),X$2+(-X29)/(Y29-X29),999)</f>
        <v>999</v>
      </c>
      <c r="Z34" s="18">
        <f>IF(AND(Y29&lt;0,Z29&gt;=0),Y$2+(-Y29)/(Z29-Y29),999)</f>
        <v>999</v>
      </c>
      <c r="AA34" s="18">
        <f>IF(AND(Z29&lt;0,AA29&gt;=0),Z$2+(-Z29)/(AA29-Z29),999)</f>
        <v>999</v>
      </c>
      <c r="AB34" s="18">
        <f>IF(AND(AA29&lt;0,AB29&gt;=0),AA$2+(-AA29)/(AB29-AA29),999)</f>
        <v>999</v>
      </c>
      <c r="AC34" s="18">
        <f>IF(AND(AB29&lt;0,AC29&gt;=0),AB$2+(-AB29)/(AC29-AB29),999)</f>
        <v>999</v>
      </c>
      <c r="AD34" s="18">
        <f>IF(AND(AC29&lt;0,AD29&gt;=0),AC$2+(-AC29)/(AD29-AC29),999)</f>
        <v>999</v>
      </c>
      <c r="AE34" s="18">
        <f>IF(AND(AD29&lt;0,AE29&gt;=0),AD$2+(-AD29)/(AE29-AD29),999)</f>
        <v>999</v>
      </c>
      <c r="AF34" s="18">
        <f>IF(AND(AE29&lt;0,AF29&gt;=0),AE$2+(-AE29)/(AF29-AE29),999)</f>
        <v>999</v>
      </c>
      <c r="AG34" s="18">
        <f>IF(AND(AF29&lt;0,AG29&gt;=0),AF$2+(-AF29)/(AG29-AF29),999)</f>
        <v>999</v>
      </c>
    </row>
    <row r="35">
      <c r="A35" s="15" t="inlineStr">
        <is>
          <t>Discounted helper incl. exit</t>
        </is>
      </c>
      <c r="B35" s="17">
        <f>999</f>
        <v>999</v>
      </c>
      <c r="C35" s="17">
        <f>IF(AND(B30&lt;0,C30&gt;=0),B$2+(-B30)/(C30-B30),999)</f>
        <v>999</v>
      </c>
      <c r="D35" s="17">
        <f>IF(AND(C30&lt;0,D30&gt;=0),C$2+(-C30)/(D30-C30),999)</f>
        <v>999</v>
      </c>
      <c r="E35" s="17">
        <f>IF(AND(D30&lt;0,E30&gt;=0),D$2+(-D30)/(E30-D30),999)</f>
        <v>999</v>
      </c>
      <c r="F35" s="17">
        <f>IF(AND(E30&lt;0,F30&gt;=0),E$2+(-E30)/(F30-E30),999)</f>
        <v>999</v>
      </c>
      <c r="G35" s="17">
        <f>IF(AND(F30&lt;0,G30&gt;=0),F$2+(-F30)/(G30-F30),999)</f>
        <v>999</v>
      </c>
      <c r="H35" s="17">
        <f>IF(AND(G30&lt;0,H30&gt;=0),G$2+(-G30)/(H30-G30),999)</f>
        <v>999</v>
      </c>
      <c r="I35" s="17">
        <f>IF(AND(H30&lt;0,I30&gt;=0),H$2+(-H30)/(I30-H30),999)</f>
        <v>999</v>
      </c>
      <c r="J35" s="17">
        <f>IF(AND(I30&lt;0,J30&gt;=0),I$2+(-I30)/(J30-I30),999)</f>
        <v>999</v>
      </c>
      <c r="K35" s="17">
        <f>IF(AND(J30&lt;0,K30&gt;=0),J$2+(-J30)/(K30-J30),999)</f>
        <v>999</v>
      </c>
      <c r="L35" s="17">
        <f>IF(AND(K30&lt;0,L30&gt;=0),K$2+(-K30)/(L30-K30),999)</f>
        <v>999</v>
      </c>
      <c r="M35" s="17">
        <f>IF(AND(L30&lt;0,M30&gt;=0),L$2+(-L30)/(M30-L30),999)</f>
        <v>999</v>
      </c>
      <c r="N35" s="17">
        <f>IF(AND(M30&lt;0,N30&gt;=0),M$2+(-M30)/(N30-M30),999)</f>
        <v>999</v>
      </c>
      <c r="O35" s="17">
        <f>IF(AND(N30&lt;0,O30&gt;=0),N$2+(-N30)/(O30-N30),999)</f>
        <v>999</v>
      </c>
      <c r="P35" s="17">
        <f>IF(AND(O30&lt;0,P30&gt;=0),O$2+(-O30)/(P30-O30),999)</f>
        <v>999</v>
      </c>
      <c r="Q35" s="17">
        <f>IF(AND(P30&lt;0,Q30&gt;=0),P$2+(-P30)/(Q30-P30),999)</f>
        <v>999</v>
      </c>
      <c r="R35" s="17">
        <f>IF(AND(Q30&lt;0,R30&gt;=0),Q$2+(-Q30)/(R30-Q30),999)</f>
        <v>999</v>
      </c>
      <c r="S35" s="17">
        <f>IF(AND(R30&lt;0,S30&gt;=0),R$2+(-R30)/(S30-R30),999)</f>
        <v>999</v>
      </c>
      <c r="T35" s="17">
        <f>IF(AND(S30&lt;0,T30&gt;=0),S$2+(-S30)/(T30-S30),999)</f>
        <v>999</v>
      </c>
      <c r="U35" s="17">
        <f>IF(AND(T30&lt;0,U30&gt;=0),T$2+(-T30)/(U30-T30),999)</f>
        <v>999</v>
      </c>
      <c r="V35" s="17">
        <f>IF(AND(U30&lt;0,V30&gt;=0),U$2+(-U30)/(V30-U30),999)</f>
        <v>999</v>
      </c>
      <c r="W35" s="17">
        <f>IF(AND(V30&lt;0,W30&gt;=0),V$2+(-V30)/(W30-V30),999)</f>
        <v>999</v>
      </c>
      <c r="X35" s="17">
        <f>IF(AND(W30&lt;0,X30&gt;=0),W$2+(-W30)/(X30-W30),999)</f>
        <v>999</v>
      </c>
      <c r="Y35" s="17">
        <f>IF(AND(X30&lt;0,Y30&gt;=0),X$2+(-X30)/(Y30-X30),999)</f>
        <v>999</v>
      </c>
      <c r="Z35" s="17">
        <f>IF(AND(Y30&lt;0,Z30&gt;=0),Y$2+(-Y30)/(Z30-Y30),999)</f>
        <v>999</v>
      </c>
      <c r="AA35" s="17">
        <f>IF(AND(Z30&lt;0,AA30&gt;=0),Z$2+(-Z30)/(AA30-Z30),999)</f>
        <v>999</v>
      </c>
      <c r="AB35" s="17">
        <f>IF(AND(AA30&lt;0,AB30&gt;=0),AA$2+(-AA30)/(AB30-AA30),999)</f>
        <v>999</v>
      </c>
      <c r="AC35" s="17">
        <f>IF(AND(AB30&lt;0,AC30&gt;=0),AB$2+(-AB30)/(AC30-AB30),999)</f>
        <v>999</v>
      </c>
      <c r="AD35" s="17">
        <f>IF(AND(AC30&lt;0,AD30&gt;=0),AC$2+(-AC30)/(AD30-AC30),999)</f>
        <v>999</v>
      </c>
      <c r="AE35" s="17">
        <f>IF(AND(AD30&lt;0,AE30&gt;=0),AD$2+(-AD30)/(AE30-AD30),999)</f>
        <v>999</v>
      </c>
      <c r="AF35" s="17">
        <f>IF(AND(AE30&lt;0,AF30&gt;=0),AE$2+(-AE30)/(AF30-AE30),999)</f>
        <v>999</v>
      </c>
      <c r="AG35" s="17">
        <f>IF(AND(AF30&lt;0,AG30&gt;=0),AF$2+(-AF30)/(AG30-AF30),999)</f>
        <v>30.865123117229793</v>
      </c>
    </row>
    <row r="36">
      <c r="A36" s="13" t="inlineStr">
        <is>
          <t>Discounted helper excl. exit</t>
        </is>
      </c>
      <c r="B36" s="18">
        <f>999</f>
        <v>999</v>
      </c>
      <c r="C36" s="18">
        <f>IF(AND(B31&lt;0,C31&gt;=0),B$2+(-B31)/(C31-B31),999)</f>
        <v>999</v>
      </c>
      <c r="D36" s="18">
        <f>IF(AND(C31&lt;0,D31&gt;=0),C$2+(-C31)/(D31-C31),999)</f>
        <v>999</v>
      </c>
      <c r="E36" s="18">
        <f>IF(AND(D31&lt;0,E31&gt;=0),D$2+(-D31)/(E31-D31),999)</f>
        <v>999</v>
      </c>
      <c r="F36" s="18">
        <f>IF(AND(E31&lt;0,F31&gt;=0),E$2+(-E31)/(F31-E31),999)</f>
        <v>999</v>
      </c>
      <c r="G36" s="18">
        <f>IF(AND(F31&lt;0,G31&gt;=0),F$2+(-F31)/(G31-F31),999)</f>
        <v>999</v>
      </c>
      <c r="H36" s="18">
        <f>IF(AND(G31&lt;0,H31&gt;=0),G$2+(-G31)/(H31-G31),999)</f>
        <v>999</v>
      </c>
      <c r="I36" s="18">
        <f>IF(AND(H31&lt;0,I31&gt;=0),H$2+(-H31)/(I31-H31),999)</f>
        <v>999</v>
      </c>
      <c r="J36" s="18">
        <f>IF(AND(I31&lt;0,J31&gt;=0),I$2+(-I31)/(J31-I31),999)</f>
        <v>999</v>
      </c>
      <c r="K36" s="18">
        <f>IF(AND(J31&lt;0,K31&gt;=0),J$2+(-J31)/(K31-J31),999)</f>
        <v>999</v>
      </c>
      <c r="L36" s="18">
        <f>IF(AND(K31&lt;0,L31&gt;=0),K$2+(-K31)/(L31-K31),999)</f>
        <v>999</v>
      </c>
      <c r="M36" s="18">
        <f>IF(AND(L31&lt;0,M31&gt;=0),L$2+(-L31)/(M31-L31),999)</f>
        <v>999</v>
      </c>
      <c r="N36" s="18">
        <f>IF(AND(M31&lt;0,N31&gt;=0),M$2+(-M31)/(N31-M31),999)</f>
        <v>999</v>
      </c>
      <c r="O36" s="18">
        <f>IF(AND(N31&lt;0,O31&gt;=0),N$2+(-N31)/(O31-N31),999)</f>
        <v>999</v>
      </c>
      <c r="P36" s="18">
        <f>IF(AND(O31&lt;0,P31&gt;=0),O$2+(-O31)/(P31-O31),999)</f>
        <v>999</v>
      </c>
      <c r="Q36" s="18">
        <f>IF(AND(P31&lt;0,Q31&gt;=0),P$2+(-P31)/(Q31-P31),999)</f>
        <v>999</v>
      </c>
      <c r="R36" s="18">
        <f>IF(AND(Q31&lt;0,R31&gt;=0),Q$2+(-Q31)/(R31-Q31),999)</f>
        <v>999</v>
      </c>
      <c r="S36" s="18">
        <f>IF(AND(R31&lt;0,S31&gt;=0),R$2+(-R31)/(S31-R31),999)</f>
        <v>999</v>
      </c>
      <c r="T36" s="18">
        <f>IF(AND(S31&lt;0,T31&gt;=0),S$2+(-S31)/(T31-S31),999)</f>
        <v>999</v>
      </c>
      <c r="U36" s="18">
        <f>IF(AND(T31&lt;0,U31&gt;=0),T$2+(-T31)/(U31-T31),999)</f>
        <v>999</v>
      </c>
      <c r="V36" s="18">
        <f>IF(AND(U31&lt;0,V31&gt;=0),U$2+(-U31)/(V31-U31),999)</f>
        <v>999</v>
      </c>
      <c r="W36" s="18">
        <f>IF(AND(V31&lt;0,W31&gt;=0),V$2+(-V31)/(W31-V31),999)</f>
        <v>999</v>
      </c>
      <c r="X36" s="18">
        <f>IF(AND(W31&lt;0,X31&gt;=0),W$2+(-W31)/(X31-W31),999)</f>
        <v>999</v>
      </c>
      <c r="Y36" s="18">
        <f>IF(AND(X31&lt;0,Y31&gt;=0),X$2+(-X31)/(Y31-X31),999)</f>
        <v>999</v>
      </c>
      <c r="Z36" s="18">
        <f>IF(AND(Y31&lt;0,Z31&gt;=0),Y$2+(-Y31)/(Z31-Y31),999)</f>
        <v>999</v>
      </c>
      <c r="AA36" s="18">
        <f>IF(AND(Z31&lt;0,AA31&gt;=0),Z$2+(-Z31)/(AA31-Z31),999)</f>
        <v>999</v>
      </c>
      <c r="AB36" s="18">
        <f>IF(AND(AA31&lt;0,AB31&gt;=0),AA$2+(-AA31)/(AB31-AA31),999)</f>
        <v>999</v>
      </c>
      <c r="AC36" s="18">
        <f>IF(AND(AB31&lt;0,AC31&gt;=0),AB$2+(-AB31)/(AC31-AB31),999)</f>
        <v>999</v>
      </c>
      <c r="AD36" s="18">
        <f>IF(AND(AC31&lt;0,AD31&gt;=0),AC$2+(-AC31)/(AD31-AC31),999)</f>
        <v>999</v>
      </c>
      <c r="AE36" s="18">
        <f>IF(AND(AD31&lt;0,AE31&gt;=0),AD$2+(-AD31)/(AE31-AD31),999)</f>
        <v>999</v>
      </c>
      <c r="AF36" s="18">
        <f>IF(AND(AE31&lt;0,AF31&gt;=0),AE$2+(-AE31)/(AF31-AE31),999)</f>
        <v>999</v>
      </c>
      <c r="AG36" s="18">
        <f>IF(AND(AF31&lt;0,AG31&gt;=0),AF$2+(-AF31)/(AG31-AF31),999)</f>
        <v>999</v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15" customWidth="1" min="2" max="2"/>
  </cols>
  <sheetData>
    <row r="1" ht="28" customHeight="1">
      <c r="A1" s="1" t="inlineStr">
        <is>
          <t>HOW TO USE / LIMITATIONS</t>
        </is>
      </c>
      <c r="B1" s="1" t="inlineStr">
        <is>
          <t>Details</t>
        </is>
      </c>
    </row>
    <row r="2" ht="58" customHeight="1">
      <c r="A2" s="2" t="inlineStr">
        <is>
          <t>Purpose</t>
        </is>
      </c>
      <c r="B2" s="2" t="inlineStr">
        <is>
          <t>Feasibility model for construction of student housing on an empty plot in Brussels. Prepared for Anne-Laure, Robbe d. and an unidentified team member.</t>
        </is>
      </c>
    </row>
    <row r="3" ht="58" customHeight="1">
      <c r="A3" s="3" t="inlineStr">
        <is>
          <t>Edit</t>
        </is>
      </c>
      <c r="B3" s="3" t="inlineStr">
        <is>
          <t>Blue text on Inputs = editable. Black text = formulas. Currency EUR. Annual cash flows are year-end except t0. Excel recalculates on opening.</t>
        </is>
      </c>
    </row>
    <row r="4" ht="58" customHeight="1">
      <c r="A4" s="2" t="inlineStr">
        <is>
          <t>Immediate base version</t>
        </is>
      </c>
      <c r="B4" s="2" t="inlineStr">
        <is>
          <t>Financial model saved before external research; official sources added afterwards. Costs/rent remain illustrative. Research date: 14 October 2026.</t>
        </is>
      </c>
    </row>
    <row r="5" ht="58" customHeight="1">
      <c r="A5" s="3" t="inlineStr">
        <is>
          <t>Location</t>
        </is>
      </c>
      <c r="B5" s="3" t="inlineStr">
        <is>
          <t>University/transit proximity is a search criterion. No address, plot size, municipality, zoning or acquisition agreement supplied; no plot feasibility is established.</t>
        </is>
      </c>
    </row>
    <row r="6" ht="58" customHeight="1">
      <c r="A6" s="2" t="inlineStr">
        <is>
          <t>Return definition</t>
        </is>
      </c>
      <c r="B6" s="2" t="inlineStr">
        <is>
          <t>Project IRR and NPV are unlevered and before income/capital gains tax. Debt, financing costs, grants and equity returns excluded.</t>
        </is>
      </c>
    </row>
    <row r="7" ht="58" customHeight="1">
      <c r="A7" s="3" t="inlineStr">
        <is>
          <t>Timing</t>
        </is>
      </c>
      <c r="B7" s="3" t="inlineStr">
        <is>
          <t>One full construction year after t0, completion at t1, first operating-year cash received at t2. 30 operating years; fixed horizon.</t>
        </is>
      </c>
    </row>
    <row r="8" ht="58" customHeight="1">
      <c r="A8" s="2" t="inlineStr">
        <is>
          <t>Cash costs</t>
        </is>
      </c>
      <c r="B8" s="2" t="inlineStr">
        <is>
          <t>Land duty assumed, construction VAT assumed non-recoverable; VAT on land sale is not modeled. Seller/site tax regime could materially alter cost.</t>
        </is>
      </c>
    </row>
    <row r="9" ht="58" customHeight="1">
      <c r="A9" s="3" t="inlineStr">
        <is>
          <t>Rent</t>
        </is>
      </c>
      <c r="B9" s="3" t="inlineStr">
        <is>
          <t>12 monthly rents at occupied fraction. Rent excludes tenant-paid private utilities; shared utility costs retained by owner. 10-month leases require annual rent adjustment.</t>
        </is>
      </c>
    </row>
    <row r="10" ht="58" customHeight="1">
      <c r="A10" s="2" t="inlineStr">
        <is>
          <t>Reserves</t>
        </is>
      </c>
      <c r="B10" s="2" t="inlineStr">
        <is>
          <t>Maintenance margin plus recurring replacement cash expense. Furniture replacements separate every 10 operating years, excluding sale year. Avoid duplication when refining budgets.</t>
        </is>
      </c>
    </row>
    <row r="11" ht="58" customHeight="1">
      <c r="A11" s="3" t="inlineStr">
        <is>
          <t>Terminal value</t>
        </is>
      </c>
      <c r="B11" s="3" t="inlineStr">
        <is>
          <t>Capitalized following-year NOI, before major replacement reserves, less sale costs. No appreciation assumption added separately.</t>
        </is>
      </c>
    </row>
    <row r="12" ht="58" customHeight="1">
      <c r="A12" s="2" t="inlineStr">
        <is>
          <t>Payback</t>
        </is>
      </c>
      <c r="B12" s="2" t="inlineStr">
        <is>
          <t>Simple and discounted payback reported both with and without sale. Sale-dependent recovery shown at year 31. Not reached means not recovered within this horizon.</t>
        </is>
      </c>
    </row>
    <row r="13" ht="58" customHeight="1">
      <c r="A13" s="3" t="inlineStr">
        <is>
          <t>Unknown affordable rule</t>
        </is>
      </c>
      <c r="B13" s="3" t="inlineStr">
        <is>
          <t>Affordable share and additional planning cost remain editable placeholders. No universal mandatory percentage is assumed. Verify the actual permit, zone and scheme.</t>
        </is>
      </c>
    </row>
    <row r="14" ht="58" customHeight="1">
      <c r="A14" s="2" t="inlineStr">
        <is>
          <t>Excluded</t>
        </is>
      </c>
      <c r="B14" s="2" t="inlineStr">
        <is>
          <t>Site contamination, unusual foundations, demolition, financing, corporate income tax, sale taxes, rental VAT exceptions, development delays and vacancy during refurbishment.</t>
        </is>
      </c>
    </row>
    <row r="15" ht="58" customHeight="1">
      <c r="A15" s="3" t="inlineStr">
        <is>
          <t>Sources</t>
        </is>
      </c>
      <c r="B15" s="3" t="inlineStr">
        <is>
          <t>Research notes will be added incrementally after the base workbook has been saved.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9" customWidth="1" min="1" max="1"/>
    <col width="85" customWidth="1" min="2" max="2"/>
    <col width="55" customWidth="1" min="3" max="3"/>
    <col width="45" customWidth="1" min="4" max="4"/>
  </cols>
  <sheetData>
    <row r="1" ht="28" customHeight="1">
      <c r="A1" s="1" t="inlineStr">
        <is>
          <t>Topic</t>
        </is>
      </c>
      <c r="B1" s="1" t="inlineStr">
        <is>
          <t>Requirement / research note</t>
        </is>
      </c>
      <c r="C1" s="1" t="inlineStr">
        <is>
          <t>Official source / reference</t>
        </is>
      </c>
      <c r="D1" s="1" t="inlineStr">
        <is>
          <t>Status / date</t>
        </is>
      </c>
    </row>
    <row r="2" ht="88" customHeight="1">
      <c r="A2" s="3" t="inlineStr">
        <is>
          <t>Land transfer duty</t>
        </is>
      </c>
      <c r="B2" s="3" t="inlineStr">
        <is>
          <t>Ordinary Brussels registration duty is 12.5%. Model applies it to assumed land price; ask notary to confirm market-value tax base and VAT interaction. No homebuyer abatement assumed.</t>
        </is>
      </c>
      <c r="C2" s="23" t="inlineStr">
        <is>
          <t>https://be.brussels/en/taxes-finances/taxes/property-related-taxes/registration-duties/abatement</t>
        </is>
      </c>
      <c r="D2" s="3" t="inlineStr">
        <is>
          <t>Verified ordinary rate; project treatment pending | checked 2026-10-14</t>
        </is>
      </c>
    </row>
    <row r="3" ht="88" customHeight="1">
      <c r="A3" s="3" t="inlineStr">
        <is>
          <t>Construction VAT</t>
        </is>
      </c>
      <c r="B3" s="3" t="inlineStr">
        <is>
          <t>Federal guidance states 21% VAT for new construction. Model assumes all budgeted construction/professional VAT is non-recoverable; confirm project-specific exemptions or reduced rates.</t>
        </is>
      </c>
      <c r="C3" s="23" t="inlineStr">
        <is>
          <t>https://finances.belgium.be/fr/particuliers/habitation/construire-renover/renover/renover-taux-de-tva</t>
        </is>
      </c>
      <c r="D3" s="3" t="inlineStr">
        <is>
          <t>Verified standard rate; tax advice pending | checked 2026-10-14</t>
        </is>
      </c>
    </row>
    <row r="4" ht="88" customHeight="1">
      <c r="A4" s="3" t="inlineStr">
        <is>
          <t>Planning / zoning</t>
        </is>
      </c>
      <c r="B4" s="3" t="inlineStr">
        <is>
          <t>Regional planning rules govern buildings and housing habitability; municipality and urban.brussels must confirm use, plot constraints, room layout, height and permit requirements.</t>
        </is>
      </c>
      <c r="C4" s="23" t="inlineStr">
        <is>
          <t>https://be.brussels/fr/developpement-urbain/urbanisme</t>
        </is>
      </c>
      <c r="D4" s="3" t="inlineStr">
        <is>
          <t>Site unknown; permit feasibility not assessed | checked 2026-10-14</t>
        </is>
      </c>
    </row>
    <row r="5" ht="88" customHeight="1">
      <c r="A5" s="3" t="inlineStr">
        <is>
          <t>Permit application</t>
        </is>
      </c>
      <c r="B5" s="3" t="inlineStr">
        <is>
          <t>MyPermit is the official platform for regional and municipal planning applications. Obtain architect and authority advice before acquisition.</t>
        </is>
      </c>
      <c r="C5" s="23" t="inlineStr">
        <is>
          <t>https://mypermit.urban.brussels/</t>
        </is>
      </c>
      <c r="D5" s="3" t="inlineStr">
        <is>
          <t>Official application route | checked 2026-10-14</t>
        </is>
      </c>
    </row>
    <row r="6" ht="88" customHeight="1">
      <c r="A6" s="3" t="inlineStr">
        <is>
          <t>Housing quality / fire</t>
        </is>
      </c>
      <c r="B6" s="3" t="inlineStr">
        <is>
          <t>Official housing page references housing safety, health and equipment requirements applicable from 1 January 2026, and smoke-detection rules from 1 January 2025. Design compliance and SIAMU advice must be priced by architect.</t>
        </is>
      </c>
      <c r="C6" s="23" t="inlineStr">
        <is>
          <t>https://be.brussels/fr/logement/location/conformite-logement/normes-et-securite</t>
        </is>
      </c>
      <c r="D6" s="3" t="inlineStr">
        <is>
          <t>Current official standards page; design review pending | checked 2026-10-14</t>
        </is>
      </c>
    </row>
    <row r="7" ht="88" customHeight="1">
      <c r="A7" s="3" t="inlineStr">
        <is>
          <t>Student lease term</t>
        </is>
      </c>
      <c r="B7" s="3" t="inlineStr">
        <is>
          <t>Regional rental guidance describes the student lease as 12 months. Model assumes a fully contracted year, adjusted for 95% collected occupancy. Account for termination and non-collection when refining occupancy.</t>
        </is>
      </c>
      <c r="C7" s="23" t="inlineStr">
        <is>
          <t>https://be.brussels/fr/logement/location/les-differentes-etapes-de-la-location</t>
        </is>
      </c>
      <c r="D7" s="3" t="inlineStr">
        <is>
          <t>Official rental guidance | checked 2026-10-14</t>
        </is>
      </c>
    </row>
    <row r="8" ht="88" customHeight="1">
      <c r="A8" s="3" t="inlineStr">
        <is>
          <t>Lease / rent indexation</t>
        </is>
      </c>
      <c r="B8" s="3" t="inlineStr">
        <is>
          <t>Regional lease guidance covers rent, indexation and repair obligations. Fixed 2% rent growth is a financial assumption, not an automatic legal entitlement.</t>
        </is>
      </c>
      <c r="C8" s="23" t="inlineStr">
        <is>
          <t>https://be.brussels/fr/logement/location/bail-dhabitation</t>
        </is>
      </c>
      <c r="D8" s="3" t="inlineStr">
        <is>
          <t>Lease-specific applicability pending | checked 2026-10-14</t>
        </is>
      </c>
    </row>
    <row r="9" ht="88" customHeight="1">
      <c r="A9" s="3" t="inlineStr">
        <is>
          <t>Student housing label</t>
        </is>
      </c>
      <c r="B9" s="3" t="inlineStr">
        <is>
          <t>Regional label requires housing-code compliance, an appropriate student lease and a valid energy certificate; label lasts five years and is renewable. The label does not establish a universal affordable-room quota.</t>
        </is>
      </c>
      <c r="C9" s="23" t="inlineStr">
        <is>
          <t>https://be.brussels/fr/logement/location/conformite-logement/label-logement-etudiant</t>
        </is>
      </c>
      <c r="D9" s="3" t="inlineStr">
        <is>
          <t>Optional label to assess | checked 2026-10-14</t>
        </is>
      </c>
    </row>
    <row r="10" ht="88" customHeight="1">
      <c r="A10" s="3" t="inlineStr">
        <is>
          <t>Affordable threshold / planning charges</t>
        </is>
      </c>
      <c r="B10" s="3" t="inlineStr">
        <is>
          <t>User wording is unclear. No region-wide quota has been established by this research. Request the actual municipal policy, permit conditions and subsidy terms. Enter share, discount and additional capital cost on Inputs; zero is a modeling placeholder.</t>
        </is>
      </c>
      <c r="C10" s="23" t="inlineStr">
        <is>
          <t>https://be.brussels/fr/developpement-urbain/urbanisme</t>
        </is>
      </c>
      <c r="D10" s="3" t="inlineStr">
        <is>
          <t>UNRESOLVED — confirm exact plot and scheme | checked 2026-10-14</t>
        </is>
      </c>
    </row>
    <row r="11" ht="88" customHeight="1">
      <c r="A11" s="3" t="inlineStr">
        <is>
          <t>Location / market evidence</t>
        </is>
      </c>
      <c r="B11" s="3" t="inlineStr">
        <is>
          <t>University and transit proximity remains a screening criterion. Brik provides student housing information; obtain comparable available-room rents for exact area and amenities before using EUR 750 as underwriting evidence.</t>
        </is>
      </c>
      <c r="C11" s="23" t="inlineStr">
        <is>
          <t>https://www.brik.be/en</t>
        </is>
      </c>
      <c r="D11" s="3" t="inlineStr">
        <is>
          <t>Rent, land and construction prices are illustrative | checked 2026-10-14</t>
        </is>
      </c>
    </row>
    <row r="12" ht="88" customHeight="1">
      <c r="A12" s="3" t="inlineStr">
        <is>
          <t>Insurance</t>
        </is>
      </c>
      <c r="B12" s="3" t="inlineStr">
        <is>
          <t>EUR 6,000 annual owner building insurance is an allowance; request quotes covering fire, water damage, liability and loss of rent. Verify tenant insurance obligations separately.</t>
        </is>
      </c>
      <c r="C12" s="3" t="inlineStr"/>
      <c r="D12" s="3" t="inlineStr">
        <is>
          <t>No insurer quote; allowance only | checked 2026-10-14</t>
        </is>
      </c>
    </row>
    <row r="13" ht="88" customHeight="1">
      <c r="A13" s="3" t="inlineStr">
        <is>
          <t>Architect / construction / maintenance</t>
        </is>
      </c>
      <c r="B13" s="3" t="inlineStr">
        <is>
          <t>All cost rates and reserve margins are analyst planning assumptions, not official tariffs or quotations. Verify area take-off and bids; MEP, fixtures, kitchens and furniture are itemized separately.</t>
        </is>
      </c>
      <c r="C13" s="3" t="inlineStr"/>
      <c r="D13" s="3" t="inlineStr">
        <is>
          <t>Quote required | checked 2026-10-14</t>
        </is>
      </c>
    </row>
  </sheetData>
  <autoFilter ref="A1:D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1" t="inlineStr">
        <is>
          <t>NPV SENSITIVITY | EUR</t>
        </is>
      </c>
      <c r="B1" s="1" t="inlineStr">
        <is>
          <t>Exit cap rate →</t>
        </is>
      </c>
    </row>
    <row r="2">
      <c r="A2" s="25" t="inlineStr">
        <is>
          <t>Monthly market rent ↓</t>
        </is>
      </c>
      <c r="B2" s="26">
        <f>Inputs!$B$32*0.8</f>
        <v>0.044000000000000004</v>
      </c>
      <c r="C2" s="26">
        <f>Inputs!$B$32*0.9</f>
        <v>0.0495</v>
      </c>
      <c r="D2" s="26">
        <f>Inputs!$B$32*1</f>
        <v>0.055</v>
      </c>
      <c r="E2" s="26">
        <f>Inputs!$B$32*1.1</f>
        <v>0.060500000000000005</v>
      </c>
      <c r="F2" s="26">
        <f>Inputs!$B$32*1.2</f>
        <v>0.066</v>
      </c>
    </row>
    <row r="3">
      <c r="A3" s="27">
        <f>Inputs!$B$20*0.8</f>
        <v>600.0</v>
      </c>
      <c r="B3" s="27">
        <f>Summary!$B$4+($A3/Inputs!$B$20-1)*(1-Inputs!$B$24-Inputs!$B$25)*SUMPRODUCT('Cash flows'!$D$8:$AG$8,'Cash flows'!$D$25:$AG$25)+(('Cash flows'!$AG$20*Inputs!$B$32/B$2+($A3/Inputs!$B$20-1)*'Cash flows'!$AG$8*(1+Inputs!$B$23)*(1-Inputs!$B$24-Inputs!$B$25)/B$2)*(1-Inputs!$B$33)-'Cash flows'!$AG$22)*'Cash flows'!$AG$25</f>
        <v>-793108.8035257262</v>
      </c>
      <c r="C3" s="27">
        <f>Summary!$B$4+($A3/Inputs!$B$20-1)*(1-Inputs!$B$24-Inputs!$B$25)*SUMPRODUCT('Cash flows'!$D$8:$AG$8,'Cash flows'!$D$25:$AG$25)+(('Cash flows'!$AG$20*Inputs!$B$32/C$2+($A3/Inputs!$B$20-1)*'Cash flows'!$AG$8*(1+Inputs!$B$23)*(1-Inputs!$B$24-Inputs!$B$25)/C$2)*(1-Inputs!$B$33)-'Cash flows'!$AG$22)*'Cash flows'!$AG$25</f>
        <v>-923881.9222758693</v>
      </c>
      <c r="D3" s="27">
        <f>Summary!$B$4+($A3/Inputs!$B$20-1)*(1-Inputs!$B$24-Inputs!$B$25)*SUMPRODUCT('Cash flows'!$D$8:$AG$8,'Cash flows'!$D$25:$AG$25)+(('Cash flows'!$AG$20*Inputs!$B$32/D$2+($A3/Inputs!$B$20-1)*'Cash flows'!$AG$8*(1+Inputs!$B$23)*(1-Inputs!$B$24-Inputs!$B$25)/D$2)*(1-Inputs!$B$33)-'Cash flows'!$AG$22)*'Cash flows'!$AG$25</f>
        <v>-1028500.4172759838</v>
      </c>
      <c r="E3" s="27">
        <f>Summary!$B$4+($A3/Inputs!$B$20-1)*(1-Inputs!$B$24-Inputs!$B$25)*SUMPRODUCT('Cash flows'!$D$8:$AG$8,'Cash flows'!$D$25:$AG$25)+(('Cash flows'!$AG$20*Inputs!$B$32/E$2+($A3/Inputs!$B$20-1)*'Cash flows'!$AG$8*(1+Inputs!$B$23)*(1-Inputs!$B$24-Inputs!$B$25)/E$2)*(1-Inputs!$B$33)-'Cash flows'!$AG$22)*'Cash flows'!$AG$25</f>
        <v>-1114097.367730623</v>
      </c>
      <c r="F3" s="27">
        <f>Summary!$B$4+($A3/Inputs!$B$20-1)*(1-Inputs!$B$24-Inputs!$B$25)*SUMPRODUCT('Cash flows'!$D$8:$AG$8,'Cash flows'!$D$25:$AG$25)+(('Cash flows'!$AG$20*Inputs!$B$32/F$2+($A3/Inputs!$B$20-1)*'Cash flows'!$AG$8*(1+Inputs!$B$23)*(1-Inputs!$B$24-Inputs!$B$25)/F$2)*(1-Inputs!$B$33)-'Cash flows'!$AG$22)*'Cash flows'!$AG$25</f>
        <v>-1185428.1597761558</v>
      </c>
    </row>
    <row r="4">
      <c r="A4" s="27">
        <f>Inputs!$B$20*0.9</f>
        <v>675.0</v>
      </c>
      <c r="B4" s="27">
        <f>Summary!$B$4+($A4/Inputs!$B$20-1)*(1-Inputs!$B$24-Inputs!$B$25)*SUMPRODUCT('Cash flows'!$D$8:$AG$8,'Cash flows'!$D$25:$AG$25)+(('Cash flows'!$AG$20*Inputs!$B$32/B$2+($A4/Inputs!$B$20-1)*'Cash flows'!$AG$8*(1+Inputs!$B$23)*(1-Inputs!$B$24-Inputs!$B$25)/B$2)*(1-Inputs!$B$33)-'Cash flows'!$AG$22)*'Cash flows'!$AG$25</f>
        <v>-157596.1404433053</v>
      </c>
      <c r="C4" s="27">
        <f>Summary!$B$4+($A4/Inputs!$B$20-1)*(1-Inputs!$B$24-Inputs!$B$25)*SUMPRODUCT('Cash flows'!$D$8:$AG$8,'Cash flows'!$D$25:$AG$25)+(('Cash flows'!$AG$20*Inputs!$B$32/C$2+($A4/Inputs!$B$20-1)*'Cash flows'!$AG$8*(1+Inputs!$B$23)*(1-Inputs!$B$24-Inputs!$B$25)/C$2)*(1-Inputs!$B$33)-'Cash flows'!$AG$22)*'Cash flows'!$AG$25</f>
        <v>-307738.5765231203</v>
      </c>
      <c r="D4" s="27">
        <f>Summary!$B$4+($A4/Inputs!$B$20-1)*(1-Inputs!$B$24-Inputs!$B$25)*SUMPRODUCT('Cash flows'!$D$8:$AG$8,'Cash flows'!$D$25:$AG$25)+(('Cash flows'!$AG$20*Inputs!$B$32/D$2+($A4/Inputs!$B$20-1)*'Cash flows'!$AG$8*(1+Inputs!$B$23)*(1-Inputs!$B$24-Inputs!$B$25)/D$2)*(1-Inputs!$B$33)-'Cash flows'!$AG$22)*'Cash flows'!$AG$25</f>
        <v>-427852.52538697247</v>
      </c>
      <c r="E4" s="27">
        <f>Summary!$B$4+($A4/Inputs!$B$20-1)*(1-Inputs!$B$24-Inputs!$B$25)*SUMPRODUCT('Cash flows'!$D$8:$AG$8,'Cash flows'!$D$25:$AG$25)+(('Cash flows'!$AG$20*Inputs!$B$32/E$2+($A4/Inputs!$B$20-1)*'Cash flows'!$AG$8*(1+Inputs!$B$23)*(1-Inputs!$B$24-Inputs!$B$25)/E$2)*(1-Inputs!$B$33)-'Cash flows'!$AG$22)*'Cash flows'!$AG$25</f>
        <v>-526127.5744573968</v>
      </c>
      <c r="F4" s="27">
        <f>Summary!$B$4+($A4/Inputs!$B$20-1)*(1-Inputs!$B$24-Inputs!$B$25)*SUMPRODUCT('Cash flows'!$D$8:$AG$8,'Cash flows'!$D$25:$AG$25)+(('Cash flows'!$AG$20*Inputs!$B$32/F$2+($A4/Inputs!$B$20-1)*'Cash flows'!$AG$8*(1+Inputs!$B$23)*(1-Inputs!$B$24-Inputs!$B$25)/F$2)*(1-Inputs!$B$33)-'Cash flows'!$AG$22)*'Cash flows'!$AG$25</f>
        <v>-608023.4486827503</v>
      </c>
    </row>
    <row r="5">
      <c r="A5" s="27">
        <f>Inputs!$B$20*1</f>
        <v>750</v>
      </c>
      <c r="B5" s="27">
        <f>Summary!$B$4+($A5/Inputs!$B$20-1)*(1-Inputs!$B$24-Inputs!$B$25)*SUMPRODUCT('Cash flows'!$D$8:$AG$8,'Cash flows'!$D$25:$AG$25)+(('Cash flows'!$AG$20*Inputs!$B$32/B$2+($A5/Inputs!$B$20-1)*'Cash flows'!$AG$8*(1+Inputs!$B$23)*(1-Inputs!$B$24-Inputs!$B$25)/B$2)*(1-Inputs!$B$33)-'Cash flows'!$AG$22)*'Cash flows'!$AG$25</f>
        <v>477916.52263911534</v>
      </c>
      <c r="C5" s="27">
        <f>Summary!$B$4+($A5/Inputs!$B$20-1)*(1-Inputs!$B$24-Inputs!$B$25)*SUMPRODUCT('Cash flows'!$D$8:$AG$8,'Cash flows'!$D$25:$AG$25)+(('Cash flows'!$AG$20*Inputs!$B$32/C$2+($A5/Inputs!$B$20-1)*'Cash flows'!$AG$8*(1+Inputs!$B$23)*(1-Inputs!$B$24-Inputs!$B$25)/C$2)*(1-Inputs!$B$33)-'Cash flows'!$AG$22)*'Cash flows'!$AG$25</f>
        <v>308404.7692296287</v>
      </c>
      <c r="D5" s="27">
        <f>Summary!$B$4+($A5/Inputs!$B$20-1)*(1-Inputs!$B$24-Inputs!$B$25)*SUMPRODUCT('Cash flows'!$D$8:$AG$8,'Cash flows'!$D$25:$AG$25)+(('Cash flows'!$AG$20*Inputs!$B$32/D$2+($A5/Inputs!$B$20-1)*'Cash flows'!$AG$8*(1+Inputs!$B$23)*(1-Inputs!$B$24-Inputs!$B$25)/D$2)*(1-Inputs!$B$33)-'Cash flows'!$AG$22)*'Cash flows'!$AG$25</f>
        <v>172795.36650203937</v>
      </c>
      <c r="E5" s="27">
        <f>Summary!$B$4+($A5/Inputs!$B$20-1)*(1-Inputs!$B$24-Inputs!$B$25)*SUMPRODUCT('Cash flows'!$D$8:$AG$8,'Cash flows'!$D$25:$AG$25)+(('Cash flows'!$AG$20*Inputs!$B$32/E$2+($A5/Inputs!$B$20-1)*'Cash flows'!$AG$8*(1+Inputs!$B$23)*(1-Inputs!$B$24-Inputs!$B$25)/E$2)*(1-Inputs!$B$33)-'Cash flows'!$AG$22)*'Cash flows'!$AG$25</f>
        <v>61842.21881582962</v>
      </c>
      <c r="F5" s="27">
        <f>Summary!$B$4+($A5/Inputs!$B$20-1)*(1-Inputs!$B$24-Inputs!$B$25)*SUMPRODUCT('Cash flows'!$D$8:$AG$8,'Cash flows'!$D$25:$AG$25)+(('Cash flows'!$AG$20*Inputs!$B$32/F$2+($A5/Inputs!$B$20-1)*'Cash flows'!$AG$8*(1+Inputs!$B$23)*(1-Inputs!$B$24-Inputs!$B$25)/F$2)*(1-Inputs!$B$33)-'Cash flows'!$AG$22)*'Cash flows'!$AG$25</f>
        <v>-30618.737589344993</v>
      </c>
    </row>
    <row r="6">
      <c r="A6" s="27">
        <f>Inputs!$B$20*1.1</f>
        <v>825.0000000000001</v>
      </c>
      <c r="B6" s="27">
        <f>Summary!$B$4+($A6/Inputs!$B$20-1)*(1-Inputs!$B$24-Inputs!$B$25)*SUMPRODUCT('Cash flows'!$D$8:$AG$8,'Cash flows'!$D$25:$AG$25)+(('Cash flows'!$AG$20*Inputs!$B$32/B$2+($A6/Inputs!$B$20-1)*'Cash flows'!$AG$8*(1+Inputs!$B$23)*(1-Inputs!$B$24-Inputs!$B$25)/B$2)*(1-Inputs!$B$33)-'Cash flows'!$AG$22)*'Cash flows'!$AG$25</f>
        <v>1113429.1857215366</v>
      </c>
      <c r="C6" s="27">
        <f>Summary!$B$4+($A6/Inputs!$B$20-1)*(1-Inputs!$B$24-Inputs!$B$25)*SUMPRODUCT('Cash flows'!$D$8:$AG$8,'Cash flows'!$D$25:$AG$25)+(('Cash flows'!$AG$20*Inputs!$B$32/C$2+($A6/Inputs!$B$20-1)*'Cash flows'!$AG$8*(1+Inputs!$B$23)*(1-Inputs!$B$24-Inputs!$B$25)/C$2)*(1-Inputs!$B$33)-'Cash flows'!$AG$22)*'Cash flows'!$AG$25</f>
        <v>924548.1149823784</v>
      </c>
      <c r="D6" s="27">
        <f>Summary!$B$4+($A6/Inputs!$B$20-1)*(1-Inputs!$B$24-Inputs!$B$25)*SUMPRODUCT('Cash flows'!$D$8:$AG$8,'Cash flows'!$D$25:$AG$25)+(('Cash flows'!$AG$20*Inputs!$B$32/D$2+($A6/Inputs!$B$20-1)*'Cash flows'!$AG$8*(1+Inputs!$B$23)*(1-Inputs!$B$24-Inputs!$B$25)/D$2)*(1-Inputs!$B$33)-'Cash flows'!$AG$22)*'Cash flows'!$AG$25</f>
        <v>773443.2583910514</v>
      </c>
      <c r="E6" s="27">
        <f>Summary!$B$4+($A6/Inputs!$B$20-1)*(1-Inputs!$B$24-Inputs!$B$25)*SUMPRODUCT('Cash flows'!$D$8:$AG$8,'Cash flows'!$D$25:$AG$25)+(('Cash flows'!$AG$20*Inputs!$B$32/E$2+($A6/Inputs!$B$20-1)*'Cash flows'!$AG$8*(1+Inputs!$B$23)*(1-Inputs!$B$24-Inputs!$B$25)/E$2)*(1-Inputs!$B$33)-'Cash flows'!$AG$22)*'Cash flows'!$AG$25</f>
        <v>649812.0120890568</v>
      </c>
      <c r="F6" s="27">
        <f>Summary!$B$4+($A6/Inputs!$B$20-1)*(1-Inputs!$B$24-Inputs!$B$25)*SUMPRODUCT('Cash flows'!$D$8:$AG$8,'Cash flows'!$D$25:$AG$25)+(('Cash flows'!$AG$20*Inputs!$B$32/F$2+($A6/Inputs!$B$20-1)*'Cash flows'!$AG$8*(1+Inputs!$B$23)*(1-Inputs!$B$24-Inputs!$B$25)/F$2)*(1-Inputs!$B$33)-'Cash flows'!$AG$22)*'Cash flows'!$AG$25</f>
        <v>546785.9735040612</v>
      </c>
    </row>
    <row r="7">
      <c r="A7" s="27">
        <f>Inputs!$B$20*1.2</f>
        <v>900.0</v>
      </c>
      <c r="B7" s="27">
        <f>Summary!$B$4+($A7/Inputs!$B$20-1)*(1-Inputs!$B$24-Inputs!$B$25)*SUMPRODUCT('Cash flows'!$D$8:$AG$8,'Cash flows'!$D$25:$AG$25)+(('Cash flows'!$AG$20*Inputs!$B$32/B$2+($A7/Inputs!$B$20-1)*'Cash flows'!$AG$8*(1+Inputs!$B$23)*(1-Inputs!$B$24-Inputs!$B$25)/B$2)*(1-Inputs!$B$33)-'Cash flows'!$AG$22)*'Cash flows'!$AG$25</f>
        <v>1748941.8488039568</v>
      </c>
      <c r="C7" s="27">
        <f>Summary!$B$4+($A7/Inputs!$B$20-1)*(1-Inputs!$B$24-Inputs!$B$25)*SUMPRODUCT('Cash flows'!$D$8:$AG$8,'Cash flows'!$D$25:$AG$25)+(('Cash flows'!$AG$20*Inputs!$B$32/C$2+($A7/Inputs!$B$20-1)*'Cash flows'!$AG$8*(1+Inputs!$B$23)*(1-Inputs!$B$24-Inputs!$B$25)/C$2)*(1-Inputs!$B$33)-'Cash flows'!$AG$22)*'Cash flows'!$AG$25</f>
        <v>1540691.4607351266</v>
      </c>
      <c r="D7" s="27">
        <f>Summary!$B$4+($A7/Inputs!$B$20-1)*(1-Inputs!$B$24-Inputs!$B$25)*SUMPRODUCT('Cash flows'!$D$8:$AG$8,'Cash flows'!$D$25:$AG$25)+(('Cash flows'!$AG$20*Inputs!$B$32/D$2+($A7/Inputs!$B$20-1)*'Cash flows'!$AG$8*(1+Inputs!$B$23)*(1-Inputs!$B$24-Inputs!$B$25)/D$2)*(1-Inputs!$B$33)-'Cash flows'!$AG$22)*'Cash flows'!$AG$25</f>
        <v>1374091.1502800626</v>
      </c>
      <c r="E7" s="27">
        <f>Summary!$B$4+($A7/Inputs!$B$20-1)*(1-Inputs!$B$24-Inputs!$B$25)*SUMPRODUCT('Cash flows'!$D$8:$AG$8,'Cash flows'!$D$25:$AG$25)+(('Cash flows'!$AG$20*Inputs!$B$32/E$2+($A7/Inputs!$B$20-1)*'Cash flows'!$AG$8*(1+Inputs!$B$23)*(1-Inputs!$B$24-Inputs!$B$25)/E$2)*(1-Inputs!$B$33)-'Cash flows'!$AG$22)*'Cash flows'!$AG$25</f>
        <v>1237781.8053622826</v>
      </c>
      <c r="F7" s="27">
        <f>Summary!$B$4+($A7/Inputs!$B$20-1)*(1-Inputs!$B$24-Inputs!$B$25)*SUMPRODUCT('Cash flows'!$D$8:$AG$8,'Cash flows'!$D$25:$AG$25)+(('Cash flows'!$AG$20*Inputs!$B$32/F$2+($A7/Inputs!$B$20-1)*'Cash flows'!$AG$8*(1+Inputs!$B$23)*(1-Inputs!$B$24-Inputs!$B$25)/F$2)*(1-Inputs!$B$33)-'Cash flows'!$AG$22)*'Cash flows'!$AG$25</f>
        <v>1124190.6845974664</v>
      </c>
    </row>
    <row r="9" ht="48" customHeight="1">
      <c r="A9" t="inlineStr">
        <is>
          <t>Method</t>
        </is>
      </c>
      <c r="B9" t="inlineStr">
        <is>
          <t>Rent and exit cap vary; all other inputs fixed. Affordable discount and occupancy remain at Inputs values.</t>
        </is>
      </c>
    </row>
  </sheetData>
  <mergeCells count="1">
    <mergeCell ref="B9:F9"/>
  </mergeCells>
  <conditionalFormatting sqref="B3:F7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2026-10-14T19:41:41Z</dcterms:created>
  <dcterms:modified xsi:type="dcterms:W3CDTF">2026-10-14T19:41:42Z</dcterms:modified>
</cp:coreProperties>
</file>