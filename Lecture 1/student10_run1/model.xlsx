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Start" sheetId="1" state="visible" r:id="rId1"/>
    <sheet name="Inputs" sheetId="2" state="visible" r:id="rId2"/>
    <sheet name="Dashboard" sheetId="3" state="visible" r:id="rId3"/>
    <sheet name="Bad" sheetId="4" state="visible" r:id="rId4"/>
    <sheet name="Intermediate" sheetId="5" state="visible" r:id="rId5"/>
    <sheet name="Optimal" sheetId="6" state="visible" r:id="rId6"/>
    <sheet name="Due diligence" sheetId="7" state="visible" r:id="rId7"/>
    <sheet name="Sources" sheetId="8" state="visible" r:id="rId8"/>
    <sheet name="Prompt" sheetId="9" state="visible" r:id="rId9"/>
    <sheet name="Market and risks" sheetId="10" state="visible" r:id="rId10"/>
    <sheet name="Sensitivity" sheetId="11" state="visible" r:id="rId11"/>
  </sheets>
  <definedNames>
    <definedName name="_xlnm._FilterDatabase" localSheetId="0" hidden="1">'Start'!$A$1:$B$11</definedName>
    <definedName name="_xlnm.Print_Titles" localSheetId="0">'Start'!$1:$1</definedName>
    <definedName name="_xlnm._FilterDatabase" localSheetId="1" hidden="1">'Inputs'!$A$1:$F$27</definedName>
    <definedName name="_xlnm.Print_Titles" localSheetId="1">'Inputs'!$1:$1</definedName>
    <definedName name="_xlnm._FilterDatabase" localSheetId="2" hidden="1">'Dashboard'!$A$1:$E$18</definedName>
    <definedName name="_xlnm.Print_Titles" localSheetId="2">'Dashboard'!$1:$1</definedName>
    <definedName name="_xlnm._FilterDatabase" localSheetId="3" hidden="1">'Bad'!$A$1:$P$26</definedName>
    <definedName name="_xlnm.Print_Titles" localSheetId="3">'Bad'!$1:$1</definedName>
    <definedName name="_xlnm._FilterDatabase" localSheetId="4" hidden="1">'Intermediate'!$A$1:$P$26</definedName>
    <definedName name="_xlnm.Print_Titles" localSheetId="4">'Intermediate'!$1:$1</definedName>
    <definedName name="_xlnm._FilterDatabase" localSheetId="5" hidden="1">'Optimal'!$A$1:$P$26</definedName>
    <definedName name="_xlnm.Print_Titles" localSheetId="5">'Optimal'!$1:$1</definedName>
    <definedName name="_xlnm._FilterDatabase" localSheetId="6" hidden="1">'Due diligence'!$A$1:$E$13</definedName>
    <definedName name="_xlnm.Print_Titles" localSheetId="6">'Due diligence'!$1:$1</definedName>
    <definedName name="_xlnm._FilterDatabase" localSheetId="7" hidden="1">'Sources'!$A$1:$D$10</definedName>
    <definedName name="_xlnm.Print_Titles" localSheetId="7">'Sources'!$1:$1</definedName>
    <definedName name="_xlnm._FilterDatabase" localSheetId="8" hidden="1">'Prompt'!$A$1:$B$2</definedName>
    <definedName name="_xlnm.Print_Titles" localSheetId="8">'Prompt'!$1:$1</definedName>
    <definedName name="_xlnm._FilterDatabase" localSheetId="9" hidden="1">'Market and risks'!$A$1:$D$10</definedName>
    <definedName name="_xlnm.Print_Titles" localSheetId="9">'Market and risks'!$1:$1</definedName>
    <definedName name="_xlnm.Print_Titles" localSheetId="10">'Sensitivity'!$1:$1</definedName>
  </definedNames>
  <calcPr calcId="191029" fullCalcOnLoad="1"/>
</workbook>
</file>

<file path=xl/styles.xml><?xml version="1.0" encoding="utf-8"?>
<styleSheet xmlns="http://schemas.openxmlformats.org/spreadsheetml/2006/main">
  <numFmts count="3">
    <numFmt numFmtId="164" formatCode="0.0%"/>
    <numFmt numFmtId="165" formatCode="#,##0.00;[Red](#,##0.00)"/>
    <numFmt numFmtId="166" formatCode="0.00x"/>
  </numFmts>
  <fonts count="5">
    <font>
      <name val="Calibri"/>
      <family val="2"/>
      <color theme="1"/>
      <sz val="11"/>
      <scheme val="minor"/>
    </font>
    <font>
      <color rgb="000070C0"/>
    </font>
    <font>
      <b val="1"/>
      <color rgb="00FFFFFF"/>
    </font>
    <font>
      <color rgb="00183D30"/>
    </font>
    <font>
      <name val="Calibri"/>
      <family val="2"/>
      <color theme="10"/>
      <sz val="12"/>
      <scheme val="minor"/>
    </font>
  </fonts>
  <fills count="3">
    <fill>
      <patternFill/>
    </fill>
    <fill>
      <patternFill patternType="gray125"/>
    </fill>
    <fill>
      <patternFill patternType="solid">
        <fgColor rgb="0016324F"/>
      </patternFill>
    </fill>
  </fills>
  <borders count="1">
    <border>
      <left/>
      <right/>
      <top/>
      <bottom/>
      <diagonal/>
    </border>
  </borders>
  <cellStyleXfs count="2">
    <xf numFmtId="0" fontId="0" fillId="0" borderId="0"/>
    <xf numFmtId="0" fontId="4" fillId="0" borderId="0"/>
  </cellStyleXfs>
  <cellXfs count="12">
    <xf numFmtId="0" fontId="0" fillId="0" borderId="0" pivotButton="0" quotePrefix="0" xfId="0"/>
    <xf numFmtId="0" fontId="2" fillId="2" borderId="0" applyAlignment="1" pivotButton="0" quotePrefix="0" xfId="0">
      <alignment wrapText="1"/>
    </xf>
    <xf numFmtId="0" fontId="0" fillId="0" borderId="0" applyAlignment="1" pivotButton="0" quotePrefix="0" xfId="0">
      <alignment vertical="top" wrapText="1"/>
    </xf>
    <xf numFmtId="4" fontId="1" fillId="0" borderId="0" applyAlignment="1" pivotButton="0" quotePrefix="0" xfId="0">
      <alignment vertical="top" wrapText="1"/>
    </xf>
    <xf numFmtId="164" fontId="1" fillId="0" borderId="0" applyAlignment="1" pivotButton="0" quotePrefix="0" xfId="0">
      <alignment vertical="top" wrapText="1"/>
    </xf>
    <xf numFmtId="4" fontId="3" fillId="0" borderId="0" applyAlignment="1" pivotButton="0" quotePrefix="0" xfId="0">
      <alignment vertical="top" wrapText="1"/>
    </xf>
    <xf numFmtId="164" fontId="3" fillId="0" borderId="0" applyAlignment="1" pivotButton="0" quotePrefix="0" xfId="0">
      <alignment vertical="top" wrapText="1"/>
    </xf>
    <xf numFmtId="165" fontId="3" fillId="0" borderId="0" applyAlignment="1" pivotButton="0" quotePrefix="0" xfId="0">
      <alignment vertical="top" wrapText="1"/>
    </xf>
    <xf numFmtId="0" fontId="2" fillId="2" borderId="0" applyAlignment="1" pivotButton="0" quotePrefix="0" xfId="0">
      <alignment vertical="top" wrapText="1"/>
    </xf>
    <xf numFmtId="165" fontId="0" fillId="0" borderId="0" applyAlignment="1" pivotButton="0" quotePrefix="0" xfId="0">
      <alignment vertical="top" wrapText="1"/>
    </xf>
    <xf numFmtId="0" fontId="4" fillId="0" borderId="0" pivotButton="0" quotePrefix="0" xfId="1"/>
    <xf numFmtId="166" fontId="3" fillId="0" borderId="0" applyAlignment="1" pivotButton="0" quotePrefix="0" xfId="0">
      <alignment vertical="top" wrapText="1"/>
    </xf>
  </cellXfs>
  <cellStyles count="2">
    <cellStyle name="Normal" xfId="0" builtinId="0" hidden="0"/>
    <cellStyle name="Hyperlink" xfId="1" builtinId="8" hidden="0"/>
  </cellStyles>
  <dxfs count="2">
    <dxf>
      <font>
        <color rgb="009C0006"/>
      </font>
      <fill>
        <patternFill patternType="solid">
          <fgColor rgb="00FCE4D6"/>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20-year project NPV (EUR)</a:t>
            </a:r>
          </a:p>
        </rich>
      </tx>
    </title>
    <plotArea>
      <barChart>
        <barDir val="col"/>
        <grouping val="clustered"/>
        <ser>
          <idx val="0"/>
          <order val="0"/>
          <spPr>
            <a:ln>
              <a:prstDash val="solid"/>
            </a:ln>
          </spPr>
          <cat>
            <numRef>
              <f>'Dashboard'!$B$1:$D$1</f>
            </numRef>
          </cat>
          <val>
            <numRef>
              <f>'Dashboard'!$B$2:$D$2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EUR</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Project cumulative cash flow</a:t>
            </a:r>
          </a:p>
        </rich>
      </tx>
    </title>
    <plotArea>
      <lineChart>
        <grouping val="standard"/>
        <ser>
          <idx val="0"/>
          <order val="0"/>
          <tx>
            <strRef>
              <f>'Bad'!J1</f>
            </strRef>
          </tx>
          <spPr>
            <a:ln>
              <a:prstDash val="solid"/>
            </a:ln>
          </spPr>
          <marker>
            <symbol val="none"/>
            <spPr>
              <a:ln>
                <a:prstDash val="solid"/>
              </a:ln>
            </spPr>
          </marker>
          <cat>
            <numRef>
              <f>'Bad'!$A$2:$A$22</f>
            </numRef>
          </cat>
          <val>
            <numRef>
              <f>'Bad'!$J$2:$J$22</f>
            </numRef>
          </val>
        </ser>
        <ser>
          <idx val="1"/>
          <order val="1"/>
          <tx>
            <strRef>
              <f>'Bad'!K1</f>
            </strRef>
          </tx>
          <spPr>
            <a:ln>
              <a:prstDash val="solid"/>
            </a:ln>
          </spPr>
          <marker>
            <symbol val="none"/>
            <spPr>
              <a:ln>
                <a:prstDash val="solid"/>
              </a:ln>
            </spPr>
          </marker>
          <cat>
            <numRef>
              <f>'Bad'!$A$2:$A$22</f>
            </numRef>
          </cat>
          <val>
            <numRef>
              <f>'Bad'!$K$2:$K$22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Project cumulative cash flow</a:t>
            </a:r>
          </a:p>
        </rich>
      </tx>
    </title>
    <plotArea>
      <lineChart>
        <grouping val="standard"/>
        <ser>
          <idx val="0"/>
          <order val="0"/>
          <tx>
            <strRef>
              <f>'Intermediate'!J1</f>
            </strRef>
          </tx>
          <spPr>
            <a:ln>
              <a:prstDash val="solid"/>
            </a:ln>
          </spPr>
          <marker>
            <symbol val="none"/>
            <spPr>
              <a:ln>
                <a:prstDash val="solid"/>
              </a:ln>
            </spPr>
          </marker>
          <cat>
            <numRef>
              <f>'Intermediate'!$A$2:$A$22</f>
            </numRef>
          </cat>
          <val>
            <numRef>
              <f>'Intermediate'!$J$2:$J$22</f>
            </numRef>
          </val>
        </ser>
        <ser>
          <idx val="1"/>
          <order val="1"/>
          <tx>
            <strRef>
              <f>'Intermediate'!K1</f>
            </strRef>
          </tx>
          <spPr>
            <a:ln>
              <a:prstDash val="solid"/>
            </a:ln>
          </spPr>
          <marker>
            <symbol val="none"/>
            <spPr>
              <a:ln>
                <a:prstDash val="solid"/>
              </a:ln>
            </spPr>
          </marker>
          <cat>
            <numRef>
              <f>'Intermediate'!$A$2:$A$22</f>
            </numRef>
          </cat>
          <val>
            <numRef>
              <f>'Intermediate'!$K$2:$K$22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Project cumulative cash flow</a:t>
            </a:r>
          </a:p>
        </rich>
      </tx>
    </title>
    <plotArea>
      <lineChart>
        <grouping val="standard"/>
        <ser>
          <idx val="0"/>
          <order val="0"/>
          <tx>
            <strRef>
              <f>'Optimal'!J1</f>
            </strRef>
          </tx>
          <spPr>
            <a:ln>
              <a:prstDash val="solid"/>
            </a:ln>
          </spPr>
          <marker>
            <symbol val="none"/>
            <spPr>
              <a:ln>
                <a:prstDash val="solid"/>
              </a:ln>
            </spPr>
          </marker>
          <cat>
            <numRef>
              <f>'Optimal'!$A$2:$A$22</f>
            </numRef>
          </cat>
          <val>
            <numRef>
              <f>'Optimal'!$J$2:$J$22</f>
            </numRef>
          </val>
        </ser>
        <ser>
          <idx val="1"/>
          <order val="1"/>
          <tx>
            <strRef>
              <f>'Optimal'!K1</f>
            </strRef>
          </tx>
          <spPr>
            <a:ln>
              <a:prstDash val="solid"/>
            </a:ln>
          </spPr>
          <marker>
            <symbol val="none"/>
            <spPr>
              <a:ln>
                <a:prstDash val="solid"/>
              </a:ln>
            </spPr>
          </marker>
          <cat>
            <numRef>
              <f>'Optimal'!$A$2:$A$22</f>
            </numRef>
          </cat>
          <val>
            <numRef>
              <f>'Optimal'!$K$2:$K$22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22</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28</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28</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28</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hyperlink" Target="https://be.brussels/fr/logement/nouvelles-normes-minimales-de-qualite-partir-de-2026" TargetMode="External" Id="rId1" /><Relationship Type="http://schemas.openxmlformats.org/officeDocument/2006/relationships/hyperlink" Target="https://be.brussels/fr/logement/location/conformite-logement/normes-et-securite" TargetMode="External" Id="rId2" /><Relationship Type="http://schemas.openxmlformats.org/officeDocument/2006/relationships/hyperlink" Target="https://www.ixelles.be/site/880-Guichet-electronique-Urbanisme" TargetMode="External" Id="rId3" /><Relationship Type="http://schemas.openxmlformats.org/officeDocument/2006/relationships/hyperlink" Target="https://be.brussels/fr/logement/location/les-differentes-etapes-de-la-location" TargetMode="External" Id="rId4" /><Relationship Type="http://schemas.openxmlformats.org/officeDocument/2006/relationships/hyperlink" Target="https://be.brussels/fr/logement/creation-de-la-commission-paritaire-locative" TargetMode="External" Id="rId5" /><Relationship Type="http://schemas.openxmlformats.org/officeDocument/2006/relationships/hyperlink" Target="https://environnement.brussels/pro/reglementation-et-inspection/obligations-et-autorisations/objectifs-peb-pour-chaque-bien-et-exigences-peb-en-cas-de-travaux" TargetMode="External" Id="rId6" /><Relationship Type="http://schemas.openxmlformats.org/officeDocument/2006/relationships/hyperlink" Target="https://loyers.brussels/a-propos-des-loyers-de-reference" TargetMode="External" Id="rId7" /><Relationship Type="http://schemas.openxmlformats.org/officeDocument/2006/relationships/hyperlink" Target="https://www.ixelles.be/site/downloads/publications/infoxl-2014-/infoxl20250708.pdf" TargetMode="External" Id="rId8" /><Relationship Type="http://schemas.openxmlformats.org/officeDocument/2006/relationships/hyperlink" Target="https://be.brussels/en/about-region/structure-and-organisations/overview-administrations-and-institutions-region/brussels-housing/structure-brussels-housing/regional-housing-inspectorate-dirl" TargetMode="External" Id="rId9" /></Relationships>
</file>

<file path=xl/worksheets/sheet1.xml><?xml version="1.0" encoding="utf-8"?>
<worksheet xmlns="http://schemas.openxmlformats.org/spreadsheetml/2006/main">
  <sheetPr>
    <tabColor rgb="00007F82"/>
    <outlinePr summaryBelow="1" summaryRight="1"/>
    <pageSetUpPr fitToPage="1"/>
  </sheetPr>
  <dimension ref="A1:B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110" customWidth="1" min="2" max="2"/>
  </cols>
  <sheetData>
    <row r="1" ht="32" customHeight="1">
      <c r="A1" s="8" t="inlineStr">
        <is>
          <t>STUDENT HOUSING | IXELLES / ELSENE</t>
        </is>
      </c>
      <c r="B1" s="8" t="inlineStr">
        <is>
          <t>20-year investment appraisal</t>
        </is>
      </c>
    </row>
    <row r="2" ht="43" customHeight="1">
      <c r="A2" s="2" t="inlineStr">
        <is>
          <t>Prepared for</t>
        </is>
      </c>
      <c r="B2" s="2" t="inlineStr">
        <is>
          <t>Jennifer, Sara, Madiha and team</t>
        </is>
      </c>
    </row>
    <row r="3" ht="43" customHeight="1">
      <c r="A3" s="2" t="inlineStr">
        <is>
          <t>Purpose</t>
        </is>
      </c>
      <c r="B3" s="2" t="inlineStr">
        <is>
          <t>Illustrative feasibility model; replace blue assumptions with property-specific evidence.</t>
        </is>
      </c>
    </row>
    <row r="4" ht="43" customHeight="1">
      <c r="A4" s="2" t="inlineStr">
        <is>
          <t>Use</t>
        </is>
      </c>
      <c r="B4" s="2" t="inlineStr">
        <is>
          <t>Inputs → scenarios → Dashboard. All cash flows in nominal EUR; annual end-year convention.</t>
        </is>
      </c>
    </row>
    <row r="5" ht="43" customHeight="1">
      <c r="A5" s="2" t="inlineStr">
        <is>
          <t>Horizon</t>
        </is>
      </c>
      <c r="B5" s="2" t="inlineStr">
        <is>
          <t>Year 0 acquisition plus years 1–20 including development; sale at end of year 20.</t>
        </is>
      </c>
    </row>
    <row r="6" ht="43" customHeight="1">
      <c r="A6" s="2" t="inlineStr">
        <is>
          <t>Affordability</t>
        </is>
      </c>
      <c r="B6" s="2" t="inlineStr">
        <is>
          <t>Rent is capped by an editable policy ceiling; utilities shown separately. Ceiling is a project assumption, not a statutory rent limit.</t>
        </is>
      </c>
    </row>
    <row r="7" ht="43" customHeight="1">
      <c r="A7" s="2" t="inlineStr">
        <is>
          <t>Status</t>
        </is>
      </c>
      <c r="B7" s="2" t="inlineStr">
        <is>
          <t>Pre-tax, unlevered property returns. Debt KPIs are indicative; equity cash flows include debt repayment on sale.</t>
        </is>
      </c>
    </row>
    <row r="8" ht="43" customHeight="1">
      <c r="A8" s="2" t="inlineStr">
        <is>
          <t>Timing</t>
        </is>
      </c>
      <c r="B8" s="2" t="inlineStr">
        <is>
          <t>Acquisition in year 0; construction equally spread over development years; rent begins the following year.</t>
        </is>
      </c>
    </row>
    <row r="9" ht="43" customHeight="1">
      <c r="A9" s="2" t="inlineStr">
        <is>
          <t>Limitations</t>
        </is>
      </c>
      <c r="B9" s="2" t="inlineStr">
        <is>
          <t>No corporate/personal income tax, VAT recovery, depreciation, subsidies, refinancing or monthly draw schedules. Land/build cost include irrecoverable VAT.</t>
        </is>
      </c>
    </row>
    <row r="10" ht="43" customHeight="1">
      <c r="A10" s="2" t="inlineStr">
        <is>
          <t>Decision</t>
        </is>
      </c>
      <c r="B10" s="2" t="inlineStr">
        <is>
          <t>Do not commit until planning, housing, fire, energy, tenancy and affordability checks are cleared.</t>
        </is>
      </c>
    </row>
    <row r="11" ht="43" customHeight="1">
      <c r="A11" s="2" t="inlineStr">
        <is>
          <t>Sources</t>
        </is>
      </c>
      <c r="B11" s="2" t="inlineStr">
        <is>
          <t>Regulations and evidence are documented on Due diligence and Sources; unknown checks remain open.</t>
        </is>
      </c>
    </row>
    <row r="12" ht="43" customHeight="1">
      <c r="A12" t="inlineStr">
        <is>
          <t>Illustrative conclusion</t>
        </is>
      </c>
      <c r="B12" s="2" t="inlineStr">
        <is>
          <t>All three scenarios have negative NPV at their assumed discount rates. Intermediate and Optimal payback require the year-20 sale; operating-only payback exceeds 20 years. These results do not describe an identified property.</t>
        </is>
      </c>
    </row>
    <row r="13" ht="43" customHeight="1">
      <c r="A13" t="inlineStr">
        <is>
          <t>Funding warning</t>
        </is>
      </c>
      <c r="B13" s="2" t="inlineStr">
        <is>
          <t>All default scenarios have operating DSCR below 1.0, so annual operating cash after reserves does not cover scheduled debt service. Additional equity is required; obtain a revised funding plan.</t>
        </is>
      </c>
    </row>
    <row r="14" ht="43" customHeight="1">
      <c r="A14" t="inlineStr">
        <is>
          <t>Next decision</t>
        </is>
      </c>
      <c r="B14" s="2" t="inlineStr">
        <is>
          <t>Replace assumed acquisition price, construction cost and rents with evidence; renegotiate capital cost or assess documented grants. Keep affordability fixed while seeking a viable structure.</t>
        </is>
      </c>
    </row>
    <row r="15" ht="43" customHeight="1">
      <c r="A15" t="inlineStr">
        <is>
          <t>Rebuild files</t>
        </is>
      </c>
      <c r="B15" s="2" t="inlineStr">
        <is>
          <t>Run build_model.py, enrich_model.py, polish_model.py, finalize_model.py, then validate_and_cache.py. Atomic saves; validation_results.json records checks.</t>
        </is>
      </c>
    </row>
    <row r="16" ht="43" customHeight="1">
      <c r="A16" t="inlineStr">
        <is>
          <t>Reading payback</t>
        </is>
      </c>
      <c r="B16" s="2" t="inlineStr">
        <is>
          <t>Annual end-year payback is deliberately conservative; year 20 includes the sale. Discounted payback uses scenario project discount rate. DSCR is after annual capital expenditure allowance.</t>
        </is>
      </c>
    </row>
    <row r="17" ht="43" customHeight="1">
      <c r="A17" t="inlineStr">
        <is>
          <t>Current evidence boundary</t>
        </is>
      </c>
      <c r="B17" s="2" t="inlineStr">
        <is>
          <t>Official web sources checked on 14 October 2026. No site, drawings, rent comparables, lender term sheet or construction quotes were provided.</t>
        </is>
      </c>
    </row>
    <row r="18" ht="43" customHeight="1">
      <c r="A18" t="inlineStr">
        <is>
          <t>Scenario labels</t>
        </is>
      </c>
      <c r="B18" s="2" t="inlineStr">
        <is>
          <t>Bad, Intermediate and Optimal are stress cases, not probabilities or best-possible achievable outcomes. Rooms and affordable headline rent stay constant across scenarios.</t>
        </is>
      </c>
    </row>
  </sheetData>
  <autoFilter ref="A1:B11"/>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tabColor rgb="000070C0"/>
    <outlinePr summaryBelow="1" summaryRight="1"/>
    <pageSetUpPr fitToPage="1"/>
  </sheetPr>
  <dimension ref="A1:F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21" customWidth="1" min="2" max="2"/>
    <col width="21" customWidth="1" min="3" max="3"/>
    <col width="21" customWidth="1" min="4" max="4"/>
    <col width="21" customWidth="1" min="5" max="5"/>
    <col width="70" customWidth="1" min="6" max="6"/>
  </cols>
  <sheetData>
    <row r="1" ht="32" customHeight="1">
      <c r="A1" s="8" t="inlineStr">
        <is>
          <t>ASSUMPTION</t>
        </is>
      </c>
      <c r="B1" s="8" t="inlineStr">
        <is>
          <t>Bad</t>
        </is>
      </c>
      <c r="C1" s="8" t="inlineStr">
        <is>
          <t>Intermediate</t>
        </is>
      </c>
      <c r="D1" s="8" t="inlineStr">
        <is>
          <t>Optimal</t>
        </is>
      </c>
      <c r="E1" s="8" t="inlineStr">
        <is>
          <t>Unit</t>
        </is>
      </c>
      <c r="F1" s="8" t="inlineStr">
        <is>
          <t>Basis / interpretation</t>
        </is>
      </c>
    </row>
    <row r="2" ht="34" customHeight="1">
      <c r="A2" s="2" t="inlineStr">
        <is>
          <t>Rooms</t>
        </is>
      </c>
      <c r="B2" s="3" t="n">
        <v>30</v>
      </c>
      <c r="C2" s="3" t="n">
        <v>30</v>
      </c>
      <c r="D2" s="3" t="n">
        <v>30</v>
      </c>
      <c r="E2" s="2" t="inlineStr">
        <is>
          <t>beds</t>
        </is>
      </c>
      <c r="F2" s="2" t="inlineStr">
        <is>
          <t>Illustrative; verify permitted capacity</t>
        </is>
      </c>
    </row>
    <row r="3" ht="34" customHeight="1">
      <c r="A3" s="2" t="inlineStr">
        <is>
          <t>Acquisition price</t>
        </is>
      </c>
      <c r="B3" s="3" t="n">
        <v>1800000</v>
      </c>
      <c r="C3" s="3" t="n">
        <v>1800000</v>
      </c>
      <c r="D3" s="3" t="n">
        <v>1800000</v>
      </c>
      <c r="E3" s="2" t="inlineStr">
        <is>
          <t>EUR</t>
        </is>
      </c>
      <c r="F3" s="2" t="inlineStr">
        <is>
          <t>Illustrative property cost</t>
        </is>
      </c>
    </row>
    <row r="4" ht="34" customHeight="1">
      <c r="A4" s="2" t="inlineStr">
        <is>
          <t>Acquisition costs</t>
        </is>
      </c>
      <c r="B4" s="4" t="n">
        <v>0.15</v>
      </c>
      <c r="C4" s="4" t="n">
        <v>0.15</v>
      </c>
      <c r="D4" s="4" t="n">
        <v>0.15</v>
      </c>
      <c r="E4" s="2" t="inlineStr">
        <is>
          <t>ratio</t>
        </is>
      </c>
      <c r="F4" s="2" t="inlineStr">
        <is>
          <t>Allowance incl. duties/notary/advice; not a tax determination</t>
        </is>
      </c>
    </row>
    <row r="5" ht="34" customHeight="1">
      <c r="A5" s="2" t="inlineStr">
        <is>
          <t>Base construction budget</t>
        </is>
      </c>
      <c r="B5" s="3" t="n">
        <v>1500000</v>
      </c>
      <c r="C5" s="3" t="n">
        <v>1500000</v>
      </c>
      <c r="D5" s="3" t="n">
        <v>1500000</v>
      </c>
      <c r="E5" s="2" t="inlineStr">
        <is>
          <t>EUR</t>
        </is>
      </c>
      <c r="F5" s="2" t="inlineStr">
        <is>
          <t>Gross including irrecoverable VAT; quote required</t>
        </is>
      </c>
    </row>
    <row r="6" ht="34" customHeight="1">
      <c r="A6" s="2" t="inlineStr">
        <is>
          <t>Construction overrun</t>
        </is>
      </c>
      <c r="B6" s="4" t="n">
        <v>0.25</v>
      </c>
      <c r="C6" s="4" t="n">
        <v>0.1</v>
      </c>
      <c r="D6" s="4" t="n">
        <v>0</v>
      </c>
      <c r="E6" s="2" t="inlineStr">
        <is>
          <t>ratio</t>
        </is>
      </c>
      <c r="F6" s="2" t="inlineStr">
        <is>
          <t>Stress assumption</t>
        </is>
      </c>
    </row>
    <row r="7" ht="34" customHeight="1">
      <c r="A7" s="2" t="inlineStr">
        <is>
          <t>Professional fees / works</t>
        </is>
      </c>
      <c r="B7" s="4" t="n">
        <v>0.15</v>
      </c>
      <c r="C7" s="4" t="n">
        <v>0.12</v>
      </c>
      <c r="D7" s="4" t="n">
        <v>0.1</v>
      </c>
      <c r="E7" s="2" t="inlineStr">
        <is>
          <t>ratio</t>
        </is>
      </c>
      <c r="F7" s="2" t="inlineStr">
        <is>
          <t>Architect, engineering and permits allowance</t>
        </is>
      </c>
    </row>
    <row r="8" ht="34" customHeight="1">
      <c r="A8" s="2" t="inlineStr">
        <is>
          <t>Development years</t>
        </is>
      </c>
      <c r="B8" s="3" t="n">
        <v>3</v>
      </c>
      <c r="C8" s="3" t="n">
        <v>2</v>
      </c>
      <c r="D8" s="3" t="n">
        <v>1</v>
      </c>
      <c r="E8" s="2" t="inlineStr">
        <is>
          <t>years</t>
        </is>
      </c>
      <c r="F8" s="2" t="inlineStr">
        <is>
          <t>Full non-operating years after acquisition</t>
        </is>
      </c>
    </row>
    <row r="9" ht="34" customHeight="1">
      <c r="A9" s="2" t="inlineStr">
        <is>
          <t>Requested monthly room rent</t>
        </is>
      </c>
      <c r="B9" s="3" t="n">
        <v>550</v>
      </c>
      <c r="C9" s="3" t="n">
        <v>550</v>
      </c>
      <c r="D9" s="3" t="n">
        <v>550</v>
      </c>
      <c r="E9" s="2" t="inlineStr">
        <is>
          <t>EUR/month</t>
        </is>
      </c>
      <c r="F9" s="2" t="inlineStr">
        <is>
          <t>Illustrative target rent excluding utilities</t>
        </is>
      </c>
    </row>
    <row r="10" ht="34" customHeight="1">
      <c r="A10" s="2" t="inlineStr">
        <is>
          <t>Affordable monthly rent ceiling</t>
        </is>
      </c>
      <c r="B10" s="3" t="n">
        <v>550</v>
      </c>
      <c r="C10" s="3" t="n">
        <v>550</v>
      </c>
      <c r="D10" s="3" t="n">
        <v>550</v>
      </c>
      <c r="E10" s="2" t="inlineStr">
        <is>
          <t>EUR/month</t>
        </is>
      </c>
      <c r="F10" s="2" t="inlineStr">
        <is>
          <t>Owner policy; validate against student budgets</t>
        </is>
      </c>
    </row>
    <row r="11" ht="34" customHeight="1">
      <c r="A11" s="2" t="inlineStr">
        <is>
          <t>Rent annual growth</t>
        </is>
      </c>
      <c r="B11" s="4" t="n">
        <v>0.01</v>
      </c>
      <c r="C11" s="4" t="n">
        <v>0.02</v>
      </c>
      <c r="D11" s="4" t="n">
        <v>0.025</v>
      </c>
      <c r="E11" s="2" t="inlineStr">
        <is>
          <t>ratio</t>
        </is>
      </c>
      <c r="F11" s="2" t="inlineStr">
        <is>
          <t>Only if legally allowed; lease/PEB restrictions must be checked</t>
        </is>
      </c>
    </row>
    <row r="12" ht="34" customHeight="1">
      <c r="A12" s="2" t="inlineStr">
        <is>
          <t>Ceiling annual growth</t>
        </is>
      </c>
      <c r="B12" s="4" t="n">
        <v>0.01</v>
      </c>
      <c r="C12" s="4" t="n">
        <v>0.02</v>
      </c>
      <c r="D12" s="4" t="n">
        <v>0.02</v>
      </c>
      <c r="E12" s="2" t="inlineStr">
        <is>
          <t>ratio</t>
        </is>
      </c>
      <c r="F12" s="2" t="inlineStr">
        <is>
          <t>Affordability policy assumption</t>
        </is>
      </c>
    </row>
    <row r="13" ht="34" customHeight="1">
      <c r="A13" s="2" t="inlineStr">
        <is>
          <t>Occupancy</t>
        </is>
      </c>
      <c r="B13" s="4" t="n">
        <v>0.85</v>
      </c>
      <c r="C13" s="4" t="n">
        <v>0.9399999999999999</v>
      </c>
      <c r="D13" s="4" t="n">
        <v>0.98</v>
      </c>
      <c r="E13" s="2" t="inlineStr">
        <is>
          <t>ratio</t>
        </is>
      </c>
      <c r="F13" s="2" t="inlineStr">
        <is>
          <t>Economic occupancy; 12 billed months assumption</t>
        </is>
      </c>
    </row>
    <row r="14" ht="34" customHeight="1">
      <c r="A14" s="2" t="inlineStr">
        <is>
          <t>Bad debt / gross occupied rent</t>
        </is>
      </c>
      <c r="B14" s="4" t="n">
        <v>0.03</v>
      </c>
      <c r="C14" s="4" t="n">
        <v>0.015</v>
      </c>
      <c r="D14" s="4" t="n">
        <v>0.005</v>
      </c>
      <c r="E14" s="2" t="inlineStr">
        <is>
          <t>ratio</t>
        </is>
      </c>
      <c r="F14" s="2" t="inlineStr">
        <is>
          <t>Collection losses beyond vacancy</t>
        </is>
      </c>
    </row>
    <row r="15" ht="34" customHeight="1">
      <c r="A15" s="2" t="inlineStr">
        <is>
          <t>Fixed owner operating costs</t>
        </is>
      </c>
      <c r="B15" s="3" t="n">
        <v>45000</v>
      </c>
      <c r="C15" s="3" t="n">
        <v>40000</v>
      </c>
      <c r="D15" s="3" t="n">
        <v>36000</v>
      </c>
      <c r="E15" s="2" t="inlineStr">
        <is>
          <t>EUR/year</t>
        </is>
      </c>
      <c r="F15" s="2" t="inlineStr">
        <is>
          <t>First operating-year tax, insurance, admin, nonrecoverable utilities</t>
        </is>
      </c>
    </row>
    <row r="16" ht="34" customHeight="1">
      <c r="A16" s="2" t="inlineStr">
        <is>
          <t>Variable operating costs / revenue</t>
        </is>
      </c>
      <c r="B16" s="4" t="n">
        <v>0.2</v>
      </c>
      <c r="C16" s="4" t="n">
        <v>0.17</v>
      </c>
      <c r="D16" s="4" t="n">
        <v>0.15</v>
      </c>
      <c r="E16" s="2" t="inlineStr">
        <is>
          <t>ratio</t>
        </is>
      </c>
      <c r="F16" s="2" t="inlineStr">
        <is>
          <t>Management, routine repairs and turnover</t>
        </is>
      </c>
    </row>
    <row r="17" ht="34" customHeight="1">
      <c r="A17" s="2" t="inlineStr">
        <is>
          <t>Cost inflation</t>
        </is>
      </c>
      <c r="B17" s="4" t="n">
        <v>0.035</v>
      </c>
      <c r="C17" s="4" t="n">
        <v>0.025</v>
      </c>
      <c r="D17" s="4" t="n">
        <v>0.02</v>
      </c>
      <c r="E17" s="2" t="inlineStr">
        <is>
          <t>ratio</t>
        </is>
      </c>
      <c r="F17" s="2" t="inlineStr">
        <is>
          <t>All owner costs grow from first operating year</t>
        </is>
      </c>
    </row>
    <row r="18" ht="34" customHeight="1">
      <c r="A18" s="2" t="inlineStr">
        <is>
          <t>Annual capital reserve per room</t>
        </is>
      </c>
      <c r="B18" s="3" t="n">
        <v>600</v>
      </c>
      <c r="C18" s="3" t="n">
        <v>500</v>
      </c>
      <c r="D18" s="3" t="n">
        <v>400</v>
      </c>
      <c r="E18" s="2" t="inlineStr">
        <is>
          <t>EUR/bed/year</t>
        </is>
      </c>
      <c r="F18" s="2" t="inlineStr">
        <is>
          <t>Treated as annual cash expenditure; no reserve balance recovered</t>
        </is>
      </c>
    </row>
    <row r="19" ht="34" customHeight="1">
      <c r="A19" s="2" t="inlineStr">
        <is>
          <t>Exit capitalization rate</t>
        </is>
      </c>
      <c r="B19" s="4" t="n">
        <v>0.065</v>
      </c>
      <c r="C19" s="4" t="n">
        <v>0.055</v>
      </c>
      <c r="D19" s="4" t="n">
        <v>0.0475</v>
      </c>
      <c r="E19" s="2" t="inlineStr">
        <is>
          <t>ratio</t>
        </is>
      </c>
      <c r="F19" s="2" t="inlineStr">
        <is>
          <t>Stress yield on year-21 stabilized NOI</t>
        </is>
      </c>
    </row>
    <row r="20" ht="34" customHeight="1">
      <c r="A20" s="2" t="inlineStr">
        <is>
          <t>Sale costs</t>
        </is>
      </c>
      <c r="B20" s="4" t="n">
        <v>0.03</v>
      </c>
      <c r="C20" s="4" t="n">
        <v>0.025</v>
      </c>
      <c r="D20" s="4" t="n">
        <v>0.02</v>
      </c>
      <c r="E20" s="2" t="inlineStr">
        <is>
          <t>ratio</t>
        </is>
      </c>
      <c r="F20" s="2" t="inlineStr">
        <is>
          <t>Selling costs on gross asset value</t>
        </is>
      </c>
    </row>
    <row r="21" ht="34" customHeight="1">
      <c r="A21" s="2" t="inlineStr">
        <is>
          <t>Unlevered discount rate</t>
        </is>
      </c>
      <c r="B21" s="4" t="n">
        <v>0.08500000000000001</v>
      </c>
      <c r="C21" s="4" t="n">
        <v>0.075</v>
      </c>
      <c r="D21" s="4" t="n">
        <v>0.065</v>
      </c>
      <c r="E21" s="2" t="inlineStr">
        <is>
          <t>ratio</t>
        </is>
      </c>
      <c r="F21" s="2" t="inlineStr">
        <is>
          <t>Nominal required return; project risk assumption</t>
        </is>
      </c>
    </row>
    <row r="22" ht="34" customHeight="1">
      <c r="A22" s="2" t="inlineStr">
        <is>
          <t>Debt / total development cost</t>
        </is>
      </c>
      <c r="B22" s="4" t="n">
        <v>0.55</v>
      </c>
      <c r="C22" s="4" t="n">
        <v>0.55</v>
      </c>
      <c r="D22" s="4" t="n">
        <v>0.55</v>
      </c>
      <c r="E22" s="2" t="inlineStr">
        <is>
          <t>ratio</t>
        </is>
      </c>
      <c r="F22" s="2" t="inlineStr">
        <is>
          <t>Debt drawn at opening; equity bridges all development costs</t>
        </is>
      </c>
    </row>
    <row r="23" ht="34" customHeight="1">
      <c r="A23" s="2" t="inlineStr">
        <is>
          <t>Debt interest rate</t>
        </is>
      </c>
      <c r="B23" s="4" t="n">
        <v>0.055</v>
      </c>
      <c r="C23" s="4" t="n">
        <v>0.045</v>
      </c>
      <c r="D23" s="4" t="n">
        <v>0.04</v>
      </c>
      <c r="E23" s="2" t="inlineStr">
        <is>
          <t>ratio</t>
        </is>
      </c>
      <c r="F23" s="2" t="inlineStr">
        <is>
          <t>Fixed illustrative rate</t>
        </is>
      </c>
    </row>
    <row r="24" ht="34" customHeight="1">
      <c r="A24" s="2" t="inlineStr">
        <is>
          <t>Debt amortization term</t>
        </is>
      </c>
      <c r="B24" s="3" t="n">
        <v>20</v>
      </c>
      <c r="C24" s="3" t="n">
        <v>20</v>
      </c>
      <c r="D24" s="3" t="n">
        <v>20</v>
      </c>
      <c r="E24" s="2" t="inlineStr">
        <is>
          <t>years</t>
        </is>
      </c>
      <c r="F24" s="2" t="inlineStr">
        <is>
          <t>Annual annuity; first payment in first operating year</t>
        </is>
      </c>
    </row>
    <row r="25" ht="34" customHeight="1">
      <c r="A25" s="2" t="inlineStr">
        <is>
          <t>Student monthly budget</t>
        </is>
      </c>
      <c r="B25" s="3" t="n">
        <v>1100</v>
      </c>
      <c r="C25" s="3" t="n">
        <v>1100</v>
      </c>
      <c r="D25" s="3" t="n">
        <v>1100</v>
      </c>
      <c r="E25" s="2" t="inlineStr">
        <is>
          <t>EUR/month</t>
        </is>
      </c>
      <c r="F25" s="2" t="inlineStr">
        <is>
          <t>Illustrative available resources, not researched evidence</t>
        </is>
      </c>
    </row>
    <row r="26" ht="34" customHeight="1">
      <c r="A26" s="2" t="inlineStr">
        <is>
          <t>Monthly utilities paid by student</t>
        </is>
      </c>
      <c r="B26" s="3" t="n">
        <v>100</v>
      </c>
      <c r="C26" s="3" t="n">
        <v>90</v>
      </c>
      <c r="D26" s="3" t="n">
        <v>80</v>
      </c>
      <c r="E26" s="2" t="inlineStr">
        <is>
          <t>EUR/month</t>
        </is>
      </c>
      <c r="F26" s="2" t="inlineStr">
        <is>
          <t>First operating-year allowance</t>
        </is>
      </c>
    </row>
    <row r="27" ht="34" customHeight="1">
      <c r="A27" s="2" t="inlineStr">
        <is>
          <t>Maximum housing budget share</t>
        </is>
      </c>
      <c r="B27" s="4" t="n">
        <v>0.6</v>
      </c>
      <c r="C27" s="4" t="n">
        <v>0.6</v>
      </c>
      <c r="D27" s="4" t="n">
        <v>0.6</v>
      </c>
      <c r="E27" s="2" t="inlineStr">
        <is>
          <t>ratio</t>
        </is>
      </c>
      <c r="F27" s="2" t="inlineStr">
        <is>
          <t>Owner policy; rent plus utilities / student resources</t>
        </is>
      </c>
    </row>
  </sheetData>
  <autoFilter ref="A1:F27"/>
  <dataValidations count="26">
    <dataValidation sqref="B2:D2" showDropDown="0" showInputMessage="0" showErrorMessage="1" allowBlank="0" errorTitle="Assumption outside supported range" error="Enter a value within the stated model range." type="whole" errorStyle="stop" operator="between">
      <formula1>1</formula1>
      <formula2>10000</formula2>
    </dataValidation>
    <dataValidation sqref="B3:D3" showDropDown="0" showInputMessage="0" showErrorMessage="1" allowBlank="0" errorTitle="Assumption outside supported range" error="Enter a value within the stated model range." type="decimal" errorStyle="stop" operator="between">
      <formula1>0.01</formula1>
      <formula2>100000000</formula2>
    </dataValidation>
    <dataValidation sqref="B4:D4"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5:D5" showDropDown="0" showInputMessage="0" showErrorMessage="1" allowBlank="0" errorTitle="Assumption outside supported range" error="Enter a value within the stated model range." type="decimal" errorStyle="stop" operator="between">
      <formula1>0.01</formula1>
      <formula2>100000000</formula2>
    </dataValidation>
    <dataValidation sqref="B6:D6"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7:D7"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8:D8" showDropDown="0" showInputMessage="0" showErrorMessage="1" allowBlank="0" errorTitle="Assumption outside supported range" error="Enter a value within the stated model range." type="whole" errorStyle="stop" operator="between">
      <formula1>1</formula1>
      <formula2>19</formula2>
    </dataValidation>
    <dataValidation sqref="B9:D9" showDropDown="0" showInputMessage="0" showErrorMessage="1" allowBlank="0" errorTitle="Assumption outside supported range" error="Enter a value within the stated model range." type="decimal" errorStyle="stop" operator="between">
      <formula1>0.01</formula1>
      <formula2>100000000</formula2>
    </dataValidation>
    <dataValidation sqref="B10:D10" showDropDown="0" showInputMessage="0" showErrorMessage="1" allowBlank="0" errorTitle="Assumption outside supported range" error="Enter a value within the stated model range." type="decimal" errorStyle="stop" operator="between">
      <formula1>0.01</formula1>
      <formula2>100000000</formula2>
    </dataValidation>
    <dataValidation sqref="B11:D11"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12:D12"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13:D13" showDropDown="0" showInputMessage="0" showErrorMessage="1" allowBlank="0" errorTitle="Assumption outside supported range" error="Enter a value within the stated model range." type="decimal" errorStyle="stop" operator="between">
      <formula1>0</formula1>
      <formula2>1</formula2>
    </dataValidation>
    <dataValidation sqref="B14:D14" showDropDown="0" showInputMessage="0" showErrorMessage="1" allowBlank="0" errorTitle="Assumption outside supported range" error="Enter a value within the stated model range." type="decimal" errorStyle="stop" operator="between">
      <formula1>0</formula1>
      <formula2>1</formula2>
    </dataValidation>
    <dataValidation sqref="B15:D15"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16:D16" showDropDown="0" showInputMessage="0" showErrorMessage="1" allowBlank="0" errorTitle="Assumption outside supported range" error="Enter a value within the stated model range." type="decimal" errorStyle="stop" operator="between">
      <formula1>0</formula1>
      <formula2>1</formula2>
    </dataValidation>
    <dataValidation sqref="B17:D17"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18:D18"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19:D19" showDropDown="0" showInputMessage="0" showErrorMessage="1" allowBlank="0" errorTitle="Assumption outside supported range" error="Enter a value within the stated model range." type="decimal" errorStyle="stop" operator="between">
      <formula1>0.0001</formula1>
      <formula2>1</formula2>
    </dataValidation>
    <dataValidation sqref="B20:D20" showDropDown="0" showInputMessage="0" showErrorMessage="1" allowBlank="0" errorTitle="Assumption outside supported range" error="Enter a value within the stated model range." type="decimal" errorStyle="stop" operator="between">
      <formula1>0</formula1>
      <formula2>1</formula2>
    </dataValidation>
    <dataValidation sqref="B21:D21" showDropDown="0" showInputMessage="0" showErrorMessage="1" allowBlank="0" errorTitle="Assumption outside supported range" error="Enter a value within the stated model range." type="decimal" errorStyle="stop" operator="between">
      <formula1>0.0001</formula1>
      <formula2>1</formula2>
    </dataValidation>
    <dataValidation sqref="B22:D22" showDropDown="0" showInputMessage="0" showErrorMessage="1" allowBlank="0" errorTitle="Assumption outside supported range" error="Enter a value within the stated model range." type="decimal" errorStyle="stop" operator="between">
      <formula1>0</formula1>
      <formula2>1</formula2>
    </dataValidation>
    <dataValidation sqref="B23:D23"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24:D24" showDropDown="0" showInputMessage="0" showErrorMessage="1" allowBlank="0" errorTitle="Assumption outside supported range" error="Enter a value within the stated model range." type="whole" errorStyle="stop" operator="between">
      <formula1>1</formula1>
      <formula2>50</formula2>
    </dataValidation>
    <dataValidation sqref="B25:D25" showDropDown="0" showInputMessage="0" showErrorMessage="1" allowBlank="0" errorTitle="Assumption outside supported range" error="Enter a value within the stated model range." type="decimal" errorStyle="stop" operator="between">
      <formula1>0.01</formula1>
      <formula2>100000000</formula2>
    </dataValidation>
    <dataValidation sqref="B26:D26" showDropDown="0" showInputMessage="0" showErrorMessage="1" allowBlank="0" errorTitle="Assumption outside supported range" error="Enter a value within the stated model range." type="decimal" errorStyle="stop" operator="between">
      <formula1>0</formula1>
      <formula2>100000000</formula2>
    </dataValidation>
    <dataValidation sqref="B27:D27" showDropDown="0" showInputMessage="0" showErrorMessage="1" allowBlank="0" errorTitle="Assumption outside supported range" error="Enter a value within the stated model range." type="decimal" errorStyle="stop" operator="between">
      <formula1>0</formula1>
      <formula2>1</formula2>
    </dataValidation>
  </dataValidation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xmlns:r="http://schemas.openxmlformats.org/officeDocument/2006/relationships">
  <sheetPr>
    <tabColor rgb="00007F82"/>
    <outlinePr summaryBelow="1" summaryRight="1"/>
    <pageSetUpPr fitToPage="1"/>
  </sheetPr>
  <dimension ref="A1:E2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21" customWidth="1" min="2" max="2"/>
    <col width="21" customWidth="1" min="3" max="3"/>
    <col width="21" customWidth="1" min="4" max="4"/>
    <col width="65" customWidth="1" min="5" max="5"/>
  </cols>
  <sheetData>
    <row r="1" ht="32" customHeight="1">
      <c r="A1" s="8" t="inlineStr">
        <is>
          <t>INVESTMENT KPI</t>
        </is>
      </c>
      <c r="B1" s="8" t="inlineStr">
        <is>
          <t>Bad</t>
        </is>
      </c>
      <c r="C1" s="8" t="inlineStr">
        <is>
          <t>Intermediate</t>
        </is>
      </c>
      <c r="D1" s="8" t="inlineStr">
        <is>
          <t>Optimal</t>
        </is>
      </c>
      <c r="E1" s="8" t="inlineStr">
        <is>
          <t>Interpretation</t>
        </is>
      </c>
    </row>
    <row r="2" ht="34" customHeight="1">
      <c r="A2" s="2" t="inlineStr">
        <is>
          <t>Project NPV</t>
        </is>
      </c>
      <c r="B2" s="7">
        <f>SUM('Bad'!I2:I22)</f>
        <v>-3274165.872944373</v>
      </c>
      <c r="C2" s="7">
        <f>SUM('Intermediate'!I2:I22)</f>
        <v>-2166675.535159221</v>
      </c>
      <c r="D2" s="7">
        <f>SUM('Optimal'!I2:I22)</f>
        <v>-1170564.5507942487</v>
      </c>
      <c r="E2" s="2" t="inlineStr">
        <is>
          <t>Discounted unlevered cash flows, including exit</t>
        </is>
      </c>
    </row>
    <row r="3" ht="34" customHeight="1">
      <c r="A3" s="2" t="inlineStr">
        <is>
          <t>Project IRR</t>
        </is>
      </c>
      <c r="B3" s="6">
        <f>IFERROR(IRR('Bad'!H2:H22),"No IRR")</f>
        <v>-0.04466067194296702</v>
      </c>
      <c r="C3" s="6">
        <f>IFERROR(IRR('Intermediate'!H2:H22),"No IRR")</f>
        <v>0.012656466694086599</v>
      </c>
      <c r="D3" s="6">
        <f>IFERROR(IRR('Optimal'!H2:H22),"No IRR")</f>
        <v>0.036540788757833176</v>
      </c>
      <c r="E3" s="2" t="inlineStr">
        <is>
          <t>Annual unlevered return</t>
        </is>
      </c>
    </row>
    <row r="4" ht="34" customHeight="1">
      <c r="A4" s="2" t="inlineStr">
        <is>
          <t>Payback, years</t>
        </is>
      </c>
      <c r="B4" s="7" t="str">
        <f>IF(COUNTIF('Bad'!J3:J22,"&gt;=0")=0,"Beyond 20",MATCH(TRUE,INDEX('Bad'!J3:J22&gt;=0,0),0))</f>
        <v>Beyond 20</v>
      </c>
      <c r="C4" s="7">
        <f>IF(COUNTIF('Intermediate'!J3:J22,"&gt;=0")=0,"Beyond 20",MATCH(TRUE,INDEX('Intermediate'!J3:J22&gt;=0,0),0))</f>
        <v>20</v>
      </c>
      <c r="D4" s="7">
        <f>IF(COUNTIF('Optimal'!J3:J22,"&gt;=0")=0,"Beyond 20",MATCH(TRUE,INDEX('Optimal'!J3:J22&gt;=0,0),0))</f>
        <v>20</v>
      </c>
      <c r="E4" s="2" t="inlineStr">
        <is>
          <t>First full year recovered; includes sale</t>
        </is>
      </c>
    </row>
    <row r="5" ht="34" customHeight="1">
      <c r="A5" s="2" t="inlineStr">
        <is>
          <t>Discounted payback, years</t>
        </is>
      </c>
      <c r="B5" s="7" t="str">
        <f>IF(COUNTIF('Bad'!K3:K22,"&gt;=0")=0,"Beyond 20",MATCH(TRUE,INDEX('Bad'!K3:K22&gt;=0,0),0))</f>
        <v>Beyond 20</v>
      </c>
      <c r="C5" s="7" t="str">
        <f>IF(COUNTIF('Intermediate'!K3:K22,"&gt;=0")=0,"Beyond 20",MATCH(TRUE,INDEX('Intermediate'!K3:K22&gt;=0,0),0))</f>
        <v>Beyond 20</v>
      </c>
      <c r="D5" s="7" t="str">
        <f>IF(COUNTIF('Optimal'!K3:K22,"&gt;=0")=0,"Beyond 20",MATCH(TRUE,INDEX('Optimal'!K3:K22&gt;=0,0),0))</f>
        <v>Beyond 20</v>
      </c>
      <c r="E5" s="2" t="inlineStr">
        <is>
          <t>At scenario discount rate; includes sale</t>
        </is>
      </c>
    </row>
    <row r="6" ht="34" customHeight="1">
      <c r="A6" s="2" t="inlineStr">
        <is>
          <t>Total development cost</t>
        </is>
      </c>
      <c r="B6" s="7">
        <f>SUM('Bad'!B2:B22)</f>
        <v>4226250.0</v>
      </c>
      <c r="C6" s="7">
        <f>SUM('Intermediate'!C2:C22)</f>
        <v>3918000.0</v>
      </c>
      <c r="D6" s="7">
        <f>SUM('Optimal'!D2:D22)</f>
        <v>3720000.0</v>
      </c>
      <c r="E6" s="2" t="inlineStr">
        <is>
          <t>Acquisition plus works, overrun and fees</t>
        </is>
      </c>
    </row>
    <row r="7" ht="34" customHeight="1">
      <c r="A7" s="2" t="inlineStr">
        <is>
          <t>Cost per bed</t>
        </is>
      </c>
      <c r="B7" s="7">
        <f>B6/Inputs!B2</f>
        <v>140875.0</v>
      </c>
      <c r="C7" s="7">
        <f>C6/Inputs!C2</f>
        <v>130600.0</v>
      </c>
      <c r="D7" s="7">
        <f>D6/Inputs!D2</f>
        <v>124000.0</v>
      </c>
      <c r="E7" s="2" t="inlineStr">
        <is>
          <t>Total development cost / rooms</t>
        </is>
      </c>
    </row>
    <row r="8" ht="34" customHeight="1">
      <c r="A8" s="2" t="inlineStr">
        <is>
          <t>First operating NOI</t>
        </is>
      </c>
      <c r="B8" s="7">
        <f>INDEX('Bad'!E2:E22,Inputs!B8+2)</f>
        <v>85600.8</v>
      </c>
      <c r="C8" s="7">
        <f>INDEX('Intermediate'!E2:E22,Inputs!C8+2)</f>
        <v>112162.406</v>
      </c>
      <c r="D8" s="7">
        <f>INDEX('Optimal'!E2:E22,Inputs!D8+2)</f>
        <v>128109.32999999999</v>
      </c>
      <c r="E8" s="2" t="inlineStr">
        <is>
          <t>Before capital reserve and financing</t>
        </is>
      </c>
    </row>
    <row r="9" ht="34" customHeight="1">
      <c r="A9" s="2" t="inlineStr">
        <is>
          <t>Initial yield on cost</t>
        </is>
      </c>
      <c r="B9" s="6">
        <f>B8/B6</f>
        <v>0.02025455190771961</v>
      </c>
      <c r="C9" s="6">
        <f>C8/C6</f>
        <v>0.02862746452271567</v>
      </c>
      <c r="D9" s="6">
        <f>D8/D6</f>
        <v>0.034437991935483865</v>
      </c>
      <c r="E9" s="2" t="inlineStr">
        <is>
          <t>First operating NOI / cost</t>
        </is>
      </c>
    </row>
    <row r="10" ht="34" customHeight="1">
      <c r="A10" s="2" t="inlineStr">
        <is>
          <t>Minimum operating DSCR</t>
        </is>
      </c>
      <c r="B10" s="11">
        <f>MIN(INDEX('Bad'!P2:P22,Inputs!B8+2):'Bad'!P22)</f>
        <v>0.2256911291822409</v>
      </c>
      <c r="C10" s="11">
        <f>MIN(INDEX('Intermediate'!P2:P22,Inputs!C8+2):'Intermediate'!P22)</f>
        <v>0.5865155704294132</v>
      </c>
      <c r="D10" s="11">
        <f>MIN(INDEX('Optimal'!P2:P22,Inputs!D8+2):'Optimal'!P22)</f>
        <v>0.7712432484826722</v>
      </c>
      <c r="E10" s="2" t="inlineStr">
        <is>
          <t>NOI less capital reserve / debt service</t>
        </is>
      </c>
    </row>
    <row r="11" ht="34" customHeight="1">
      <c r="A11" s="2" t="inlineStr">
        <is>
          <t>Equity IRR</t>
        </is>
      </c>
      <c r="B11" s="6">
        <f>IFERROR(IRR('Bad'!O2:O22),"No IRR")</f>
        <v>-0.24977336243564013</v>
      </c>
      <c r="C11" s="6">
        <f>IFERROR(IRR('Intermediate'!O2:O22),"No IRR")</f>
        <v>-0.006513783064559464</v>
      </c>
      <c r="D11" s="6">
        <f>IFERROR(IRR('Optimal'!O2:O22),"No IRR")</f>
        <v>0.03478727843847851</v>
      </c>
      <c r="E11" s="2" t="inlineStr">
        <is>
          <t>Includes loan draw, service and exit repayment; no bridge costs</t>
        </is>
      </c>
    </row>
    <row r="12" ht="34" customHeight="1">
      <c r="A12" s="2" t="inlineStr">
        <is>
          <t>Exit value net of selling costs</t>
        </is>
      </c>
      <c r="B12" s="7">
        <f>'Bad'!G22</f>
        <v>1102975.156685595</v>
      </c>
      <c r="C12" s="7">
        <f>'Intermediate'!G22</f>
        <v>2746646.559387852</v>
      </c>
      <c r="D12" s="7">
        <f>'Optimal'!G22</f>
        <v>3850494.3407172565</v>
      </c>
      <c r="E12" s="2" t="inlineStr">
        <is>
          <t>Capitalized year-21 NOI</t>
        </is>
      </c>
    </row>
    <row r="13" ht="34" customHeight="1">
      <c r="A13" s="2" t="inlineStr">
        <is>
          <t>Exit share of PV inflows</t>
        </is>
      </c>
      <c r="B13" s="6">
        <f>'Bad'!G22/(1+Inputs!B21)^20/SUMPRODUCT(('Bad'!E2:E22-'Bad'!F2:F22+'Bad'!G2:G22)/(1+Inputs!B21)^'Bad'!A2:A22)</f>
        <v>0.34164233485059475</v>
      </c>
      <c r="C13" s="6">
        <f>'Intermediate'!G22/(1+Inputs!C21)^20/SUMPRODUCT(('Intermediate'!E2:E22-'Intermediate'!F2:F22+'Intermediate'!G2:G22)/(1+Inputs!C21)^'Intermediate'!A2:A22)</f>
        <v>0.4138413152429451</v>
      </c>
      <c r="D13" s="6">
        <f>'Optimal'!G22/(1+Inputs!D21)^20/SUMPRODUCT(('Optimal'!E2:E22-'Optimal'!F2:F22+'Optimal'!G2:G22)/(1+Inputs!D21)^'Optimal'!A2:A22)</f>
        <v>0.44625512311416193</v>
      </c>
      <c r="E13" s="2" t="inlineStr">
        <is>
          <t>High share signals dependence on exit value</t>
        </is>
      </c>
    </row>
    <row r="14" ht="34" customHeight="1">
      <c r="A14" s="2" t="inlineStr">
        <is>
          <t>Student housing budget share</t>
        </is>
      </c>
      <c r="B14" s="6">
        <f>(MIN(Inputs!B9,Inputs!B10)+Inputs!B26)/Inputs!B25</f>
        <v>0.5909090909090909</v>
      </c>
      <c r="C14" s="6">
        <f>(MIN(Inputs!C9,Inputs!C10)+Inputs!C26)/Inputs!C25</f>
        <v>0.5818181818181818</v>
      </c>
      <c r="D14" s="6">
        <f>(MIN(Inputs!D9,Inputs!D10)+Inputs!D26)/Inputs!D25</f>
        <v>0.5727272727272728</v>
      </c>
      <c r="E14" s="2" t="inlineStr">
        <is>
          <t>First operating-year rent plus utilities / assumed budget</t>
        </is>
      </c>
    </row>
    <row r="15" ht="34" customHeight="1">
      <c r="A15" s="2" t="inlineStr">
        <is>
          <t>Affordability policy</t>
        </is>
      </c>
      <c r="B15" s="7" t="str">
        <f>IF(B14&lt;=Inputs!B27,"Pass","Fail")</f>
        <v>Pass</v>
      </c>
      <c r="C15" s="7" t="str">
        <f>IF(C14&lt;=Inputs!C27,"Pass","Fail")</f>
        <v>Pass</v>
      </c>
      <c r="D15" s="7" t="str">
        <f>IF(D14&lt;=Inputs!D27,"Pass","Fail")</f>
        <v>Pass</v>
      </c>
      <c r="E15" s="2" t="inlineStr">
        <is>
          <t>Budget share ceiling; not proof of legal rent compliance</t>
        </is>
      </c>
    </row>
    <row r="16" ht="34" customHeight="1">
      <c r="A16" s="2" t="inlineStr">
        <is>
          <t>Operating break-even occupancy</t>
        </is>
      </c>
      <c r="B16" s="6">
        <f>(Inputs!B15+Inputs!B2*Inputs!B18)/(Inputs!B2*12*MIN(Inputs!B9,Inputs!B10)*(1-Inputs!B14)*(1-Inputs!B16))</f>
        <v>0.41002811621368324</v>
      </c>
      <c r="C16" s="6">
        <f>(Inputs!C15+Inputs!C2*Inputs!C18)/(Inputs!C2*12*MIN(Inputs!C9,Inputs!C10)*(1-Inputs!C14)*(1-Inputs!C16))</f>
        <v>0.3397685496639689</v>
      </c>
      <c r="D16" s="6">
        <f>(Inputs!D15+Inputs!D2*Inputs!D18)/(Inputs!D2*12*MIN(Inputs!D9,Inputs!D10)*(1-Inputs!D14)*(1-Inputs!D16))</f>
        <v>0.28663818199733065</v>
      </c>
      <c r="E16" s="2" t="inlineStr">
        <is>
          <t>First operating year; includes capital reserve, excludes debt</t>
        </is>
      </c>
    </row>
    <row r="17" ht="34" customHeight="1">
      <c r="A17" s="2" t="inlineStr">
        <is>
          <t>Development / operating years</t>
        </is>
      </c>
      <c r="B17" s="7" t="str">
        <f>Inputs!B8&amp;" / "&amp;(20-Inputs!B8)</f>
        <v>3 / 17</v>
      </c>
      <c r="C17" s="7" t="str">
        <f>Inputs!C8&amp;" / "&amp;(20-Inputs!C8)</f>
        <v>2 / 18</v>
      </c>
      <c r="D17" s="7" t="str">
        <f>Inputs!D8&amp;" / "&amp;(20-Inputs!D8)</f>
        <v>1 / 19</v>
      </c>
      <c r="E17" s="2" t="inlineStr">
        <is>
          <t>20-year total excludes year 0</t>
        </is>
      </c>
    </row>
    <row r="18" ht="34" customHeight="1">
      <c r="A18" s="2" t="inlineStr">
        <is>
          <t>Investment screen</t>
        </is>
      </c>
      <c r="B18" s="7" t="str">
        <f>IF(AND(B2&gt;0,ISNUMBER(B3),B3&gt;Inputs!B21,B10&gt;=1.2,B15="Pass"),"Financial screen passes","Review / reject")</f>
        <v>Review / reject</v>
      </c>
      <c r="C18" s="7" t="str">
        <f>IF(AND(C2&gt;0,ISNUMBER(C3),C3&gt;Inputs!C21,C10&gt;=1.2,C15="Pass"),"Financial screen passes","Review / reject")</f>
        <v>Review / reject</v>
      </c>
      <c r="D18" s="7" t="str">
        <f>IF(AND(D2&gt;0,ISNUMBER(D3),D3&gt;Inputs!D21,D10&gt;=1.2,D15="Pass"),"Financial screen passes","Review / reject")</f>
        <v>Review / reject</v>
      </c>
      <c r="E18" s="2" t="inlineStr">
        <is>
          <t>Illustrative thresholds; ALL regulatory checks still required</t>
        </is>
      </c>
    </row>
    <row r="19">
      <c r="A19" s="2" t="inlineStr">
        <is>
          <t>Operating-only payback</t>
        </is>
      </c>
      <c r="B19" s="9" t="str">
        <f>IF(COUNTIF('Bad'!Q3:Q22,"&gt;=0")=0,"Beyond 20",MATCH(TRUE,INDEX('Bad'!Q3:Q22&gt;=0,0),0))</f>
        <v>Beyond 20</v>
      </c>
      <c r="C19" s="9" t="str">
        <f>IF(COUNTIF('Intermediate'!Q3:Q22,"&gt;=0")=0,"Beyond 20",MATCH(TRUE,INDEX('Intermediate'!Q3:Q22&gt;=0,0),0))</f>
        <v>Beyond 20</v>
      </c>
      <c r="D19" s="9" t="str">
        <f>IF(COUNTIF('Optimal'!Q3:Q22,"&gt;=0")=0,"Beyond 20",MATCH(TRUE,INDEX('Optimal'!Q3:Q22&gt;=0,0),0))</f>
        <v>Beyond 20</v>
      </c>
      <c r="E19" s="2" t="inlineStr">
        <is>
          <t>Calculated below with sale excluded; full-year convention</t>
        </is>
      </c>
    </row>
    <row r="20">
      <c r="A20" s="2" t="inlineStr">
        <is>
          <t>Regulatory decision gate</t>
        </is>
      </c>
      <c r="B20" s="2" t="inlineStr">
        <is>
          <t>OPEN</t>
        </is>
      </c>
      <c r="C20" s="2" t="inlineStr">
        <is>
          <t>OPEN</t>
        </is>
      </c>
      <c r="D20" s="2" t="inlineStr">
        <is>
          <t>OPEN</t>
        </is>
      </c>
      <c r="E20" s="2" t="inlineStr">
        <is>
          <t>No acquisition commitment before all required evidence is cleared</t>
        </is>
      </c>
    </row>
  </sheetData>
  <autoFilter ref="A1:E18"/>
  <conditionalFormatting sqref="B2:D2">
    <cfRule type="cellIs" priority="1" operator="lessThan" dxfId="0">
      <formula>0</formula>
    </cfRule>
  </conditionalFormatting>
  <conditionalFormatting sqref="B10:D10">
    <cfRule type="cellIs" priority="2" operator="lessThan" dxfId="1">
      <formula>1</formula>
    </cfRule>
  </conditionalFormatting>
  <printOptions horizontalCentered="1"/>
  <pageMargins left="0.75" right="0.75" top="1" bottom="1" header="0.5" footer="0.5"/>
  <pageSetup orientation="landscape" paperSize="8" fitToHeight="0" fitToWidth="1"/>
  <drawing r:id="rId1"/>
</worksheet>
</file>

<file path=xl/worksheets/sheet4.xml><?xml version="1.0" encoding="utf-8"?>
<worksheet xmlns="http://schemas.openxmlformats.org/spreadsheetml/2006/main" xmlns:r="http://schemas.openxmlformats.org/officeDocument/2006/relationships">
  <sheetPr>
    <tabColor rgb="007F7F7F"/>
    <outlinePr summaryBelow="1" summaryRight="1"/>
    <pageSetUpPr fitToPage="1"/>
  </sheetPr>
  <dimension ref="A1:R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2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s>
  <sheetData>
    <row r="1" ht="32" customHeight="1">
      <c r="A1" s="8" t="inlineStr">
        <is>
          <t>YEAR</t>
        </is>
      </c>
      <c r="B1" s="8" t="inlineStr">
        <is>
          <t>Build spend</t>
        </is>
      </c>
      <c r="C1" s="8" t="inlineStr">
        <is>
          <t>Collected rent</t>
        </is>
      </c>
      <c r="D1" s="8" t="inlineStr">
        <is>
          <t>Owner costs</t>
        </is>
      </c>
      <c r="E1" s="8" t="inlineStr">
        <is>
          <t>NOI</t>
        </is>
      </c>
      <c r="F1" s="8" t="inlineStr">
        <is>
          <t>Capital reserve</t>
        </is>
      </c>
      <c r="G1" s="8" t="inlineStr">
        <is>
          <t>Exit proceeds</t>
        </is>
      </c>
      <c r="H1" s="8" t="inlineStr">
        <is>
          <t>Project cash flow</t>
        </is>
      </c>
      <c r="I1" s="8" t="inlineStr">
        <is>
          <t>Discounted CF</t>
        </is>
      </c>
      <c r="J1" s="8" t="inlineStr">
        <is>
          <t>Cumulative CF</t>
        </is>
      </c>
      <c r="K1" s="8" t="inlineStr">
        <is>
          <t>Cumulative discounted</t>
        </is>
      </c>
      <c r="L1" s="8" t="inlineStr">
        <is>
          <t>Debt draw</t>
        </is>
      </c>
      <c r="M1" s="8" t="inlineStr">
        <is>
          <t>Debt service</t>
        </is>
      </c>
      <c r="N1" s="8" t="inlineStr">
        <is>
          <t>Closing debt</t>
        </is>
      </c>
      <c r="O1" s="8" t="inlineStr">
        <is>
          <t>Equity cash flow</t>
        </is>
      </c>
      <c r="P1" s="8" t="inlineStr">
        <is>
          <t>DSCR</t>
        </is>
      </c>
      <c r="Q1" s="8" t="inlineStr">
        <is>
          <t>Cumulative excluding sale</t>
        </is>
      </c>
      <c r="R1" s="8" t="inlineStr">
        <is>
          <t>Discounted cash flow check</t>
        </is>
      </c>
    </row>
    <row r="2">
      <c r="A2" s="2" t="n">
        <v>0</v>
      </c>
      <c r="B2" s="7">
        <f>IF(A2=0,Inputs!$B$3*(1+Inputs!$B$4),IF(A2&lt;=Inputs!$B$8,Inputs!$B$5*(1+Inputs!$B$6)*(1+Inputs!$B$7)/Inputs!$B$8,0))</f>
        <v>2069999.9999999998</v>
      </c>
      <c r="C2" s="7">
        <f>IF(A2&gt;Inputs!$B$8,Inputs!$B$2*12*MIN(Inputs!$B$9*(1+Inputs!$B$11)^(A2-Inputs!$B$8-1),Inputs!$B$10*(1+Inputs!$B$12)^(A2-Inputs!$B$8-1))*Inputs!$B$13*(1-Inputs!$B$14),0)</f>
        <v>0</v>
      </c>
      <c r="D2" s="7">
        <f>IF(C2&gt;0,Inputs!$B$15*(1+Inputs!$B$17)^(A2-Inputs!$B$8-1)+C2*Inputs!$B$16,0)</f>
        <v>0</v>
      </c>
      <c r="E2" s="7">
        <f>C2-D2</f>
        <v>0</v>
      </c>
      <c r="F2" s="7">
        <f>IF(C2&gt;0,Inputs!$B$2*Inputs!$B$18*(1+Inputs!$B$17)^(A2-Inputs!$B$8-1),0)</f>
        <v>0</v>
      </c>
      <c r="G2" s="7">
        <f>IF(A2=20,MAX(0,(Inputs!$B$2*12*MIN(Inputs!$B$9*(1+Inputs!$B$11)^(20-Inputs!$B$8),Inputs!$B$10*(1+Inputs!$B$12)^(20-Inputs!$B$8))*Inputs!$B$13*(1-Inputs!$B$14))*(1-Inputs!$B$16)-Inputs!$B$15*(1+Inputs!$B$17)^(20-Inputs!$B$8))/Inputs!$B$19*(1-Inputs!$B$20),0)</f>
        <v>0</v>
      </c>
      <c r="H2" s="7">
        <f>E2-F2-B2+G2</f>
        <v>-2069999.9999999998</v>
      </c>
      <c r="I2" s="7">
        <f>H2/(1+Inputs!$B$21)^A2</f>
        <v>-2069999.9999999998</v>
      </c>
      <c r="J2" s="7">
        <f>SUM(H$2:H2)</f>
        <v>-2069999.9999999998</v>
      </c>
      <c r="K2" s="7">
        <f>SUM(I$2:I2)</f>
        <v>-2069999.9999999998</v>
      </c>
      <c r="L2" s="7">
        <f>IF(A2=Inputs!$B$8,SUM(B$2:B$22)*Inputs!$B$22,0)</f>
        <v>0</v>
      </c>
      <c r="M2" s="7">
        <f>IF(AND(A2&gt;Inputs!$B$8,A2&lt;=Inputs!$B$8+Inputs!$B$24),-PMT(Inputs!$B$23,Inputs!$B$24,SUM(B$2:B$22)*Inputs!$B$22),0)</f>
        <v>0</v>
      </c>
      <c r="N2" s="7">
        <f>L2</f>
        <v>0</v>
      </c>
      <c r="O2" s="7">
        <f>H2+L2-M2-IF(A2=20,N2,0)</f>
        <v>-2069999.9999999998</v>
      </c>
      <c r="P2" s="7">
        <f>IF(M2&gt;0,(E2-F2)/M2,0)</f>
        <v>0</v>
      </c>
      <c r="Q2" s="9">
        <f>J2-SUM(G$2:G2)</f>
        <v>-2069999.9999999998</v>
      </c>
      <c r="R2" s="9">
        <f>H2-(E2-F2-B2+G2)</f>
        <v>0</v>
      </c>
    </row>
    <row r="3">
      <c r="A3" s="2" t="n">
        <v>1</v>
      </c>
      <c r="B3" s="7">
        <f>IF(A3=0,Inputs!$B$3*(1+Inputs!$B$4),IF(A3&lt;=Inputs!$B$8,Inputs!$B$5*(1+Inputs!$B$6)*(1+Inputs!$B$7)/Inputs!$B$8,0))</f>
        <v>718750.0</v>
      </c>
      <c r="C3" s="7">
        <f>IF(A3&gt;Inputs!$B$8,Inputs!$B$2*12*MIN(Inputs!$B$9*(1+Inputs!$B$11)^(A3-Inputs!$B$8-1),Inputs!$B$10*(1+Inputs!$B$12)^(A3-Inputs!$B$8-1))*Inputs!$B$13*(1-Inputs!$B$14),0)</f>
        <v>0</v>
      </c>
      <c r="D3" s="7">
        <f>IF(C3&gt;0,Inputs!$B$15*(1+Inputs!$B$17)^(A3-Inputs!$B$8-1)+C3*Inputs!$B$16,0)</f>
        <v>0</v>
      </c>
      <c r="E3" s="7">
        <f>C3-D3</f>
        <v>0</v>
      </c>
      <c r="F3" s="7">
        <f>IF(C3&gt;0,Inputs!$B$2*Inputs!$B$18*(1+Inputs!$B$17)^(A3-Inputs!$B$8-1),0)</f>
        <v>0</v>
      </c>
      <c r="G3" s="7">
        <f>IF(A3=20,MAX(0,(Inputs!$B$2*12*MIN(Inputs!$B$9*(1+Inputs!$B$11)^(20-Inputs!$B$8),Inputs!$B$10*(1+Inputs!$B$12)^(20-Inputs!$B$8))*Inputs!$B$13*(1-Inputs!$B$14))*(1-Inputs!$B$16)-Inputs!$B$15*(1+Inputs!$B$17)^(20-Inputs!$B$8))/Inputs!$B$19*(1-Inputs!$B$20),0)</f>
        <v>0</v>
      </c>
      <c r="H3" s="7">
        <f>E3-F3-B3+G3</f>
        <v>-718750.0</v>
      </c>
      <c r="I3" s="7">
        <f>H3/(1+Inputs!$B$21)^A3</f>
        <v>-662442.396313364</v>
      </c>
      <c r="J3" s="7">
        <f>SUM(H$2:H3)</f>
        <v>-2788750.0</v>
      </c>
      <c r="K3" s="7">
        <f>SUM(I$2:I3)</f>
        <v>-2732442.3963133637</v>
      </c>
      <c r="L3" s="7">
        <f>IF(A3=Inputs!$B$8,SUM(B$2:B$22)*Inputs!$B$22,0)</f>
        <v>0</v>
      </c>
      <c r="M3" s="7">
        <f>IF(AND(A3&gt;Inputs!$B$8,A3&lt;=Inputs!$B$8+Inputs!$B$24),-PMT(Inputs!$B$23,Inputs!$B$24,SUM(B$2:B$22)*Inputs!$B$22),0)</f>
        <v>0</v>
      </c>
      <c r="N3" s="7">
        <f>MAX(0,N2*(1+IF(M3&gt;0,Inputs!$B$23,0))+L3-M3)</f>
        <v>0</v>
      </c>
      <c r="O3" s="7">
        <f>H3+L3-M3-IF(A3=20,N3,0)</f>
        <v>-718750.0</v>
      </c>
      <c r="P3" s="7">
        <f>IF(M3&gt;0,(E3-F3)/M3,0)</f>
        <v>0</v>
      </c>
      <c r="Q3" s="9">
        <f>J3-SUM(G$2:G3)</f>
        <v>-2788750.0</v>
      </c>
      <c r="R3" s="9">
        <f>H3-(E3-F3-B3+G3)</f>
        <v>0</v>
      </c>
    </row>
    <row r="4">
      <c r="A4" s="2" t="n">
        <v>2</v>
      </c>
      <c r="B4" s="7">
        <f>IF(A4=0,Inputs!$B$3*(1+Inputs!$B$4),IF(A4&lt;=Inputs!$B$8,Inputs!$B$5*(1+Inputs!$B$6)*(1+Inputs!$B$7)/Inputs!$B$8,0))</f>
        <v>718750.0</v>
      </c>
      <c r="C4" s="7">
        <f>IF(A4&gt;Inputs!$B$8,Inputs!$B$2*12*MIN(Inputs!$B$9*(1+Inputs!$B$11)^(A4-Inputs!$B$8-1),Inputs!$B$10*(1+Inputs!$B$12)^(A4-Inputs!$B$8-1))*Inputs!$B$13*(1-Inputs!$B$14),0)</f>
        <v>0</v>
      </c>
      <c r="D4" s="7">
        <f>IF(C4&gt;0,Inputs!$B$15*(1+Inputs!$B$17)^(A4-Inputs!$B$8-1)+C4*Inputs!$B$16,0)</f>
        <v>0</v>
      </c>
      <c r="E4" s="7">
        <f>C4-D4</f>
        <v>0</v>
      </c>
      <c r="F4" s="7">
        <f>IF(C4&gt;0,Inputs!$B$2*Inputs!$B$18*(1+Inputs!$B$17)^(A4-Inputs!$B$8-1),0)</f>
        <v>0</v>
      </c>
      <c r="G4" s="7">
        <f>IF(A4=20,MAX(0,(Inputs!$B$2*12*MIN(Inputs!$B$9*(1+Inputs!$B$11)^(20-Inputs!$B$8),Inputs!$B$10*(1+Inputs!$B$12)^(20-Inputs!$B$8))*Inputs!$B$13*(1-Inputs!$B$14))*(1-Inputs!$B$16)-Inputs!$B$15*(1+Inputs!$B$17)^(20-Inputs!$B$8))/Inputs!$B$19*(1-Inputs!$B$20),0)</f>
        <v>0</v>
      </c>
      <c r="H4" s="7">
        <f>E4-F4-B4+G4</f>
        <v>-718750.0</v>
      </c>
      <c r="I4" s="7">
        <f>H4/(1+Inputs!$B$21)^A4</f>
        <v>-610545.987385589</v>
      </c>
      <c r="J4" s="7">
        <f>SUM(H$2:H4)</f>
        <v>-3507500.0</v>
      </c>
      <c r="K4" s="7">
        <f>SUM(I$2:I4)</f>
        <v>-3342988.383698953</v>
      </c>
      <c r="L4" s="7">
        <f>IF(A4=Inputs!$B$8,SUM(B$2:B$22)*Inputs!$B$22,0)</f>
        <v>0</v>
      </c>
      <c r="M4" s="7">
        <f>IF(AND(A4&gt;Inputs!$B$8,A4&lt;=Inputs!$B$8+Inputs!$B$24),-PMT(Inputs!$B$23,Inputs!$B$24,SUM(B$2:B$22)*Inputs!$B$22),0)</f>
        <v>0</v>
      </c>
      <c r="N4" s="7">
        <f>MAX(0,N3*(1+IF(M4&gt;0,Inputs!$B$23,0))+L4-M4)</f>
        <v>0</v>
      </c>
      <c r="O4" s="7">
        <f>H4+L4-M4-IF(A4=20,N4,0)</f>
        <v>-718750.0</v>
      </c>
      <c r="P4" s="7">
        <f>IF(M4&gt;0,(E4-F4)/M4,0)</f>
        <v>0</v>
      </c>
      <c r="Q4" s="9">
        <f>J4-SUM(G$2:G4)</f>
        <v>-3507500.0</v>
      </c>
      <c r="R4" s="9">
        <f>H4-(E4-F4-B4+G4)</f>
        <v>0</v>
      </c>
    </row>
    <row r="5">
      <c r="A5" s="2" t="n">
        <v>3</v>
      </c>
      <c r="B5" s="7">
        <f>IF(A5=0,Inputs!$B$3*(1+Inputs!$B$4),IF(A5&lt;=Inputs!$B$8,Inputs!$B$5*(1+Inputs!$B$6)*(1+Inputs!$B$7)/Inputs!$B$8,0))</f>
        <v>718750.0</v>
      </c>
      <c r="C5" s="7">
        <f>IF(A5&gt;Inputs!$B$8,Inputs!$B$2*12*MIN(Inputs!$B$9*(1+Inputs!$B$11)^(A5-Inputs!$B$8-1),Inputs!$B$10*(1+Inputs!$B$12)^(A5-Inputs!$B$8-1))*Inputs!$B$13*(1-Inputs!$B$14),0)</f>
        <v>0</v>
      </c>
      <c r="D5" s="7">
        <f>IF(C5&gt;0,Inputs!$B$15*(1+Inputs!$B$17)^(A5-Inputs!$B$8-1)+C5*Inputs!$B$16,0)</f>
        <v>0</v>
      </c>
      <c r="E5" s="7">
        <f>C5-D5</f>
        <v>0</v>
      </c>
      <c r="F5" s="7">
        <f>IF(C5&gt;0,Inputs!$B$2*Inputs!$B$18*(1+Inputs!$B$17)^(A5-Inputs!$B$8-1),0)</f>
        <v>0</v>
      </c>
      <c r="G5" s="7">
        <f>IF(A5=20,MAX(0,(Inputs!$B$2*12*MIN(Inputs!$B$9*(1+Inputs!$B$11)^(20-Inputs!$B$8),Inputs!$B$10*(1+Inputs!$B$12)^(20-Inputs!$B$8))*Inputs!$B$13*(1-Inputs!$B$14))*(1-Inputs!$B$16)-Inputs!$B$15*(1+Inputs!$B$17)^(20-Inputs!$B$8))/Inputs!$B$19*(1-Inputs!$B$20),0)</f>
        <v>0</v>
      </c>
      <c r="H5" s="7">
        <f>E5-F5-B5+G5</f>
        <v>-718750.0</v>
      </c>
      <c r="I5" s="7">
        <f>H5/(1+Inputs!$B$21)^A5</f>
        <v>-562715.1957470867</v>
      </c>
      <c r="J5" s="7">
        <f>SUM(H$2:H5)</f>
        <v>-4226250.0</v>
      </c>
      <c r="K5" s="7">
        <f>SUM(I$2:I5)</f>
        <v>-3905703.5794460396</v>
      </c>
      <c r="L5" s="7">
        <f>IF(A5=Inputs!$B$8,SUM(B$2:B$22)*Inputs!$B$22,0)</f>
        <v>2324437.5</v>
      </c>
      <c r="M5" s="7">
        <f>IF(AND(A5&gt;Inputs!$B$8,A5&lt;=Inputs!$B$8+Inputs!$B$24),-PMT(Inputs!$B$23,Inputs!$B$24,SUM(B$2:B$22)*Inputs!$B$22),0)</f>
        <v>0</v>
      </c>
      <c r="N5" s="7">
        <f>MAX(0,N4*(1+IF(M5&gt;0,Inputs!$B$23,0))+L5-M5)</f>
        <v>2324437.5</v>
      </c>
      <c r="O5" s="7">
        <f>H5+L5-M5-IF(A5=20,N5,0)</f>
        <v>1605687.5</v>
      </c>
      <c r="P5" s="7">
        <f>IF(M5&gt;0,(E5-F5)/M5,0)</f>
        <v>0</v>
      </c>
      <c r="Q5" s="9">
        <f>J5-SUM(G$2:G5)</f>
        <v>-4226250.0</v>
      </c>
      <c r="R5" s="9">
        <f>H5-(E5-F5-B5+G5)</f>
        <v>0</v>
      </c>
    </row>
    <row r="6">
      <c r="A6" s="2" t="n">
        <v>4</v>
      </c>
      <c r="B6" s="7">
        <f>IF(A6=0,Inputs!$B$3*(1+Inputs!$B$4),IF(A6&lt;=Inputs!$B$8,Inputs!$B$5*(1+Inputs!$B$6)*(1+Inputs!$B$7)/Inputs!$B$8,0))</f>
        <v>0</v>
      </c>
      <c r="C6" s="7">
        <f>IF(A6&gt;Inputs!$B$8,Inputs!$B$2*12*MIN(Inputs!$B$9*(1+Inputs!$B$11)^(A6-Inputs!$B$8-1),Inputs!$B$10*(1+Inputs!$B$12)^(A6-Inputs!$B$8-1))*Inputs!$B$13*(1-Inputs!$B$14),0)</f>
        <v>163251.0</v>
      </c>
      <c r="D6" s="7">
        <f>IF(C6&gt;0,Inputs!$B$15*(1+Inputs!$B$17)^(A6-Inputs!$B$8-1)+C6*Inputs!$B$16,0)</f>
        <v>77650.2</v>
      </c>
      <c r="E6" s="7">
        <f>C6-D6</f>
        <v>85600.8</v>
      </c>
      <c r="F6" s="7">
        <f>IF(C6&gt;0,Inputs!$B$2*Inputs!$B$18*(1+Inputs!$B$17)^(A6-Inputs!$B$8-1),0)</f>
        <v>18000.0</v>
      </c>
      <c r="G6" s="7">
        <f>IF(A6=20,MAX(0,(Inputs!$B$2*12*MIN(Inputs!$B$9*(1+Inputs!$B$11)^(20-Inputs!$B$8),Inputs!$B$10*(1+Inputs!$B$12)^(20-Inputs!$B$8))*Inputs!$B$13*(1-Inputs!$B$14))*(1-Inputs!$B$16)-Inputs!$B$15*(1+Inputs!$B$17)^(20-Inputs!$B$8))/Inputs!$B$19*(1-Inputs!$B$20),0)</f>
        <v>0</v>
      </c>
      <c r="H6" s="7">
        <f>E6-F6-B6+G6</f>
        <v>67600.8</v>
      </c>
      <c r="I6" s="7">
        <f>H6/(1+Inputs!$B$21)^A6</f>
        <v>48778.998875941055</v>
      </c>
      <c r="J6" s="7">
        <f>SUM(H$2:H6)</f>
        <v>-4158649.2</v>
      </c>
      <c r="K6" s="7">
        <f>SUM(I$2:I6)</f>
        <v>-3856924.5805700985</v>
      </c>
      <c r="L6" s="7">
        <f>IF(A6=Inputs!$B$8,SUM(B$2:B$22)*Inputs!$B$22,0)</f>
        <v>0</v>
      </c>
      <c r="M6" s="7">
        <f>IF(AND(A6&gt;Inputs!$B$8,A6&lt;=Inputs!$B$8+Inputs!$B$24),-PMT(Inputs!$B$23,Inputs!$B$24,SUM(B$2:B$22)*Inputs!$B$22),0)</f>
        <v>194507.37270807507</v>
      </c>
      <c r="N6" s="7">
        <f>MAX(0,N5*(1+IF(M6&gt;0,Inputs!$B$23,0))+L6-M6)</f>
        <v>2257774.189791925</v>
      </c>
      <c r="O6" s="7">
        <f>H6+L6-M6-IF(A6=20,N6,0)</f>
        <v>-126906.57270807507</v>
      </c>
      <c r="P6" s="7">
        <f>IF(M6&gt;0,(E6-F6)/M6,0)</f>
        <v>0.34754877955941627</v>
      </c>
      <c r="Q6" s="9">
        <f>J6-SUM(G$2:G6)</f>
        <v>-4158649.2</v>
      </c>
      <c r="R6" s="9">
        <f>H6-(E6-F6-B6+G6)</f>
        <v>0</v>
      </c>
    </row>
    <row r="7">
      <c r="A7" s="2" t="n">
        <v>5</v>
      </c>
      <c r="B7" s="7">
        <f>IF(A7=0,Inputs!$B$3*(1+Inputs!$B$4),IF(A7&lt;=Inputs!$B$8,Inputs!$B$5*(1+Inputs!$B$6)*(1+Inputs!$B$7)/Inputs!$B$8,0))</f>
        <v>0</v>
      </c>
      <c r="C7" s="7">
        <f>IF(A7&gt;Inputs!$B$8,Inputs!$B$2*12*MIN(Inputs!$B$9*(1+Inputs!$B$11)^(A7-Inputs!$B$8-1),Inputs!$B$10*(1+Inputs!$B$12)^(A7-Inputs!$B$8-1))*Inputs!$B$13*(1-Inputs!$B$14),0)</f>
        <v>164883.51</v>
      </c>
      <c r="D7" s="7">
        <f>IF(C7&gt;0,Inputs!$B$15*(1+Inputs!$B$17)^(A7-Inputs!$B$8-1)+C7*Inputs!$B$16,0)</f>
        <v>79551.702</v>
      </c>
      <c r="E7" s="7">
        <f>C7-D7</f>
        <v>85331.808</v>
      </c>
      <c r="F7" s="7">
        <f>IF(C7&gt;0,Inputs!$B$2*Inputs!$B$18*(1+Inputs!$B$17)^(A7-Inputs!$B$8-1),0)</f>
        <v>18630.0</v>
      </c>
      <c r="G7" s="7">
        <f>IF(A7=20,MAX(0,(Inputs!$B$2*12*MIN(Inputs!$B$9*(1+Inputs!$B$11)^(20-Inputs!$B$8),Inputs!$B$10*(1+Inputs!$B$12)^(20-Inputs!$B$8))*Inputs!$B$13*(1-Inputs!$B$14))*(1-Inputs!$B$16)-Inputs!$B$15*(1+Inputs!$B$17)^(20-Inputs!$B$8))/Inputs!$B$19*(1-Inputs!$B$20),0)</f>
        <v>0</v>
      </c>
      <c r="H7" s="7">
        <f>E7-F7-B7+G7</f>
        <v>66701.808</v>
      </c>
      <c r="I7" s="7">
        <f>H7/(1+Inputs!$B$21)^A7</f>
        <v>44359.73213546401</v>
      </c>
      <c r="J7" s="7">
        <f>SUM(H$2:H7)</f>
        <v>-4091947.392</v>
      </c>
      <c r="K7" s="7">
        <f>SUM(I$2:I7)</f>
        <v>-3812564.8484346345</v>
      </c>
      <c r="L7" s="7">
        <f>IF(A7=Inputs!$B$8,SUM(B$2:B$22)*Inputs!$B$22,0)</f>
        <v>0</v>
      </c>
      <c r="M7" s="7">
        <f>IF(AND(A7&gt;Inputs!$B$8,A7&lt;=Inputs!$B$8+Inputs!$B$24),-PMT(Inputs!$B$23,Inputs!$B$24,SUM(B$2:B$22)*Inputs!$B$22),0)</f>
        <v>194507.37270807507</v>
      </c>
      <c r="N7" s="7">
        <f>MAX(0,N6*(1+IF(M7&gt;0,Inputs!$B$23,0))+L7-M7)</f>
        <v>2187444.3975224053</v>
      </c>
      <c r="O7" s="7">
        <f>H7+L7-M7-IF(A7=20,N7,0)</f>
        <v>-127805.56470807506</v>
      </c>
      <c r="P7" s="7">
        <f>IF(M7&gt;0,(E7-F7)/M7,0)</f>
        <v>0.34292688791858245</v>
      </c>
      <c r="Q7" s="9">
        <f>J7-SUM(G$2:G7)</f>
        <v>-4091947.392</v>
      </c>
      <c r="R7" s="9">
        <f>H7-(E7-F7-B7+G7)</f>
        <v>0</v>
      </c>
    </row>
    <row r="8">
      <c r="A8" s="2" t="n">
        <v>6</v>
      </c>
      <c r="B8" s="7">
        <f>IF(A8=0,Inputs!$B$3*(1+Inputs!$B$4),IF(A8&lt;=Inputs!$B$8,Inputs!$B$5*(1+Inputs!$B$6)*(1+Inputs!$B$7)/Inputs!$B$8,0))</f>
        <v>0</v>
      </c>
      <c r="C8" s="7">
        <f>IF(A8&gt;Inputs!$B$8,Inputs!$B$2*12*MIN(Inputs!$B$9*(1+Inputs!$B$11)^(A8-Inputs!$B$8-1),Inputs!$B$10*(1+Inputs!$B$12)^(A8-Inputs!$B$8-1))*Inputs!$B$13*(1-Inputs!$B$14),0)</f>
        <v>166532.34509999998</v>
      </c>
      <c r="D8" s="7">
        <f>IF(C8&gt;0,Inputs!$B$15*(1+Inputs!$B$17)^(A8-Inputs!$B$8-1)+C8*Inputs!$B$16,0)</f>
        <v>81511.59401999999</v>
      </c>
      <c r="E8" s="7">
        <f>C8-D8</f>
        <v>85020.75107999999</v>
      </c>
      <c r="F8" s="7">
        <f>IF(C8&gt;0,Inputs!$B$2*Inputs!$B$18*(1+Inputs!$B$17)^(A8-Inputs!$B$8-1),0)</f>
        <v>19282.05</v>
      </c>
      <c r="G8" s="7">
        <f>IF(A8=20,MAX(0,(Inputs!$B$2*12*MIN(Inputs!$B$9*(1+Inputs!$B$11)^(20-Inputs!$B$8),Inputs!$B$10*(1+Inputs!$B$12)^(20-Inputs!$B$8))*Inputs!$B$13*(1-Inputs!$B$14))*(1-Inputs!$B$16)-Inputs!$B$15*(1+Inputs!$B$17)^(20-Inputs!$B$8))/Inputs!$B$19*(1-Inputs!$B$20),0)</f>
        <v>0</v>
      </c>
      <c r="H8" s="7">
        <f>E8-F8-B8+G8</f>
        <v>65738.70107999998</v>
      </c>
      <c r="I8" s="7">
        <f>H8/(1+Inputs!$B$21)^A8</f>
        <v>40294.21408864569</v>
      </c>
      <c r="J8" s="7">
        <f>SUM(H$2:H8)</f>
        <v>-4026208.69092</v>
      </c>
      <c r="K8" s="7">
        <f>SUM(I$2:I8)</f>
        <v>-3772270.6343459887</v>
      </c>
      <c r="L8" s="7">
        <f>IF(A8=Inputs!$B$8,SUM(B$2:B$22)*Inputs!$B$22,0)</f>
        <v>0</v>
      </c>
      <c r="M8" s="7">
        <f>IF(AND(A8&gt;Inputs!$B$8,A8&lt;=Inputs!$B$8+Inputs!$B$24),-PMT(Inputs!$B$23,Inputs!$B$24,SUM(B$2:B$22)*Inputs!$B$22),0)</f>
        <v>194507.37270807507</v>
      </c>
      <c r="N8" s="7">
        <f>MAX(0,N7*(1+IF(M8&gt;0,Inputs!$B$23,0))+L8-M8)</f>
        <v>2113246.466678062</v>
      </c>
      <c r="O8" s="7">
        <f>H8+L8-M8-IF(A8=20,N8,0)</f>
        <v>-128768.67162807508</v>
      </c>
      <c r="P8" s="7">
        <f>IF(M8&gt;0,(E8-F8)/M8,0)</f>
        <v>0.33797536908106524</v>
      </c>
      <c r="Q8" s="9">
        <f>J8-SUM(G$2:G8)</f>
        <v>-4026208.69092</v>
      </c>
      <c r="R8" s="9">
        <f>H8-(E8-F8-B8+G8)</f>
        <v>0</v>
      </c>
    </row>
    <row r="9">
      <c r="A9" s="2" t="n">
        <v>7</v>
      </c>
      <c r="B9" s="7">
        <f>IF(A9=0,Inputs!$B$3*(1+Inputs!$B$4),IF(A9&lt;=Inputs!$B$8,Inputs!$B$5*(1+Inputs!$B$6)*(1+Inputs!$B$7)/Inputs!$B$8,0))</f>
        <v>0</v>
      </c>
      <c r="C9" s="7">
        <f>IF(A9&gt;Inputs!$B$8,Inputs!$B$2*12*MIN(Inputs!$B$9*(1+Inputs!$B$11)^(A9-Inputs!$B$8-1),Inputs!$B$10*(1+Inputs!$B$12)^(A9-Inputs!$B$8-1))*Inputs!$B$13*(1-Inputs!$B$14),0)</f>
        <v>168197.668551</v>
      </c>
      <c r="D9" s="7">
        <f>IF(C9&gt;0,Inputs!$B$15*(1+Inputs!$B$17)^(A9-Inputs!$B$8-1)+C9*Inputs!$B$16,0)</f>
        <v>83531.8380852</v>
      </c>
      <c r="E9" s="7">
        <f>C9-D9</f>
        <v>84665.83046580001</v>
      </c>
      <c r="F9" s="7">
        <f>IF(C9&gt;0,Inputs!$B$2*Inputs!$B$18*(1+Inputs!$B$17)^(A9-Inputs!$B$8-1),0)</f>
        <v>19956.921749999994</v>
      </c>
      <c r="G9" s="7">
        <f>IF(A9=20,MAX(0,(Inputs!$B$2*12*MIN(Inputs!$B$9*(1+Inputs!$B$11)^(20-Inputs!$B$8),Inputs!$B$10*(1+Inputs!$B$12)^(20-Inputs!$B$8))*Inputs!$B$13*(1-Inputs!$B$14))*(1-Inputs!$B$16)-Inputs!$B$15*(1+Inputs!$B$17)^(20-Inputs!$B$8))/Inputs!$B$19*(1-Inputs!$B$20),0)</f>
        <v>0</v>
      </c>
      <c r="H9" s="7">
        <f>E9-F9-B9+G9</f>
        <v>64708.90871580002</v>
      </c>
      <c r="I9" s="7">
        <f>H9/(1+Inputs!$B$21)^A9</f>
        <v>36555.767663303115</v>
      </c>
      <c r="J9" s="7">
        <f>SUM(H$2:H9)</f>
        <v>-3961499.7822042</v>
      </c>
      <c r="K9" s="7">
        <f>SUM(I$2:I9)</f>
        <v>-3735714.8666826854</v>
      </c>
      <c r="L9" s="7">
        <f>IF(A9=Inputs!$B$8,SUM(B$2:B$22)*Inputs!$B$22,0)</f>
        <v>0</v>
      </c>
      <c r="M9" s="7">
        <f>IF(AND(A9&gt;Inputs!$B$8,A9&lt;=Inputs!$B$8+Inputs!$B$24),-PMT(Inputs!$B$23,Inputs!$B$24,SUM(B$2:B$22)*Inputs!$B$22),0)</f>
        <v>194507.37270807507</v>
      </c>
      <c r="N9" s="7">
        <f>MAX(0,N8*(1+IF(M9&gt;0,Inputs!$B$23,0))+L9-M9)</f>
        <v>2034967.6496372803</v>
      </c>
      <c r="O9" s="7">
        <f>H9+L9-M9-IF(A9=20,N9,0)</f>
        <v>-129798.46399227505</v>
      </c>
      <c r="P9" s="7">
        <f>IF(M9&gt;0,(E9-F9)/M9,0)</f>
        <v>0.3326810074850885</v>
      </c>
      <c r="Q9" s="9">
        <f>J9-SUM(G$2:G9)</f>
        <v>-3961499.7822042</v>
      </c>
      <c r="R9" s="9">
        <f>H9-(E9-F9-B9+G9)</f>
        <v>0</v>
      </c>
    </row>
    <row r="10">
      <c r="A10" s="2" t="n">
        <v>8</v>
      </c>
      <c r="B10" s="7">
        <f>IF(A10=0,Inputs!$B$3*(1+Inputs!$B$4),IF(A10&lt;=Inputs!$B$8,Inputs!$B$5*(1+Inputs!$B$6)*(1+Inputs!$B$7)/Inputs!$B$8,0))</f>
        <v>0</v>
      </c>
      <c r="C10" s="7">
        <f>IF(A10&gt;Inputs!$B$8,Inputs!$B$2*12*MIN(Inputs!$B$9*(1+Inputs!$B$11)^(A10-Inputs!$B$8-1),Inputs!$B$10*(1+Inputs!$B$12)^(A10-Inputs!$B$8-1))*Inputs!$B$13*(1-Inputs!$B$14),0)</f>
        <v>169879.64523651</v>
      </c>
      <c r="D10" s="7">
        <f>IF(C10&gt;0,Inputs!$B$15*(1+Inputs!$B$17)^(A10-Inputs!$B$8-1)+C10*Inputs!$B$16,0)</f>
        <v>85614.46407542698</v>
      </c>
      <c r="E10" s="7">
        <f>C10-D10</f>
        <v>84265.18116108302</v>
      </c>
      <c r="F10" s="7">
        <f>IF(C10&gt;0,Inputs!$B$2*Inputs!$B$18*(1+Inputs!$B$17)^(A10-Inputs!$B$8-1),0)</f>
        <v>20655.414011249995</v>
      </c>
      <c r="G10" s="7">
        <f>IF(A10=20,MAX(0,(Inputs!$B$2*12*MIN(Inputs!$B$9*(1+Inputs!$B$11)^(20-Inputs!$B$8),Inputs!$B$10*(1+Inputs!$B$12)^(20-Inputs!$B$8))*Inputs!$B$13*(1-Inputs!$B$14))*(1-Inputs!$B$16)-Inputs!$B$15*(1+Inputs!$B$17)^(20-Inputs!$B$8))/Inputs!$B$19*(1-Inputs!$B$20),0)</f>
        <v>0</v>
      </c>
      <c r="H10" s="7">
        <f>E10-F10-B10+G10</f>
        <v>63609.767149833024</v>
      </c>
      <c r="I10" s="7">
        <f>H10/(1+Inputs!$B$21)^A10</f>
        <v>33119.66233129839</v>
      </c>
      <c r="J10" s="7">
        <f>SUM(H$2:H10)</f>
        <v>-3897890.015054367</v>
      </c>
      <c r="K10" s="7">
        <f>SUM(I$2:I10)</f>
        <v>-3702595.204351387</v>
      </c>
      <c r="L10" s="7">
        <f>IF(A10=Inputs!$B$8,SUM(B$2:B$22)*Inputs!$B$22,0)</f>
        <v>0</v>
      </c>
      <c r="M10" s="7">
        <f>IF(AND(A10&gt;Inputs!$B$8,A10&lt;=Inputs!$B$8+Inputs!$B$24),-PMT(Inputs!$B$23,Inputs!$B$24,SUM(B$2:B$22)*Inputs!$B$22),0)</f>
        <v>194507.37270807507</v>
      </c>
      <c r="N10" s="7">
        <f>MAX(0,N9*(1+IF(M10&gt;0,Inputs!$B$23,0))+L10-M10)</f>
        <v>1952383.4976592555</v>
      </c>
      <c r="O10" s="7">
        <f>H10+L10-M10-IF(A10=20,N10,0)</f>
        <v>-130897.60555824204</v>
      </c>
      <c r="P10" s="7">
        <f>IF(M10&gt;0,(E10-F10)/M10,0)</f>
        <v>0.3270301082381143</v>
      </c>
      <c r="Q10" s="9">
        <f>J10-SUM(G$2:G10)</f>
        <v>-3897890.015054367</v>
      </c>
      <c r="R10" s="9">
        <f>H10-(E10-F10-B10+G10)</f>
        <v>0</v>
      </c>
    </row>
    <row r="11">
      <c r="A11" s="2" t="n">
        <v>9</v>
      </c>
      <c r="B11" s="7">
        <f>IF(A11=0,Inputs!$B$3*(1+Inputs!$B$4),IF(A11&lt;=Inputs!$B$8,Inputs!$B$5*(1+Inputs!$B$6)*(1+Inputs!$B$7)/Inputs!$B$8,0))</f>
        <v>0</v>
      </c>
      <c r="C11" s="7">
        <f>IF(A11&gt;Inputs!$B$8,Inputs!$B$2*12*MIN(Inputs!$B$9*(1+Inputs!$B$11)^(A11-Inputs!$B$8-1),Inputs!$B$10*(1+Inputs!$B$12)^(A11-Inputs!$B$8-1))*Inputs!$B$13*(1-Inputs!$B$14),0)</f>
        <v>171578.44168887511</v>
      </c>
      <c r="D11" s="7">
        <f>IF(C11&gt;0,Inputs!$B$15*(1+Inputs!$B$17)^(A11-Inputs!$B$8-1)+C11*Inputs!$B$16,0)</f>
        <v>87761.57209188439</v>
      </c>
      <c r="E11" s="7">
        <f>C11-D11</f>
        <v>83816.86959699073</v>
      </c>
      <c r="F11" s="7">
        <f>IF(C11&gt;0,Inputs!$B$2*Inputs!$B$18*(1+Inputs!$B$17)^(A11-Inputs!$B$8-1),0)</f>
        <v>21378.35350164374</v>
      </c>
      <c r="G11" s="7">
        <f>IF(A11=20,MAX(0,(Inputs!$B$2*12*MIN(Inputs!$B$9*(1+Inputs!$B$11)^(20-Inputs!$B$8),Inputs!$B$10*(1+Inputs!$B$12)^(20-Inputs!$B$8))*Inputs!$B$13*(1-Inputs!$B$14))*(1-Inputs!$B$16)-Inputs!$B$15*(1+Inputs!$B$17)^(20-Inputs!$B$8))/Inputs!$B$19*(1-Inputs!$B$20),0)</f>
        <v>0</v>
      </c>
      <c r="H11" s="7">
        <f>E11-F11-B11+G11</f>
        <v>62438.51609534699</v>
      </c>
      <c r="I11" s="7">
        <f>H11/(1+Inputs!$B$21)^A11</f>
        <v>29962.974830987478</v>
      </c>
      <c r="J11" s="7">
        <f>SUM(H$2:H11)</f>
        <v>-3835451.4989590202</v>
      </c>
      <c r="K11" s="7">
        <f>SUM(I$2:I11)</f>
        <v>-3672632.2295203996</v>
      </c>
      <c r="L11" s="7">
        <f>IF(A11=Inputs!$B$8,SUM(B$2:B$22)*Inputs!$B$22,0)</f>
        <v>0</v>
      </c>
      <c r="M11" s="7">
        <f>IF(AND(A11&gt;Inputs!$B$8,A11&lt;=Inputs!$B$8+Inputs!$B$24),-PMT(Inputs!$B$23,Inputs!$B$24,SUM(B$2:B$22)*Inputs!$B$22),0)</f>
        <v>194507.37270807507</v>
      </c>
      <c r="N11" s="7">
        <f>MAX(0,N10*(1+IF(M11&gt;0,Inputs!$B$23,0))+L11-M11)</f>
        <v>1865257.2173224394</v>
      </c>
      <c r="O11" s="7">
        <f>H11+L11-M11-IF(A11=20,N11,0)</f>
        <v>-132068.8566127281</v>
      </c>
      <c r="P11" s="7">
        <f>IF(M11&gt;0,(E11-F11)/M11,0)</f>
        <v>0.32100848017240646</v>
      </c>
      <c r="Q11" s="9">
        <f>J11-SUM(G$2:G11)</f>
        <v>-3835451.4989590202</v>
      </c>
      <c r="R11" s="9">
        <f>H11-(E11-F11-B11+G11)</f>
        <v>0</v>
      </c>
    </row>
    <row r="12">
      <c r="A12" s="2" t="n">
        <v>10</v>
      </c>
      <c r="B12" s="7">
        <f>IF(A12=0,Inputs!$B$3*(1+Inputs!$B$4),IF(A12&lt;=Inputs!$B$8,Inputs!$B$5*(1+Inputs!$B$6)*(1+Inputs!$B$7)/Inputs!$B$8,0))</f>
        <v>0</v>
      </c>
      <c r="C12" s="7">
        <f>IF(A12&gt;Inputs!$B$8,Inputs!$B$2*12*MIN(Inputs!$B$9*(1+Inputs!$B$11)^(A12-Inputs!$B$8-1),Inputs!$B$10*(1+Inputs!$B$12)^(A12-Inputs!$B$8-1))*Inputs!$B$13*(1-Inputs!$B$14),0)</f>
        <v>173294.22610576384</v>
      </c>
      <c r="D12" s="7">
        <f>IF(C12&gt;0,Inputs!$B$15*(1+Inputs!$B$17)^(A12-Inputs!$B$8-1)+C12*Inputs!$B$16,0)</f>
        <v>89975.33490665595</v>
      </c>
      <c r="E12" s="7">
        <f>C12-D12</f>
        <v>83318.8911991079</v>
      </c>
      <c r="F12" s="7">
        <f>IF(C12&gt;0,Inputs!$B$2*Inputs!$B$18*(1+Inputs!$B$17)^(A12-Inputs!$B$8-1),0)</f>
        <v>22126.59587420127</v>
      </c>
      <c r="G12" s="7">
        <f>IF(A12=20,MAX(0,(Inputs!$B$2*12*MIN(Inputs!$B$9*(1+Inputs!$B$11)^(20-Inputs!$B$8),Inputs!$B$10*(1+Inputs!$B$12)^(20-Inputs!$B$8))*Inputs!$B$13*(1-Inputs!$B$14))*(1-Inputs!$B$16)-Inputs!$B$15*(1+Inputs!$B$17)^(20-Inputs!$B$8))/Inputs!$B$19*(1-Inputs!$B$20),0)</f>
        <v>0</v>
      </c>
      <c r="H12" s="7">
        <f>E12-F12-B12+G12</f>
        <v>61192.29532490662</v>
      </c>
      <c r="I12" s="7">
        <f>H12/(1+Inputs!$B$21)^A12</f>
        <v>27064.459734836597</v>
      </c>
      <c r="J12" s="7">
        <f>SUM(H$2:H12)</f>
        <v>-3774259.2036341135</v>
      </c>
      <c r="K12" s="7">
        <f>SUM(I$2:I12)</f>
        <v>-3645567.769785563</v>
      </c>
      <c r="L12" s="7">
        <f>IF(A12=Inputs!$B$8,SUM(B$2:B$22)*Inputs!$B$22,0)</f>
        <v>0</v>
      </c>
      <c r="M12" s="7">
        <f>IF(AND(A12&gt;Inputs!$B$8,A12&lt;=Inputs!$B$8+Inputs!$B$24),-PMT(Inputs!$B$23,Inputs!$B$24,SUM(B$2:B$22)*Inputs!$B$22),0)</f>
        <v>194507.37270807507</v>
      </c>
      <c r="N12" s="7">
        <f>MAX(0,N11*(1+IF(M12&gt;0,Inputs!$B$23,0))+L12-M12)</f>
        <v>1773338.9915670985</v>
      </c>
      <c r="O12" s="7">
        <f>H12+L12-M12-IF(A12=20,N12,0)</f>
        <v>-133315.07738316845</v>
      </c>
      <c r="P12" s="7">
        <f>IF(M12&gt;0,(E12-F12)/M12,0)</f>
        <v>0.31460141830585836</v>
      </c>
      <c r="Q12" s="9">
        <f>J12-SUM(G$2:G12)</f>
        <v>-3774259.2036341135</v>
      </c>
      <c r="R12" s="9">
        <f>H12-(E12-F12-B12+G12)</f>
        <v>0</v>
      </c>
    </row>
    <row r="13">
      <c r="A13" s="2" t="n">
        <v>11</v>
      </c>
      <c r="B13" s="7">
        <f>IF(A13=0,Inputs!$B$3*(1+Inputs!$B$4),IF(A13&lt;=Inputs!$B$8,Inputs!$B$5*(1+Inputs!$B$6)*(1+Inputs!$B$7)/Inputs!$B$8,0))</f>
        <v>0</v>
      </c>
      <c r="C13" s="7">
        <f>IF(A13&gt;Inputs!$B$8,Inputs!$B$2*12*MIN(Inputs!$B$9*(1+Inputs!$B$11)^(A13-Inputs!$B$8-1),Inputs!$B$10*(1+Inputs!$B$12)^(A13-Inputs!$B$8-1))*Inputs!$B$13*(1-Inputs!$B$14),0)</f>
        <v>175027.16836682148</v>
      </c>
      <c r="D13" s="7">
        <f>IF(C13&gt;0,Inputs!$B$15*(1+Inputs!$B$17)^(A13-Inputs!$B$8-1)+C13*Inputs!$B$16,0)</f>
        <v>92258.00049786008</v>
      </c>
      <c r="E13" s="7">
        <f>C13-D13</f>
        <v>82769.1678689614</v>
      </c>
      <c r="F13" s="7">
        <f>IF(C13&gt;0,Inputs!$B$2*Inputs!$B$18*(1+Inputs!$B$17)^(A13-Inputs!$B$8-1),0)</f>
        <v>22901.026729798312</v>
      </c>
      <c r="G13" s="7">
        <f>IF(A13=20,MAX(0,(Inputs!$B$2*12*MIN(Inputs!$B$9*(1+Inputs!$B$11)^(20-Inputs!$B$8),Inputs!$B$10*(1+Inputs!$B$12)^(20-Inputs!$B$8))*Inputs!$B$13*(1-Inputs!$B$14))*(1-Inputs!$B$16)-Inputs!$B$15*(1+Inputs!$B$17)^(20-Inputs!$B$8))/Inputs!$B$19*(1-Inputs!$B$20),0)</f>
        <v>0</v>
      </c>
      <c r="H13" s="7">
        <f>E13-F13-B13+G13</f>
        <v>59868.1411391631</v>
      </c>
      <c r="I13" s="7">
        <f>H13/(1+Inputs!$B$21)^A13</f>
        <v>24404.429171633346</v>
      </c>
      <c r="J13" s="7">
        <f>SUM(H$2:H13)</f>
        <v>-3714391.0624949504</v>
      </c>
      <c r="K13" s="7">
        <f>SUM(I$2:I13)</f>
        <v>-3621163.3406139296</v>
      </c>
      <c r="L13" s="7">
        <f>IF(A13=Inputs!$B$8,SUM(B$2:B$22)*Inputs!$B$22,0)</f>
        <v>0</v>
      </c>
      <c r="M13" s="7">
        <f>IF(AND(A13&gt;Inputs!$B$8,A13&lt;=Inputs!$B$8+Inputs!$B$24),-PMT(Inputs!$B$23,Inputs!$B$24,SUM(B$2:B$22)*Inputs!$B$22),0)</f>
        <v>194507.37270807507</v>
      </c>
      <c r="N13" s="7">
        <f>MAX(0,N12*(1+IF(M13&gt;0,Inputs!$B$23,0))+L13-M13)</f>
        <v>1676365.2633952138</v>
      </c>
      <c r="O13" s="7">
        <f>H13+L13-M13-IF(A13=20,N13,0)</f>
        <v>-134639.231568912</v>
      </c>
      <c r="P13" s="7">
        <f>IF(M13&gt;0,(E13-F13)/M13,0)</f>
        <v>0.3077936856872554</v>
      </c>
      <c r="Q13" s="9">
        <f>J13-SUM(G$2:G13)</f>
        <v>-3714391.0624949504</v>
      </c>
      <c r="R13" s="9">
        <f>H13-(E13-F13-B13+G13)</f>
        <v>0</v>
      </c>
    </row>
    <row r="14">
      <c r="A14" s="2" t="n">
        <v>12</v>
      </c>
      <c r="B14" s="7">
        <f>IF(A14=0,Inputs!$B$3*(1+Inputs!$B$4),IF(A14&lt;=Inputs!$B$8,Inputs!$B$5*(1+Inputs!$B$6)*(1+Inputs!$B$7)/Inputs!$B$8,0))</f>
        <v>0</v>
      </c>
      <c r="C14" s="7">
        <f>IF(A14&gt;Inputs!$B$8,Inputs!$B$2*12*MIN(Inputs!$B$9*(1+Inputs!$B$11)^(A14-Inputs!$B$8-1),Inputs!$B$10*(1+Inputs!$B$12)^(A14-Inputs!$B$8-1))*Inputs!$B$13*(1-Inputs!$B$14),0)</f>
        <v>176777.4400504897</v>
      </c>
      <c r="D14" s="7">
        <f>IF(C14&gt;0,Inputs!$B$15*(1+Inputs!$B$17)^(A14-Inputs!$B$8-1)+C14*Inputs!$B$16,0)</f>
        <v>94611.89467345108</v>
      </c>
      <c r="E14" s="7">
        <f>C14-D14</f>
        <v>82165.54537703862</v>
      </c>
      <c r="F14" s="7">
        <f>IF(C14&gt;0,Inputs!$B$2*Inputs!$B$18*(1+Inputs!$B$17)^(A14-Inputs!$B$8-1),0)</f>
        <v>23702.56266534125</v>
      </c>
      <c r="G14" s="7">
        <f>IF(A14=20,MAX(0,(Inputs!$B$2*12*MIN(Inputs!$B$9*(1+Inputs!$B$11)^(20-Inputs!$B$8),Inputs!$B$10*(1+Inputs!$B$12)^(20-Inputs!$B$8))*Inputs!$B$13*(1-Inputs!$B$14))*(1-Inputs!$B$16)-Inputs!$B$15*(1+Inputs!$B$17)^(20-Inputs!$B$8))/Inputs!$B$19*(1-Inputs!$B$20),0)</f>
        <v>0</v>
      </c>
      <c r="H14" s="7">
        <f>E14-F14-B14+G14</f>
        <v>58462.982711697376</v>
      </c>
      <c r="I14" s="7">
        <f>H14/(1+Inputs!$B$21)^A14</f>
        <v>21964.641060916914</v>
      </c>
      <c r="J14" s="7">
        <f>SUM(H$2:H14)</f>
        <v>-3655928.079783253</v>
      </c>
      <c r="K14" s="7">
        <f>SUM(I$2:I14)</f>
        <v>-3599198.699553013</v>
      </c>
      <c r="L14" s="7">
        <f>IF(A14=Inputs!$B$8,SUM(B$2:B$22)*Inputs!$B$22,0)</f>
        <v>0</v>
      </c>
      <c r="M14" s="7">
        <f>IF(AND(A14&gt;Inputs!$B$8,A14&lt;=Inputs!$B$8+Inputs!$B$24),-PMT(Inputs!$B$23,Inputs!$B$24,SUM(B$2:B$22)*Inputs!$B$22),0)</f>
        <v>194507.37270807507</v>
      </c>
      <c r="N14" s="7">
        <f>MAX(0,N13*(1+IF(M14&gt;0,Inputs!$B$23,0))+L14-M14)</f>
        <v>1574057.9801738753</v>
      </c>
      <c r="O14" s="7">
        <f>H14+L14-M14-IF(A14=20,N14,0)</f>
        <v>-136044.3899963777</v>
      </c>
      <c r="P14" s="7">
        <f>IF(M14&gt;0,(E14-F14)/M14,0)</f>
        <v>0.3005694946044082</v>
      </c>
      <c r="Q14" s="9">
        <f>J14-SUM(G$2:G14)</f>
        <v>-3655928.079783253</v>
      </c>
      <c r="R14" s="9">
        <f>H14-(E14-F14-B14+G14)</f>
        <v>0</v>
      </c>
    </row>
    <row r="15">
      <c r="A15" s="2" t="n">
        <v>13</v>
      </c>
      <c r="B15" s="7">
        <f>IF(A15=0,Inputs!$B$3*(1+Inputs!$B$4),IF(A15&lt;=Inputs!$B$8,Inputs!$B$5*(1+Inputs!$B$6)*(1+Inputs!$B$7)/Inputs!$B$8,0))</f>
        <v>0</v>
      </c>
      <c r="C15" s="7">
        <f>IF(A15&gt;Inputs!$B$8,Inputs!$B$2*12*MIN(Inputs!$B$9*(1+Inputs!$B$11)^(A15-Inputs!$B$8-1),Inputs!$B$10*(1+Inputs!$B$12)^(A15-Inputs!$B$8-1))*Inputs!$B$13*(1-Inputs!$B$14),0)</f>
        <v>178545.21445099456</v>
      </c>
      <c r="D15" s="7">
        <f>IF(C15&gt;0,Inputs!$B$15*(1+Inputs!$B$17)^(A15-Inputs!$B$8-1)+C15*Inputs!$B$16,0)</f>
        <v>97039.4237867694</v>
      </c>
      <c r="E15" s="7">
        <f>C15-D15</f>
        <v>81505.79066422516</v>
      </c>
      <c r="F15" s="7">
        <f>IF(C15&gt;0,Inputs!$B$2*Inputs!$B$18*(1+Inputs!$B$17)^(A15-Inputs!$B$8-1),0)</f>
        <v>24532.152358628195</v>
      </c>
      <c r="G15" s="7">
        <f>IF(A15=20,MAX(0,(Inputs!$B$2*12*MIN(Inputs!$B$9*(1+Inputs!$B$11)^(20-Inputs!$B$8),Inputs!$B$10*(1+Inputs!$B$12)^(20-Inputs!$B$8))*Inputs!$B$13*(1-Inputs!$B$14))*(1-Inputs!$B$16)-Inputs!$B$15*(1+Inputs!$B$17)^(20-Inputs!$B$8))/Inputs!$B$19*(1-Inputs!$B$20),0)</f>
        <v>0</v>
      </c>
      <c r="H15" s="7">
        <f>E15-F15-B15+G15</f>
        <v>56973.63830559696</v>
      </c>
      <c r="I15" s="7">
        <f>H15/(1+Inputs!$B$21)^A15</f>
        <v>19728.195262096913</v>
      </c>
      <c r="J15" s="7">
        <f>SUM(H$2:H15)</f>
        <v>-3598954.441477656</v>
      </c>
      <c r="K15" s="7">
        <f>SUM(I$2:I15)</f>
        <v>-3579470.504290916</v>
      </c>
      <c r="L15" s="7">
        <f>IF(A15=Inputs!$B$8,SUM(B$2:B$22)*Inputs!$B$22,0)</f>
        <v>0</v>
      </c>
      <c r="M15" s="7">
        <f>IF(AND(A15&gt;Inputs!$B$8,A15&lt;=Inputs!$B$8+Inputs!$B$24),-PMT(Inputs!$B$23,Inputs!$B$24,SUM(B$2:B$22)*Inputs!$B$22),0)</f>
        <v>194507.37270807507</v>
      </c>
      <c r="N15" s="7">
        <f>MAX(0,N14*(1+IF(M15&gt;0,Inputs!$B$23,0))+L15-M15)</f>
        <v>1466123.7963753634</v>
      </c>
      <c r="O15" s="7">
        <f>H15+L15-M15-IF(A15=20,N15,0)</f>
        <v>-137533.7344024781</v>
      </c>
      <c r="P15" s="7">
        <f>IF(M15&gt;0,(E15-F15)/M15,0)</f>
        <v>0.2929124871328421</v>
      </c>
      <c r="Q15" s="9">
        <f>J15-SUM(G$2:G15)</f>
        <v>-3598954.441477656</v>
      </c>
      <c r="R15" s="9">
        <f>H15-(E15-F15-B15+G15)</f>
        <v>0</v>
      </c>
    </row>
    <row r="16">
      <c r="A16" s="2" t="n">
        <v>14</v>
      </c>
      <c r="B16" s="7">
        <f>IF(A16=0,Inputs!$B$3*(1+Inputs!$B$4),IF(A16&lt;=Inputs!$B$8,Inputs!$B$5*(1+Inputs!$B$6)*(1+Inputs!$B$7)/Inputs!$B$8,0))</f>
        <v>0</v>
      </c>
      <c r="C16" s="7">
        <f>IF(A16&gt;Inputs!$B$8,Inputs!$B$2*12*MIN(Inputs!$B$9*(1+Inputs!$B$11)^(A16-Inputs!$B$8-1),Inputs!$B$10*(1+Inputs!$B$12)^(A16-Inputs!$B$8-1))*Inputs!$B$13*(1-Inputs!$B$14),0)</f>
        <v>180330.66659550453</v>
      </c>
      <c r="D16" s="7">
        <f>IF(C16&gt;0,Inputs!$B$15*(1+Inputs!$B$17)^(A16-Inputs!$B$8-1)+C16*Inputs!$B$16,0)</f>
        <v>99543.07754705136</v>
      </c>
      <c r="E16" s="7">
        <f>C16-D16</f>
        <v>80787.58904845317</v>
      </c>
      <c r="F16" s="7">
        <f>IF(C16&gt;0,Inputs!$B$2*Inputs!$B$18*(1+Inputs!$B$17)^(A16-Inputs!$B$8-1),0)</f>
        <v>25390.777691180177</v>
      </c>
      <c r="G16" s="7">
        <f>IF(A16=20,MAX(0,(Inputs!$B$2*12*MIN(Inputs!$B$9*(1+Inputs!$B$11)^(20-Inputs!$B$8),Inputs!$B$10*(1+Inputs!$B$12)^(20-Inputs!$B$8))*Inputs!$B$13*(1-Inputs!$B$14))*(1-Inputs!$B$16)-Inputs!$B$15*(1+Inputs!$B$17)^(20-Inputs!$B$8))/Inputs!$B$19*(1-Inputs!$B$20),0)</f>
        <v>0</v>
      </c>
      <c r="H16" s="7">
        <f>E16-F16-B16+G16</f>
        <v>55396.81135727299</v>
      </c>
      <c r="I16" s="7">
        <f>H16/(1+Inputs!$B$21)^A16</f>
        <v>17679.437082454682</v>
      </c>
      <c r="J16" s="7">
        <f>SUM(H$2:H16)</f>
        <v>-3543557.630120383</v>
      </c>
      <c r="K16" s="7">
        <f>SUM(I$2:I16)</f>
        <v>-3561791.0672084615</v>
      </c>
      <c r="L16" s="7">
        <f>IF(A16=Inputs!$B$8,SUM(B$2:B$22)*Inputs!$B$22,0)</f>
        <v>0</v>
      </c>
      <c r="M16" s="7">
        <f>IF(AND(A16&gt;Inputs!$B$8,A16&lt;=Inputs!$B$8+Inputs!$B$24),-PMT(Inputs!$B$23,Inputs!$B$24,SUM(B$2:B$22)*Inputs!$B$22),0)</f>
        <v>194507.37270807507</v>
      </c>
      <c r="N16" s="7">
        <f>MAX(0,N15*(1+IF(M16&gt;0,Inputs!$B$23,0))+L16-M16)</f>
        <v>1352253.2324679333</v>
      </c>
      <c r="O16" s="7">
        <f>H16+L16-M16-IF(A16=20,N16,0)</f>
        <v>-139110.56135080208</v>
      </c>
      <c r="P16" s="7">
        <f>IF(M16&gt;0,(E16-F16)/M16,0)</f>
        <v>0.28480571500194435</v>
      </c>
      <c r="Q16" s="9">
        <f>J16-SUM(G$2:G16)</f>
        <v>-3543557.630120383</v>
      </c>
      <c r="R16" s="9">
        <f>H16-(E16-F16-B16+G16)</f>
        <v>0</v>
      </c>
    </row>
    <row r="17">
      <c r="A17" s="2" t="n">
        <v>15</v>
      </c>
      <c r="B17" s="7">
        <f>IF(A17=0,Inputs!$B$3*(1+Inputs!$B$4),IF(A17&lt;=Inputs!$B$8,Inputs!$B$5*(1+Inputs!$B$6)*(1+Inputs!$B$7)/Inputs!$B$8,0))</f>
        <v>0</v>
      </c>
      <c r="C17" s="7">
        <f>IF(A17&gt;Inputs!$B$8,Inputs!$B$2*12*MIN(Inputs!$B$9*(1+Inputs!$B$11)^(A17-Inputs!$B$8-1),Inputs!$B$10*(1+Inputs!$B$12)^(A17-Inputs!$B$8-1))*Inputs!$B$13*(1-Inputs!$B$14),0)</f>
        <v>182133.9732614596</v>
      </c>
      <c r="D17" s="7">
        <f>IF(C17&gt;0,Inputs!$B$15*(1+Inputs!$B$17)^(A17-Inputs!$B$8-1)+C17*Inputs!$B$16,0)</f>
        <v>102125.43192822064</v>
      </c>
      <c r="E17" s="7">
        <f>C17-D17</f>
        <v>80008.54133323897</v>
      </c>
      <c r="F17" s="7">
        <f>IF(C17&gt;0,Inputs!$B$2*Inputs!$B$18*(1+Inputs!$B$17)^(A17-Inputs!$B$8-1),0)</f>
        <v>26279.454910371485</v>
      </c>
      <c r="G17" s="7">
        <f>IF(A17=20,MAX(0,(Inputs!$B$2*12*MIN(Inputs!$B$9*(1+Inputs!$B$11)^(20-Inputs!$B$8),Inputs!$B$10*(1+Inputs!$B$12)^(20-Inputs!$B$8))*Inputs!$B$13*(1-Inputs!$B$14))*(1-Inputs!$B$16)-Inputs!$B$15*(1+Inputs!$B$17)^(20-Inputs!$B$8))/Inputs!$B$19*(1-Inputs!$B$20),0)</f>
        <v>0</v>
      </c>
      <c r="H17" s="7">
        <f>E17-F17-B17+G17</f>
        <v>53729.08642286749</v>
      </c>
      <c r="I17" s="7">
        <f>H17/(1+Inputs!$B$21)^A17</f>
        <v>15803.867627041986</v>
      </c>
      <c r="J17" s="7">
        <f>SUM(H$2:H17)</f>
        <v>-3489828.5436975155</v>
      </c>
      <c r="K17" s="7">
        <f>SUM(I$2:I17)</f>
        <v>-3545987.1995814196</v>
      </c>
      <c r="L17" s="7">
        <f>IF(A17=Inputs!$B$8,SUM(B$2:B$22)*Inputs!$B$22,0)</f>
        <v>0</v>
      </c>
      <c r="M17" s="7">
        <f>IF(AND(A17&gt;Inputs!$B$8,A17&lt;=Inputs!$B$8+Inputs!$B$24),-PMT(Inputs!$B$23,Inputs!$B$24,SUM(B$2:B$22)*Inputs!$B$22),0)</f>
        <v>194507.37270807507</v>
      </c>
      <c r="N17" s="7">
        <f>MAX(0,N16*(1+IF(M17&gt;0,Inputs!$B$23,0))+L17-M17)</f>
        <v>1232119.7875455946</v>
      </c>
      <c r="O17" s="7">
        <f>H17+L17-M17-IF(A17=20,N17,0)</f>
        <v>-140778.28628520758</v>
      </c>
      <c r="P17" s="7">
        <f>IF(M17&gt;0,(E17-F17)/M17,0)</f>
        <v>0.2762316187546597</v>
      </c>
      <c r="Q17" s="9">
        <f>J17-SUM(G$2:G17)</f>
        <v>-3489828.5436975155</v>
      </c>
      <c r="R17" s="9">
        <f>H17-(E17-F17-B17+G17)</f>
        <v>0</v>
      </c>
    </row>
    <row r="18">
      <c r="A18" s="2" t="n">
        <v>16</v>
      </c>
      <c r="B18" s="7">
        <f>IF(A18=0,Inputs!$B$3*(1+Inputs!$B$4),IF(A18&lt;=Inputs!$B$8,Inputs!$B$5*(1+Inputs!$B$6)*(1+Inputs!$B$7)/Inputs!$B$8,0))</f>
        <v>0</v>
      </c>
      <c r="C18" s="7">
        <f>IF(A18&gt;Inputs!$B$8,Inputs!$B$2*12*MIN(Inputs!$B$9*(1+Inputs!$B$11)^(A18-Inputs!$B$8-1),Inputs!$B$10*(1+Inputs!$B$12)^(A18-Inputs!$B$8-1))*Inputs!$B$13*(1-Inputs!$B$14),0)</f>
        <v>183955.31299407416</v>
      </c>
      <c r="D18" s="7">
        <f>IF(C18&gt;0,Inputs!$B$15*(1+Inputs!$B$17)^(A18-Inputs!$B$8-1)+C18*Inputs!$B$16,0)</f>
        <v>104789.15217940105</v>
      </c>
      <c r="E18" s="7">
        <f>C18-D18</f>
        <v>79166.16081467312</v>
      </c>
      <c r="F18" s="7">
        <f>IF(C18&gt;0,Inputs!$B$2*Inputs!$B$18*(1+Inputs!$B$17)^(A18-Inputs!$B$8-1),0)</f>
        <v>27199.235832234484</v>
      </c>
      <c r="G18" s="7">
        <f>IF(A18=20,MAX(0,(Inputs!$B$2*12*MIN(Inputs!$B$9*(1+Inputs!$B$11)^(20-Inputs!$B$8),Inputs!$B$10*(1+Inputs!$B$12)^(20-Inputs!$B$8))*Inputs!$B$13*(1-Inputs!$B$14))*(1-Inputs!$B$16)-Inputs!$B$15*(1+Inputs!$B$17)^(20-Inputs!$B$8))/Inputs!$B$19*(1-Inputs!$B$20),0)</f>
        <v>0</v>
      </c>
      <c r="H18" s="7">
        <f>E18-F18-B18+G18</f>
        <v>51966.924982438635</v>
      </c>
      <c r="I18" s="7">
        <f>H18/(1+Inputs!$B$21)^A18</f>
        <v>14088.060509611512</v>
      </c>
      <c r="J18" s="7">
        <f>SUM(H$2:H18)</f>
        <v>-3437861.6187150767</v>
      </c>
      <c r="K18" s="7">
        <f>SUM(I$2:I18)</f>
        <v>-3531899.139071808</v>
      </c>
      <c r="L18" s="7">
        <f>IF(A18=Inputs!$B$8,SUM(B$2:B$22)*Inputs!$B$22,0)</f>
        <v>0</v>
      </c>
      <c r="M18" s="7">
        <f>IF(AND(A18&gt;Inputs!$B$8,A18&lt;=Inputs!$B$8+Inputs!$B$24),-PMT(Inputs!$B$23,Inputs!$B$24,SUM(B$2:B$22)*Inputs!$B$22),0)</f>
        <v>194507.37270807507</v>
      </c>
      <c r="N18" s="7">
        <f>MAX(0,N17*(1+IF(M18&gt;0,Inputs!$B$23,0))+L18-M18)</f>
        <v>1105379.0031525274</v>
      </c>
      <c r="O18" s="7">
        <f>H18+L18-M18-IF(A18=20,N18,0)</f>
        <v>-142540.44772563642</v>
      </c>
      <c r="P18" s="7">
        <f>IF(M18&gt;0,(E18-F18)/M18,0)</f>
        <v>0.26717200617599624</v>
      </c>
      <c r="Q18" s="9">
        <f>J18-SUM(G$2:G18)</f>
        <v>-3437861.6187150767</v>
      </c>
      <c r="R18" s="9">
        <f>H18-(E18-F18-B18+G18)</f>
        <v>0</v>
      </c>
    </row>
    <row r="19">
      <c r="A19" s="2" t="n">
        <v>17</v>
      </c>
      <c r="B19" s="7">
        <f>IF(A19=0,Inputs!$B$3*(1+Inputs!$B$4),IF(A19&lt;=Inputs!$B$8,Inputs!$B$5*(1+Inputs!$B$6)*(1+Inputs!$B$7)/Inputs!$B$8,0))</f>
        <v>0</v>
      </c>
      <c r="C19" s="7">
        <f>IF(A19&gt;Inputs!$B$8,Inputs!$B$2*12*MIN(Inputs!$B$9*(1+Inputs!$B$11)^(A19-Inputs!$B$8-1),Inputs!$B$10*(1+Inputs!$B$12)^(A19-Inputs!$B$8-1))*Inputs!$B$13*(1-Inputs!$B$14),0)</f>
        <v>185794.86612401492</v>
      </c>
      <c r="D19" s="7">
        <f>IF(C19&gt;0,Inputs!$B$15*(1+Inputs!$B$17)^(A19-Inputs!$B$8-1)+C19*Inputs!$B$16,0)</f>
        <v>107536.99594070972</v>
      </c>
      <c r="E19" s="7">
        <f>C19-D19</f>
        <v>78257.8701833052</v>
      </c>
      <c r="F19" s="7">
        <f>IF(C19&gt;0,Inputs!$B$2*Inputs!$B$18*(1+Inputs!$B$17)^(A19-Inputs!$B$8-1),0)</f>
        <v>28151.20908636269</v>
      </c>
      <c r="G19" s="7">
        <f>IF(A19=20,MAX(0,(Inputs!$B$2*12*MIN(Inputs!$B$9*(1+Inputs!$B$11)^(20-Inputs!$B$8),Inputs!$B$10*(1+Inputs!$B$12)^(20-Inputs!$B$8))*Inputs!$B$13*(1-Inputs!$B$14))*(1-Inputs!$B$16)-Inputs!$B$15*(1+Inputs!$B$17)^(20-Inputs!$B$8))/Inputs!$B$19*(1-Inputs!$B$20),0)</f>
        <v>0</v>
      </c>
      <c r="H19" s="7">
        <f>E19-F19-B19+G19</f>
        <v>50106.66109694251</v>
      </c>
      <c r="I19" s="7">
        <f>H19/(1+Inputs!$B$21)^A19</f>
        <v>12519.584477317789</v>
      </c>
      <c r="J19" s="7">
        <f>SUM(H$2:H19)</f>
        <v>-3387754.957618134</v>
      </c>
      <c r="K19" s="7">
        <f>SUM(I$2:I19)</f>
        <v>-3519379.55459449</v>
      </c>
      <c r="L19" s="7">
        <f>IF(A19=Inputs!$B$8,SUM(B$2:B$22)*Inputs!$B$22,0)</f>
        <v>0</v>
      </c>
      <c r="M19" s="7">
        <f>IF(AND(A19&gt;Inputs!$B$8,A19&lt;=Inputs!$B$8+Inputs!$B$24),-PMT(Inputs!$B$23,Inputs!$B$24,SUM(B$2:B$22)*Inputs!$B$22),0)</f>
        <v>194507.37270807507</v>
      </c>
      <c r="N19" s="7">
        <f>MAX(0,N18*(1+IF(M19&gt;0,Inputs!$B$23,0))+L19-M19)</f>
        <v>971667.4756178412</v>
      </c>
      <c r="O19" s="7">
        <f>H19+L19-M19-IF(A19=20,N19,0)</f>
        <v>-144400.71161113254</v>
      </c>
      <c r="P19" s="7">
        <f>IF(M19&gt;0,(E19-F19)/M19,0)</f>
        <v>0.257608029964729</v>
      </c>
      <c r="Q19" s="9">
        <f>J19-SUM(G$2:G19)</f>
        <v>-3387754.957618134</v>
      </c>
      <c r="R19" s="9">
        <f>H19-(E19-F19-B19+G19)</f>
        <v>0</v>
      </c>
    </row>
    <row r="20">
      <c r="A20" s="2" t="n">
        <v>18</v>
      </c>
      <c r="B20" s="7">
        <f>IF(A20=0,Inputs!$B$3*(1+Inputs!$B$4),IF(A20&lt;=Inputs!$B$8,Inputs!$B$5*(1+Inputs!$B$6)*(1+Inputs!$B$7)/Inputs!$B$8,0))</f>
        <v>0</v>
      </c>
      <c r="C20" s="7">
        <f>IF(A20&gt;Inputs!$B$8,Inputs!$B$2*12*MIN(Inputs!$B$9*(1+Inputs!$B$11)^(A20-Inputs!$B$8-1),Inputs!$B$10*(1+Inputs!$B$12)^(A20-Inputs!$B$8-1))*Inputs!$B$13*(1-Inputs!$B$14),0)</f>
        <v>187652.8147852551</v>
      </c>
      <c r="D20" s="7">
        <f>IF(C20&gt;0,Inputs!$B$15*(1+Inputs!$B$17)^(A20-Inputs!$B$8-1)+C20*Inputs!$B$16,0)</f>
        <v>110371.81646801447</v>
      </c>
      <c r="E20" s="7">
        <f>C20-D20</f>
        <v>77280.99831724062</v>
      </c>
      <c r="F20" s="7">
        <f>IF(C20&gt;0,Inputs!$B$2*Inputs!$B$18*(1+Inputs!$B$17)^(A20-Inputs!$B$8-1),0)</f>
        <v>29136.50140438538</v>
      </c>
      <c r="G20" s="7">
        <f>IF(A20=20,MAX(0,(Inputs!$B$2*12*MIN(Inputs!$B$9*(1+Inputs!$B$11)^(20-Inputs!$B$8),Inputs!$B$10*(1+Inputs!$B$12)^(20-Inputs!$B$8))*Inputs!$B$13*(1-Inputs!$B$14))*(1-Inputs!$B$16)-Inputs!$B$15*(1+Inputs!$B$17)^(20-Inputs!$B$8))/Inputs!$B$19*(1-Inputs!$B$20),0)</f>
        <v>0</v>
      </c>
      <c r="H20" s="7">
        <f>E20-F20-B20+G20</f>
        <v>48144.49691285524</v>
      </c>
      <c r="I20" s="7">
        <f>H20/(1+Inputs!$B$21)^A20</f>
        <v>11086.931533192259</v>
      </c>
      <c r="J20" s="7">
        <f>SUM(H$2:H20)</f>
        <v>-3339610.460705279</v>
      </c>
      <c r="K20" s="7">
        <f>SUM(I$2:I20)</f>
        <v>-3508292.623061298</v>
      </c>
      <c r="L20" s="7">
        <f>IF(A20=Inputs!$B$8,SUM(B$2:B$22)*Inputs!$B$22,0)</f>
        <v>0</v>
      </c>
      <c r="M20" s="7">
        <f>IF(AND(A20&gt;Inputs!$B$8,A20&lt;=Inputs!$B$8+Inputs!$B$24),-PMT(Inputs!$B$23,Inputs!$B$24,SUM(B$2:B$22)*Inputs!$B$22),0)</f>
        <v>194507.37270807507</v>
      </c>
      <c r="N20" s="7">
        <f>MAX(0,N19*(1+IF(M20&gt;0,Inputs!$B$23,0))+L20-M20)</f>
        <v>830601.8140687473</v>
      </c>
      <c r="O20" s="7">
        <f>H20+L20-M20-IF(A20=20,N20,0)</f>
        <v>-146362.87579521982</v>
      </c>
      <c r="P20" s="7">
        <f>IF(M20&gt;0,(E20-F20)/M20,0)</f>
        <v>0.24752016462179327</v>
      </c>
      <c r="Q20" s="9">
        <f>J20-SUM(G$2:G20)</f>
        <v>-3339610.460705279</v>
      </c>
      <c r="R20" s="9">
        <f>H20-(E20-F20-B20+G20)</f>
        <v>0</v>
      </c>
    </row>
    <row r="21">
      <c r="A21" s="2" t="n">
        <v>19</v>
      </c>
      <c r="B21" s="7">
        <f>IF(A21=0,Inputs!$B$3*(1+Inputs!$B$4),IF(A21&lt;=Inputs!$B$8,Inputs!$B$5*(1+Inputs!$B$6)*(1+Inputs!$B$7)/Inputs!$B$8,0))</f>
        <v>0</v>
      </c>
      <c r="C21" s="7">
        <f>IF(A21&gt;Inputs!$B$8,Inputs!$B$2*12*MIN(Inputs!$B$9*(1+Inputs!$B$11)^(A21-Inputs!$B$8-1),Inputs!$B$10*(1+Inputs!$B$12)^(A21-Inputs!$B$8-1))*Inputs!$B$13*(1-Inputs!$B$14),0)</f>
        <v>189529.34293310763</v>
      </c>
      <c r="D21" s="7">
        <f>IF(C21&gt;0,Inputs!$B$15*(1+Inputs!$B$17)^(A21-Inputs!$B$8-1)+C21*Inputs!$B$16,0)</f>
        <v>113296.56597046871</v>
      </c>
      <c r="E21" s="7">
        <f>C21-D21</f>
        <v>76232.77696263892</v>
      </c>
      <c r="F21" s="7">
        <f>IF(C21&gt;0,Inputs!$B$2*Inputs!$B$18*(1+Inputs!$B$17)^(A21-Inputs!$B$8-1),0)</f>
        <v>30156.27895353887</v>
      </c>
      <c r="G21" s="7">
        <f>IF(A21=20,MAX(0,(Inputs!$B$2*12*MIN(Inputs!$B$9*(1+Inputs!$B$11)^(20-Inputs!$B$8),Inputs!$B$10*(1+Inputs!$B$12)^(20-Inputs!$B$8))*Inputs!$B$13*(1-Inputs!$B$14))*(1-Inputs!$B$16)-Inputs!$B$15*(1+Inputs!$B$17)^(20-Inputs!$B$8))/Inputs!$B$19*(1-Inputs!$B$20),0)</f>
        <v>0</v>
      </c>
      <c r="H21" s="7">
        <f>E21-F21-B21+G21</f>
        <v>46076.49800910005</v>
      </c>
      <c r="I21" s="7">
        <f>H21/(1+Inputs!$B$21)^A21</f>
        <v>9779.450169484295</v>
      </c>
      <c r="J21" s="7">
        <f>SUM(H$2:H21)</f>
        <v>-3293533.962696179</v>
      </c>
      <c r="K21" s="7">
        <f>SUM(I$2:I21)</f>
        <v>-3498513.172891814</v>
      </c>
      <c r="L21" s="7">
        <f>IF(A21=Inputs!$B$8,SUM(B$2:B$22)*Inputs!$B$22,0)</f>
        <v>0</v>
      </c>
      <c r="M21" s="7">
        <f>IF(AND(A21&gt;Inputs!$B$8,A21&lt;=Inputs!$B$8+Inputs!$B$24),-PMT(Inputs!$B$23,Inputs!$B$24,SUM(B$2:B$22)*Inputs!$B$22),0)</f>
        <v>194507.37270807507</v>
      </c>
      <c r="N21" s="7">
        <f>MAX(0,N20*(1+IF(M21&gt;0,Inputs!$B$23,0))+L21-M21)</f>
        <v>681777.5411344533</v>
      </c>
      <c r="O21" s="7">
        <f>H21+L21-M21-IF(A21=20,N21,0)</f>
        <v>-148430.874698975</v>
      </c>
      <c r="P21" s="7">
        <f>IF(M21&gt;0,(E21-F21)/M21,0)</f>
        <v>0.23688818252793745</v>
      </c>
      <c r="Q21" s="9">
        <f>J21-SUM(G$2:G21)</f>
        <v>-3293533.962696179</v>
      </c>
      <c r="R21" s="9">
        <f>H21-(E21-F21-B21+G21)</f>
        <v>0</v>
      </c>
    </row>
    <row r="22">
      <c r="A22" s="2" t="n">
        <v>20</v>
      </c>
      <c r="B22" s="7">
        <f>IF(A22=0,Inputs!$B$3*(1+Inputs!$B$4),IF(A22&lt;=Inputs!$B$8,Inputs!$B$5*(1+Inputs!$B$6)*(1+Inputs!$B$7)/Inputs!$B$8,0))</f>
        <v>0</v>
      </c>
      <c r="C22" s="7">
        <f>IF(A22&gt;Inputs!$B$8,Inputs!$B$2*12*MIN(Inputs!$B$9*(1+Inputs!$B$11)^(A22-Inputs!$B$8-1),Inputs!$B$10*(1+Inputs!$B$12)^(A22-Inputs!$B$8-1))*Inputs!$B$13*(1-Inputs!$B$14),0)</f>
        <v>191424.63636243873</v>
      </c>
      <c r="D22" s="7">
        <f>IF(C22&gt;0,Inputs!$B$15*(1+Inputs!$B$17)^(A22-Inputs!$B$8-1)+C22*Inputs!$B$16,0)</f>
        <v>116314.29906476956</v>
      </c>
      <c r="E22" s="7">
        <f>C22-D22</f>
        <v>75110.33729766918</v>
      </c>
      <c r="F22" s="7">
        <f>IF(C22&gt;0,Inputs!$B$2*Inputs!$B$18*(1+Inputs!$B$17)^(A22-Inputs!$B$8-1),0)</f>
        <v>31211.748716912727</v>
      </c>
      <c r="G22" s="7">
        <f>IF(A22=20,MAX(0,(Inputs!$B$2*12*MIN(Inputs!$B$9*(1+Inputs!$B$11)^(20-Inputs!$B$8),Inputs!$B$10*(1+Inputs!$B$12)^(20-Inputs!$B$8))*Inputs!$B$13*(1-Inputs!$B$14))*(1-Inputs!$B$16)-Inputs!$B$15*(1+Inputs!$B$17)^(20-Inputs!$B$8))/Inputs!$B$19*(1-Inputs!$B$20),0)</f>
        <v>1102975.156685595</v>
      </c>
      <c r="H22" s="7">
        <f>E22-F22-B22+G22</f>
        <v>1146873.7452663514</v>
      </c>
      <c r="I22" s="7">
        <f>H22/(1+Inputs!$B$21)^A22</f>
        <v>224347.2999474405</v>
      </c>
      <c r="J22" s="7">
        <f>SUM(H$2:H22)</f>
        <v>-2146660.2174298274</v>
      </c>
      <c r="K22" s="7">
        <f>SUM(I$2:I22)</f>
        <v>-3274165.872944373</v>
      </c>
      <c r="L22" s="7">
        <f>IF(A22=Inputs!$B$8,SUM(B$2:B$22)*Inputs!$B$22,0)</f>
        <v>0</v>
      </c>
      <c r="M22" s="7">
        <f>IF(AND(A22&gt;Inputs!$B$8,A22&lt;=Inputs!$B$8+Inputs!$B$24),-PMT(Inputs!$B$23,Inputs!$B$24,SUM(B$2:B$22)*Inputs!$B$22),0)</f>
        <v>194507.37270807507</v>
      </c>
      <c r="N22" s="7">
        <f>MAX(0,N21*(1+IF(M22&gt;0,Inputs!$B$23,0))+L22-M22)</f>
        <v>524767.9331887731</v>
      </c>
      <c r="O22" s="7">
        <f>H22+L22-M22-IF(A22=20,N22,0)</f>
        <v>427598.4393695032</v>
      </c>
      <c r="P22" s="7">
        <f>IF(M22&gt;0,(E22-F22)/M22,0)</f>
        <v>0.2256911291822409</v>
      </c>
      <c r="Q22" s="9">
        <f>J22-SUM(G$2:G22)</f>
        <v>-3249635.3741154224</v>
      </c>
      <c r="R22" s="9">
        <f>H22-(E22-F22-B22+G22)</f>
        <v>0</v>
      </c>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inlineStr">
        <is>
          <t>Payback uses first nonnegative cumulative end-year; includes sale at year 20 if needed.</t>
        </is>
      </c>
      <c r="B25" s="2" t="n"/>
      <c r="C25" s="2" t="n"/>
      <c r="D25" s="2" t="n"/>
      <c r="E25" s="2" t="n"/>
      <c r="F25" s="2" t="n"/>
      <c r="G25" s="2" t="n"/>
      <c r="H25" s="2" t="n"/>
      <c r="I25" s="2" t="n"/>
      <c r="J25" s="2" t="n"/>
      <c r="K25" s="2" t="n"/>
      <c r="L25" s="2" t="n"/>
      <c r="M25" s="2" t="n"/>
      <c r="N25" s="2" t="n"/>
      <c r="O25" s="2" t="n"/>
      <c r="P25" s="2" t="n"/>
      <c r="Q25" s="2" t="n"/>
      <c r="R25" s="2" t="n"/>
    </row>
    <row r="26">
      <c r="A26" s="2" t="inlineStr">
        <is>
          <t>Debt drawn at completion; bridging interest and loan fees excluded. Equity IRR is indicative.</t>
        </is>
      </c>
      <c r="B26" s="2" t="n"/>
      <c r="C26" s="2" t="n"/>
      <c r="D26" s="2" t="n"/>
      <c r="E26" s="2" t="n"/>
      <c r="F26" s="2" t="n"/>
      <c r="G26" s="2" t="n"/>
      <c r="H26" s="2" t="n"/>
      <c r="I26" s="2" t="n"/>
      <c r="J26" s="2" t="n"/>
      <c r="K26" s="2" t="n"/>
      <c r="L26" s="2" t="n"/>
      <c r="M26" s="2" t="n"/>
      <c r="N26" s="2" t="n"/>
      <c r="O26" s="2" t="n"/>
      <c r="P26" s="2" t="n"/>
      <c r="Q26" s="2" t="n"/>
      <c r="R26" s="2" t="n"/>
    </row>
  </sheetData>
  <autoFilter ref="A1:P26"/>
  <printOptions horizontalCentered="1"/>
  <pageMargins left="0.75" right="0.75" top="1" bottom="1" header="0.5" footer="0.5"/>
  <pageSetup orientation="landscape" paperSize="8" fitToHeight="0" fitToWidth="1"/>
  <drawing r:id="rId1"/>
</worksheet>
</file>

<file path=xl/worksheets/sheet5.xml><?xml version="1.0" encoding="utf-8"?>
<worksheet xmlns="http://schemas.openxmlformats.org/spreadsheetml/2006/main" xmlns:r="http://schemas.openxmlformats.org/officeDocument/2006/relationships">
  <sheetPr>
    <tabColor rgb="007F7F7F"/>
    <outlinePr summaryBelow="1" summaryRight="1"/>
    <pageSetUpPr fitToPage="1"/>
  </sheetPr>
  <dimension ref="A1:R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2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s>
  <sheetData>
    <row r="1" ht="32" customHeight="1">
      <c r="A1" s="8" t="inlineStr">
        <is>
          <t>YEAR</t>
        </is>
      </c>
      <c r="B1" s="8" t="inlineStr">
        <is>
          <t>Build spend</t>
        </is>
      </c>
      <c r="C1" s="8" t="inlineStr">
        <is>
          <t>Collected rent</t>
        </is>
      </c>
      <c r="D1" s="8" t="inlineStr">
        <is>
          <t>Owner costs</t>
        </is>
      </c>
      <c r="E1" s="8" t="inlineStr">
        <is>
          <t>NOI</t>
        </is>
      </c>
      <c r="F1" s="8" t="inlineStr">
        <is>
          <t>Capital reserve</t>
        </is>
      </c>
      <c r="G1" s="8" t="inlineStr">
        <is>
          <t>Exit proceeds</t>
        </is>
      </c>
      <c r="H1" s="8" t="inlineStr">
        <is>
          <t>Project cash flow</t>
        </is>
      </c>
      <c r="I1" s="8" t="inlineStr">
        <is>
          <t>Discounted CF</t>
        </is>
      </c>
      <c r="J1" s="8" t="inlineStr">
        <is>
          <t>Cumulative CF</t>
        </is>
      </c>
      <c r="K1" s="8" t="inlineStr">
        <is>
          <t>Cumulative discounted</t>
        </is>
      </c>
      <c r="L1" s="8" t="inlineStr">
        <is>
          <t>Debt draw</t>
        </is>
      </c>
      <c r="M1" s="8" t="inlineStr">
        <is>
          <t>Debt service</t>
        </is>
      </c>
      <c r="N1" s="8" t="inlineStr">
        <is>
          <t>Closing debt</t>
        </is>
      </c>
      <c r="O1" s="8" t="inlineStr">
        <is>
          <t>Equity cash flow</t>
        </is>
      </c>
      <c r="P1" s="8" t="inlineStr">
        <is>
          <t>DSCR</t>
        </is>
      </c>
      <c r="Q1" s="8" t="inlineStr">
        <is>
          <t>Cumulative excluding sale</t>
        </is>
      </c>
      <c r="R1" s="8" t="inlineStr">
        <is>
          <t>Discounted cash flow check</t>
        </is>
      </c>
    </row>
    <row r="2">
      <c r="A2" s="2" t="n">
        <v>0</v>
      </c>
      <c r="B2" s="7">
        <f>IF(A2=0,Inputs!$C$3*(1+Inputs!$C$4),IF(A2&lt;=Inputs!$C$8,Inputs!$C$5*(1+Inputs!$C$6)*(1+Inputs!$C$7)/Inputs!$C$8,0))</f>
        <v>2069999.9999999998</v>
      </c>
      <c r="C2" s="7">
        <f>IF(A2&gt;Inputs!$C$8,Inputs!$C$2*12*MIN(Inputs!$C$9*(1+Inputs!$C$11)^(A2-Inputs!$C$8-1),Inputs!$C$10*(1+Inputs!$C$12)^(A2-Inputs!$C$8-1))*Inputs!$C$13*(1-Inputs!$C$14),0)</f>
        <v>0</v>
      </c>
      <c r="D2" s="7">
        <f>IF(C2&gt;0,Inputs!$C$15*(1+Inputs!$C$17)^(A2-Inputs!$C$8-1)+C2*Inputs!$C$16,0)</f>
        <v>0</v>
      </c>
      <c r="E2" s="7">
        <f>C2-D2</f>
        <v>0</v>
      </c>
      <c r="F2" s="7">
        <f>IF(C2&gt;0,Inputs!$C$2*Inputs!$C$18*(1+Inputs!$C$17)^(A2-Inputs!$C$8-1),0)</f>
        <v>0</v>
      </c>
      <c r="G2" s="7">
        <f>IF(A2=20,MAX(0,(Inputs!$C$2*12*MIN(Inputs!$C$9*(1+Inputs!$C$11)^(20-Inputs!$C$8),Inputs!$C$10*(1+Inputs!$C$12)^(20-Inputs!$C$8))*Inputs!$C$13*(1-Inputs!$C$14))*(1-Inputs!$C$16)-Inputs!$C$15*(1+Inputs!$C$17)^(20-Inputs!$C$8))/Inputs!$C$19*(1-Inputs!$C$20),0)</f>
        <v>0</v>
      </c>
      <c r="H2" s="7">
        <f>E2-F2-B2+G2</f>
        <v>-2069999.9999999998</v>
      </c>
      <c r="I2" s="7">
        <f>H2/(1+Inputs!$C$21)^A2</f>
        <v>-2069999.9999999998</v>
      </c>
      <c r="J2" s="7">
        <f>SUM(H$2:H2)</f>
        <v>-2069999.9999999998</v>
      </c>
      <c r="K2" s="7">
        <f>SUM(I$2:I2)</f>
        <v>-2069999.9999999998</v>
      </c>
      <c r="L2" s="7">
        <f>IF(A2=Inputs!$C$8,SUM(B$2:B$22)*Inputs!$C$22,0)</f>
        <v>0</v>
      </c>
      <c r="M2" s="7">
        <f>IF(AND(A2&gt;Inputs!$C$8,A2&lt;=Inputs!$C$8+Inputs!$C$24),-PMT(Inputs!$C$23,Inputs!$C$24,SUM(B$2:B$22)*Inputs!$C$22),0)</f>
        <v>0</v>
      </c>
      <c r="N2" s="7">
        <f>L2</f>
        <v>0</v>
      </c>
      <c r="O2" s="7">
        <f>H2+L2-M2-IF(A2=20,N2,0)</f>
        <v>-2069999.9999999998</v>
      </c>
      <c r="P2" s="7">
        <f>IF(M2&gt;0,(E2-F2)/M2,0)</f>
        <v>0</v>
      </c>
      <c r="Q2" s="9">
        <f>J2-SUM(G$2:G2)</f>
        <v>-2069999.9999999998</v>
      </c>
      <c r="R2" s="9">
        <f>H2-(E2-F2-B2+G2)</f>
        <v>0</v>
      </c>
    </row>
    <row r="3">
      <c r="A3" s="2" t="n">
        <v>1</v>
      </c>
      <c r="B3" s="7">
        <f>IF(A3=0,Inputs!$C$3*(1+Inputs!$C$4),IF(A3&lt;=Inputs!$C$8,Inputs!$C$5*(1+Inputs!$C$6)*(1+Inputs!$C$7)/Inputs!$C$8,0))</f>
        <v>924000.0000000002</v>
      </c>
      <c r="C3" s="7">
        <f>IF(A3&gt;Inputs!$C$8,Inputs!$C$2*12*MIN(Inputs!$C$9*(1+Inputs!$C$11)^(A3-Inputs!$C$8-1),Inputs!$C$10*(1+Inputs!$C$12)^(A3-Inputs!$C$8-1))*Inputs!$C$13*(1-Inputs!$C$14),0)</f>
        <v>0</v>
      </c>
      <c r="D3" s="7">
        <f>IF(C3&gt;0,Inputs!$C$15*(1+Inputs!$C$17)^(A3-Inputs!$C$8-1)+C3*Inputs!$C$16,0)</f>
        <v>0</v>
      </c>
      <c r="E3" s="7">
        <f>C3-D3</f>
        <v>0</v>
      </c>
      <c r="F3" s="7">
        <f>IF(C3&gt;0,Inputs!$C$2*Inputs!$C$18*(1+Inputs!$C$17)^(A3-Inputs!$C$8-1),0)</f>
        <v>0</v>
      </c>
      <c r="G3" s="7">
        <f>IF(A3=20,MAX(0,(Inputs!$C$2*12*MIN(Inputs!$C$9*(1+Inputs!$C$11)^(20-Inputs!$C$8),Inputs!$C$10*(1+Inputs!$C$12)^(20-Inputs!$C$8))*Inputs!$C$13*(1-Inputs!$C$14))*(1-Inputs!$C$16)-Inputs!$C$15*(1+Inputs!$C$17)^(20-Inputs!$C$8))/Inputs!$C$19*(1-Inputs!$C$20),0)</f>
        <v>0</v>
      </c>
      <c r="H3" s="7">
        <f>E3-F3-B3+G3</f>
        <v>-924000.0000000002</v>
      </c>
      <c r="I3" s="7">
        <f>H3/(1+Inputs!$C$21)^A3</f>
        <v>-859534.8837209304</v>
      </c>
      <c r="J3" s="7">
        <f>SUM(H$2:H3)</f>
        <v>-2994000.0</v>
      </c>
      <c r="K3" s="7">
        <f>SUM(I$2:I3)</f>
        <v>-2929534.88372093</v>
      </c>
      <c r="L3" s="7">
        <f>IF(A3=Inputs!$C$8,SUM(B$2:B$22)*Inputs!$C$22,0)</f>
        <v>0</v>
      </c>
      <c r="M3" s="7">
        <f>IF(AND(A3&gt;Inputs!$C$8,A3&lt;=Inputs!$C$8+Inputs!$C$24),-PMT(Inputs!$C$23,Inputs!$C$24,SUM(B$2:B$22)*Inputs!$C$22),0)</f>
        <v>0</v>
      </c>
      <c r="N3" s="7">
        <f>MAX(0,N2*(1+IF(M3&gt;0,Inputs!$C$23,0))+L3-M3)</f>
        <v>0</v>
      </c>
      <c r="O3" s="7">
        <f>H3+L3-M3-IF(A3=20,N3,0)</f>
        <v>-924000.0000000002</v>
      </c>
      <c r="P3" s="7">
        <f>IF(M3&gt;0,(E3-F3)/M3,0)</f>
        <v>0</v>
      </c>
      <c r="Q3" s="9">
        <f>J3-SUM(G$2:G3)</f>
        <v>-2994000.0</v>
      </c>
      <c r="R3" s="9">
        <f>H3-(E3-F3-B3+G3)</f>
        <v>0</v>
      </c>
    </row>
    <row r="4">
      <c r="A4" s="2" t="n">
        <v>2</v>
      </c>
      <c r="B4" s="7">
        <f>IF(A4=0,Inputs!$C$3*(1+Inputs!$C$4),IF(A4&lt;=Inputs!$C$8,Inputs!$C$5*(1+Inputs!$C$6)*(1+Inputs!$C$7)/Inputs!$C$8,0))</f>
        <v>924000.0000000002</v>
      </c>
      <c r="C4" s="7">
        <f>IF(A4&gt;Inputs!$C$8,Inputs!$C$2*12*MIN(Inputs!$C$9*(1+Inputs!$C$11)^(A4-Inputs!$C$8-1),Inputs!$C$10*(1+Inputs!$C$12)^(A4-Inputs!$C$8-1))*Inputs!$C$13*(1-Inputs!$C$14),0)</f>
        <v>0</v>
      </c>
      <c r="D4" s="7">
        <f>IF(C4&gt;0,Inputs!$C$15*(1+Inputs!$C$17)^(A4-Inputs!$C$8-1)+C4*Inputs!$C$16,0)</f>
        <v>0</v>
      </c>
      <c r="E4" s="7">
        <f>C4-D4</f>
        <v>0</v>
      </c>
      <c r="F4" s="7">
        <f>IF(C4&gt;0,Inputs!$C$2*Inputs!$C$18*(1+Inputs!$C$17)^(A4-Inputs!$C$8-1),0)</f>
        <v>0</v>
      </c>
      <c r="G4" s="7">
        <f>IF(A4=20,MAX(0,(Inputs!$C$2*12*MIN(Inputs!$C$9*(1+Inputs!$C$11)^(20-Inputs!$C$8),Inputs!$C$10*(1+Inputs!$C$12)^(20-Inputs!$C$8))*Inputs!$C$13*(1-Inputs!$C$14))*(1-Inputs!$C$16)-Inputs!$C$15*(1+Inputs!$C$17)^(20-Inputs!$C$8))/Inputs!$C$19*(1-Inputs!$C$20),0)</f>
        <v>0</v>
      </c>
      <c r="H4" s="7">
        <f>E4-F4-B4+G4</f>
        <v>-924000.0000000002</v>
      </c>
      <c r="I4" s="7">
        <f>H4/(1+Inputs!$C$21)^A4</f>
        <v>-799567.3336938889</v>
      </c>
      <c r="J4" s="7">
        <f>SUM(H$2:H4)</f>
        <v>-3918000.0</v>
      </c>
      <c r="K4" s="7">
        <f>SUM(I$2:I4)</f>
        <v>-3729102.217414819</v>
      </c>
      <c r="L4" s="7">
        <f>IF(A4=Inputs!$C$8,SUM(B$2:B$22)*Inputs!$C$22,0)</f>
        <v>2154900.0</v>
      </c>
      <c r="M4" s="7">
        <f>IF(AND(A4&gt;Inputs!$C$8,A4&lt;=Inputs!$C$8+Inputs!$C$24),-PMT(Inputs!$C$23,Inputs!$C$24,SUM(B$2:B$22)*Inputs!$C$22),0)</f>
        <v>0</v>
      </c>
      <c r="N4" s="7">
        <f>MAX(0,N3*(1+IF(M4&gt;0,Inputs!$C$23,0))+L4-M4)</f>
        <v>2154900.0</v>
      </c>
      <c r="O4" s="7">
        <f>H4+L4-M4-IF(A4=20,N4,0)</f>
        <v>1230899.9999999998</v>
      </c>
      <c r="P4" s="7">
        <f>IF(M4&gt;0,(E4-F4)/M4,0)</f>
        <v>0</v>
      </c>
      <c r="Q4" s="9">
        <f>J4-SUM(G$2:G4)</f>
        <v>-3918000.0</v>
      </c>
      <c r="R4" s="9">
        <f>H4-(E4-F4-B4+G4)</f>
        <v>0</v>
      </c>
    </row>
    <row r="5">
      <c r="A5" s="2" t="n">
        <v>3</v>
      </c>
      <c r="B5" s="7">
        <f>IF(A5=0,Inputs!$C$3*(1+Inputs!$C$4),IF(A5&lt;=Inputs!$C$8,Inputs!$C$5*(1+Inputs!$C$6)*(1+Inputs!$C$7)/Inputs!$C$8,0))</f>
        <v>0</v>
      </c>
      <c r="C5" s="7">
        <f>IF(A5&gt;Inputs!$C$8,Inputs!$C$2*12*MIN(Inputs!$C$9*(1+Inputs!$C$11)^(A5-Inputs!$C$8-1),Inputs!$C$10*(1+Inputs!$C$12)^(A5-Inputs!$C$8-1))*Inputs!$C$13*(1-Inputs!$C$14),0)</f>
        <v>183328.2</v>
      </c>
      <c r="D5" s="7">
        <f>IF(C5&gt;0,Inputs!$C$15*(1+Inputs!$C$17)^(A5-Inputs!$C$8-1)+C5*Inputs!$C$16,0)</f>
        <v>71165.79400000001</v>
      </c>
      <c r="E5" s="7">
        <f>C5-D5</f>
        <v>112162.406</v>
      </c>
      <c r="F5" s="7">
        <f>IF(C5&gt;0,Inputs!$C$2*Inputs!$C$18*(1+Inputs!$C$17)^(A5-Inputs!$C$8-1),0)</f>
        <v>15000.0</v>
      </c>
      <c r="G5" s="7">
        <f>IF(A5=20,MAX(0,(Inputs!$C$2*12*MIN(Inputs!$C$9*(1+Inputs!$C$11)^(20-Inputs!$C$8),Inputs!$C$10*(1+Inputs!$C$12)^(20-Inputs!$C$8))*Inputs!$C$13*(1-Inputs!$C$14))*(1-Inputs!$C$16)-Inputs!$C$15*(1+Inputs!$C$17)^(20-Inputs!$C$8))/Inputs!$C$19*(1-Inputs!$C$20),0)</f>
        <v>0</v>
      </c>
      <c r="H5" s="7">
        <f>E5-F5-B5+G5</f>
        <v>97162.406</v>
      </c>
      <c r="I5" s="7">
        <f>H5/(1+Inputs!$C$21)^A5</f>
        <v>78211.90566868328</v>
      </c>
      <c r="J5" s="7">
        <f>SUM(H$2:H5)</f>
        <v>-3820837.594</v>
      </c>
      <c r="K5" s="7">
        <f>SUM(I$2:I5)</f>
        <v>-3650890.311746136</v>
      </c>
      <c r="L5" s="7">
        <f>IF(A5=Inputs!$C$8,SUM(B$2:B$22)*Inputs!$C$22,0)</f>
        <v>0</v>
      </c>
      <c r="M5" s="7">
        <f>IF(AND(A5&gt;Inputs!$C$8,A5&lt;=Inputs!$C$8+Inputs!$C$24),-PMT(Inputs!$C$23,Inputs!$C$24,SUM(B$2:B$22)*Inputs!$C$22),0)</f>
        <v>165660.4034038913</v>
      </c>
      <c r="N5" s="7">
        <f>MAX(0,N4*(1+IF(M5&gt;0,Inputs!$C$23,0))+L5-M5)</f>
        <v>2086210.0965961087</v>
      </c>
      <c r="O5" s="7">
        <f>H5+L5-M5-IF(A5=20,N5,0)</f>
        <v>-68497.9974038913</v>
      </c>
      <c r="P5" s="7">
        <f>IF(M5&gt;0,(E5-F5)/M5,0)</f>
        <v>0.5865155704294132</v>
      </c>
      <c r="Q5" s="9">
        <f>J5-SUM(G$2:G5)</f>
        <v>-3820837.594</v>
      </c>
      <c r="R5" s="9">
        <f>H5-(E5-F5-B5+G5)</f>
        <v>0</v>
      </c>
    </row>
    <row r="6">
      <c r="A6" s="2" t="n">
        <v>4</v>
      </c>
      <c r="B6" s="7">
        <f>IF(A6=0,Inputs!$C$3*(1+Inputs!$C$4),IF(A6&lt;=Inputs!$C$8,Inputs!$C$5*(1+Inputs!$C$6)*(1+Inputs!$C$7)/Inputs!$C$8,0))</f>
        <v>0</v>
      </c>
      <c r="C6" s="7">
        <f>IF(A6&gt;Inputs!$C$8,Inputs!$C$2*12*MIN(Inputs!$C$9*(1+Inputs!$C$11)^(A6-Inputs!$C$8-1),Inputs!$C$10*(1+Inputs!$C$12)^(A6-Inputs!$C$8-1))*Inputs!$C$13*(1-Inputs!$C$14),0)</f>
        <v>186994.764</v>
      </c>
      <c r="D6" s="7">
        <f>IF(C6&gt;0,Inputs!$C$15*(1+Inputs!$C$17)^(A6-Inputs!$C$8-1)+C6*Inputs!$C$16,0)</f>
        <v>72789.10988</v>
      </c>
      <c r="E6" s="7">
        <f>C6-D6</f>
        <v>114205.65411999999</v>
      </c>
      <c r="F6" s="7">
        <f>IF(C6&gt;0,Inputs!$C$2*Inputs!$C$18*(1+Inputs!$C$17)^(A6-Inputs!$C$8-1),0)</f>
        <v>15374.999999999998</v>
      </c>
      <c r="G6" s="7">
        <f>IF(A6=20,MAX(0,(Inputs!$C$2*12*MIN(Inputs!$C$9*(1+Inputs!$C$11)^(20-Inputs!$C$8),Inputs!$C$10*(1+Inputs!$C$12)^(20-Inputs!$C$8))*Inputs!$C$13*(1-Inputs!$C$14))*(1-Inputs!$C$16)-Inputs!$C$15*(1+Inputs!$C$17)^(20-Inputs!$C$8))/Inputs!$C$19*(1-Inputs!$C$20),0)</f>
        <v>0</v>
      </c>
      <c r="H6" s="7">
        <f>E6-F6-B6+G6</f>
        <v>98830.65411999999</v>
      </c>
      <c r="I6" s="7">
        <f>H6/(1+Inputs!$C$21)^A6</f>
        <v>74004.44616320166</v>
      </c>
      <c r="J6" s="7">
        <f>SUM(H$2:H6)</f>
        <v>-3722006.93988</v>
      </c>
      <c r="K6" s="7">
        <f>SUM(I$2:I6)</f>
        <v>-3576885.865582934</v>
      </c>
      <c r="L6" s="7">
        <f>IF(A6=Inputs!$C$8,SUM(B$2:B$22)*Inputs!$C$22,0)</f>
        <v>0</v>
      </c>
      <c r="M6" s="7">
        <f>IF(AND(A6&gt;Inputs!$C$8,A6&lt;=Inputs!$C$8+Inputs!$C$24),-PMT(Inputs!$C$23,Inputs!$C$24,SUM(B$2:B$22)*Inputs!$C$22),0)</f>
        <v>165660.4034038913</v>
      </c>
      <c r="N6" s="7">
        <f>MAX(0,N5*(1+IF(M6&gt;0,Inputs!$C$23,0))+L6-M6)</f>
        <v>2014429.1475390424</v>
      </c>
      <c r="O6" s="7">
        <f>H6+L6-M6-IF(A6=20,N6,0)</f>
        <v>-66829.74928389132</v>
      </c>
      <c r="P6" s="7">
        <f>IF(M6&gt;0,(E6-F6)/M6,0)</f>
        <v>0.5965858593199496</v>
      </c>
      <c r="Q6" s="9">
        <f>J6-SUM(G$2:G6)</f>
        <v>-3722006.93988</v>
      </c>
      <c r="R6" s="9">
        <f>H6-(E6-F6-B6+G6)</f>
        <v>0</v>
      </c>
    </row>
    <row r="7">
      <c r="A7" s="2" t="n">
        <v>5</v>
      </c>
      <c r="B7" s="7">
        <f>IF(A7=0,Inputs!$C$3*(1+Inputs!$C$4),IF(A7&lt;=Inputs!$C$8,Inputs!$C$5*(1+Inputs!$C$6)*(1+Inputs!$C$7)/Inputs!$C$8,0))</f>
        <v>0</v>
      </c>
      <c r="C7" s="7">
        <f>IF(A7&gt;Inputs!$C$8,Inputs!$C$2*12*MIN(Inputs!$C$9*(1+Inputs!$C$11)^(A7-Inputs!$C$8-1),Inputs!$C$10*(1+Inputs!$C$12)^(A7-Inputs!$C$8-1))*Inputs!$C$13*(1-Inputs!$C$14),0)</f>
        <v>190734.65928</v>
      </c>
      <c r="D7" s="7">
        <f>IF(C7&gt;0,Inputs!$C$15*(1+Inputs!$C$17)^(A7-Inputs!$C$8-1)+C7*Inputs!$C$16,0)</f>
        <v>74449.8920776</v>
      </c>
      <c r="E7" s="7">
        <f>C7-D7</f>
        <v>116284.76720239999</v>
      </c>
      <c r="F7" s="7">
        <f>IF(C7&gt;0,Inputs!$C$2*Inputs!$C$18*(1+Inputs!$C$17)^(A7-Inputs!$C$8-1),0)</f>
        <v>15759.374999999998</v>
      </c>
      <c r="G7" s="7">
        <f>IF(A7=20,MAX(0,(Inputs!$C$2*12*MIN(Inputs!$C$9*(1+Inputs!$C$11)^(20-Inputs!$C$8),Inputs!$C$10*(1+Inputs!$C$12)^(20-Inputs!$C$8))*Inputs!$C$13*(1-Inputs!$C$14))*(1-Inputs!$C$16)-Inputs!$C$15*(1+Inputs!$C$17)^(20-Inputs!$C$8))/Inputs!$C$19*(1-Inputs!$C$20),0)</f>
        <v>0</v>
      </c>
      <c r="H7" s="7">
        <f>E7-F7-B7+G7</f>
        <v>100525.39220239999</v>
      </c>
      <c r="I7" s="7">
        <f>H7/(1+Inputs!$C$21)^A7</f>
        <v>70021.82970896277</v>
      </c>
      <c r="J7" s="7">
        <f>SUM(H$2:H7)</f>
        <v>-3621481.5476776</v>
      </c>
      <c r="K7" s="7">
        <f>SUM(I$2:I7)</f>
        <v>-3506864.0358739714</v>
      </c>
      <c r="L7" s="7">
        <f>IF(A7=Inputs!$C$8,SUM(B$2:B$22)*Inputs!$C$22,0)</f>
        <v>0</v>
      </c>
      <c r="M7" s="7">
        <f>IF(AND(A7&gt;Inputs!$C$8,A7&lt;=Inputs!$C$8+Inputs!$C$24),-PMT(Inputs!$C$23,Inputs!$C$24,SUM(B$2:B$22)*Inputs!$C$22),0)</f>
        <v>165660.4034038913</v>
      </c>
      <c r="N7" s="7">
        <f>MAX(0,N6*(1+IF(M7&gt;0,Inputs!$C$23,0))+L7-M7)</f>
        <v>1939418.055774408</v>
      </c>
      <c r="O7" s="7">
        <f>H7+L7-M7-IF(A7=20,N7,0)</f>
        <v>-65135.01120149132</v>
      </c>
      <c r="P7" s="7">
        <f>IF(M7&gt;0,(E7-F7)/M7,0)</f>
        <v>0.6068160534253455</v>
      </c>
      <c r="Q7" s="9">
        <f>J7-SUM(G$2:G7)</f>
        <v>-3621481.5476776</v>
      </c>
      <c r="R7" s="9">
        <f>H7-(E7-F7-B7+G7)</f>
        <v>0</v>
      </c>
    </row>
    <row r="8">
      <c r="A8" s="2" t="n">
        <v>6</v>
      </c>
      <c r="B8" s="7">
        <f>IF(A8=0,Inputs!$C$3*(1+Inputs!$C$4),IF(A8&lt;=Inputs!$C$8,Inputs!$C$5*(1+Inputs!$C$6)*(1+Inputs!$C$7)/Inputs!$C$8,0))</f>
        <v>0</v>
      </c>
      <c r="C8" s="7">
        <f>IF(A8&gt;Inputs!$C$8,Inputs!$C$2*12*MIN(Inputs!$C$9*(1+Inputs!$C$11)^(A8-Inputs!$C$8-1),Inputs!$C$10*(1+Inputs!$C$12)^(A8-Inputs!$C$8-1))*Inputs!$C$13*(1-Inputs!$C$14),0)</f>
        <v>194549.3524656</v>
      </c>
      <c r="D8" s="7">
        <f>IF(C8&gt;0,Inputs!$C$15*(1+Inputs!$C$17)^(A8-Inputs!$C$8-1)+C8*Inputs!$C$16,0)</f>
        <v>76149.01491915199</v>
      </c>
      <c r="E8" s="7">
        <f>C8-D8</f>
        <v>118400.33754644802</v>
      </c>
      <c r="F8" s="7">
        <f>IF(C8&gt;0,Inputs!$C$2*Inputs!$C$18*(1+Inputs!$C$17)^(A8-Inputs!$C$8-1),0)</f>
        <v>16153.359374999995</v>
      </c>
      <c r="G8" s="7">
        <f>IF(A8=20,MAX(0,(Inputs!$C$2*12*MIN(Inputs!$C$9*(1+Inputs!$C$11)^(20-Inputs!$C$8),Inputs!$C$10*(1+Inputs!$C$12)^(20-Inputs!$C$8))*Inputs!$C$13*(1-Inputs!$C$14))*(1-Inputs!$C$16)-Inputs!$C$15*(1+Inputs!$C$17)^(20-Inputs!$C$8))/Inputs!$C$19*(1-Inputs!$C$20),0)</f>
        <v>0</v>
      </c>
      <c r="H8" s="7">
        <f>E8-F8-B8+G8</f>
        <v>102246.97817144802</v>
      </c>
      <c r="I8" s="7">
        <f>H8/(1+Inputs!$C$21)^A8</f>
        <v>66252.10723445211</v>
      </c>
      <c r="J8" s="7">
        <f>SUM(H$2:H8)</f>
        <v>-3519234.5695061516</v>
      </c>
      <c r="K8" s="7">
        <f>SUM(I$2:I8)</f>
        <v>-3440611.9286395195</v>
      </c>
      <c r="L8" s="7">
        <f>IF(A8=Inputs!$C$8,SUM(B$2:B$22)*Inputs!$C$22,0)</f>
        <v>0</v>
      </c>
      <c r="M8" s="7">
        <f>IF(AND(A8&gt;Inputs!$C$8,A8&lt;=Inputs!$C$8+Inputs!$C$24),-PMT(Inputs!$C$23,Inputs!$C$24,SUM(B$2:B$22)*Inputs!$C$22),0)</f>
        <v>165660.4034038913</v>
      </c>
      <c r="N8" s="7">
        <f>MAX(0,N7*(1+IF(M8&gt;0,Inputs!$C$23,0))+L8-M8)</f>
        <v>1861031.464880365</v>
      </c>
      <c r="O8" s="7">
        <f>H8+L8-M8-IF(A8=20,N8,0)</f>
        <v>-63413.42523244329</v>
      </c>
      <c r="P8" s="7">
        <f>IF(M8&gt;0,(E8-F8)/M8,0)</f>
        <v>0.6172083133358244</v>
      </c>
      <c r="Q8" s="9">
        <f>J8-SUM(G$2:G8)</f>
        <v>-3519234.5695061516</v>
      </c>
      <c r="R8" s="9">
        <f>H8-(E8-F8-B8+G8)</f>
        <v>0</v>
      </c>
    </row>
    <row r="9">
      <c r="A9" s="2" t="n">
        <v>7</v>
      </c>
      <c r="B9" s="7">
        <f>IF(A9=0,Inputs!$C$3*(1+Inputs!$C$4),IF(A9&lt;=Inputs!$C$8,Inputs!$C$5*(1+Inputs!$C$6)*(1+Inputs!$C$7)/Inputs!$C$8,0))</f>
        <v>0</v>
      </c>
      <c r="C9" s="7">
        <f>IF(A9&gt;Inputs!$C$8,Inputs!$C$2*12*MIN(Inputs!$C$9*(1+Inputs!$C$11)^(A9-Inputs!$C$8-1),Inputs!$C$10*(1+Inputs!$C$12)^(A9-Inputs!$C$8-1))*Inputs!$C$13*(1-Inputs!$C$14),0)</f>
        <v>198440.33951491196</v>
      </c>
      <c r="D9" s="7">
        <f>IF(C9&gt;0,Inputs!$C$15*(1+Inputs!$C$17)^(A9-Inputs!$C$8-1)+C9*Inputs!$C$16,0)</f>
        <v>77887.37334253502</v>
      </c>
      <c r="E9" s="7">
        <f>C9-D9</f>
        <v>120552.96617237694</v>
      </c>
      <c r="F9" s="7">
        <f>IF(C9&gt;0,Inputs!$C$2*Inputs!$C$18*(1+Inputs!$C$17)^(A9-Inputs!$C$8-1),0)</f>
        <v>16557.193359374993</v>
      </c>
      <c r="G9" s="7">
        <f>IF(A9=20,MAX(0,(Inputs!$C$2*12*MIN(Inputs!$C$9*(1+Inputs!$C$11)^(20-Inputs!$C$8),Inputs!$C$10*(1+Inputs!$C$12)^(20-Inputs!$C$8))*Inputs!$C$13*(1-Inputs!$C$14))*(1-Inputs!$C$16)-Inputs!$C$15*(1+Inputs!$C$17)^(20-Inputs!$C$8))/Inputs!$C$19*(1-Inputs!$C$20),0)</f>
        <v>0</v>
      </c>
      <c r="H9" s="7">
        <f>E9-F9-B9+G9</f>
        <v>103995.77281300194</v>
      </c>
      <c r="I9" s="7">
        <f>H9/(1+Inputs!$C$21)^A9</f>
        <v>62683.96173569976</v>
      </c>
      <c r="J9" s="7">
        <f>SUM(H$2:H9)</f>
        <v>-3415238.7966931495</v>
      </c>
      <c r="K9" s="7">
        <f>SUM(I$2:I9)</f>
        <v>-3377927.9669038197</v>
      </c>
      <c r="L9" s="7">
        <f>IF(A9=Inputs!$C$8,SUM(B$2:B$22)*Inputs!$C$22,0)</f>
        <v>0</v>
      </c>
      <c r="M9" s="7">
        <f>IF(AND(A9&gt;Inputs!$C$8,A9&lt;=Inputs!$C$8+Inputs!$C$24),-PMT(Inputs!$C$23,Inputs!$C$24,SUM(B$2:B$22)*Inputs!$C$22),0)</f>
        <v>165660.4034038913</v>
      </c>
      <c r="N9" s="7">
        <f>MAX(0,N8*(1+IF(M9&gt;0,Inputs!$C$23,0))+L9-M9)</f>
        <v>1779117.47739609</v>
      </c>
      <c r="O9" s="7">
        <f>H9+L9-M9-IF(A9=20,N9,0)</f>
        <v>-61664.63059088937</v>
      </c>
      <c r="P9" s="7">
        <f>IF(M9&gt;0,(E9-F9)/M9,0)</f>
        <v>0.6277648169155619</v>
      </c>
      <c r="Q9" s="9">
        <f>J9-SUM(G$2:G9)</f>
        <v>-3415238.7966931495</v>
      </c>
      <c r="R9" s="9">
        <f>H9-(E9-F9-B9+G9)</f>
        <v>0</v>
      </c>
    </row>
    <row r="10">
      <c r="A10" s="2" t="n">
        <v>8</v>
      </c>
      <c r="B10" s="7">
        <f>IF(A10=0,Inputs!$C$3*(1+Inputs!$C$4),IF(A10&lt;=Inputs!$C$8,Inputs!$C$5*(1+Inputs!$C$6)*(1+Inputs!$C$7)/Inputs!$C$8,0))</f>
        <v>0</v>
      </c>
      <c r="C10" s="7">
        <f>IF(A10&gt;Inputs!$C$8,Inputs!$C$2*12*MIN(Inputs!$C$9*(1+Inputs!$C$11)^(A10-Inputs!$C$8-1),Inputs!$C$10*(1+Inputs!$C$12)^(A10-Inputs!$C$8-1))*Inputs!$C$13*(1-Inputs!$C$14),0)</f>
        <v>202409.1463052102</v>
      </c>
      <c r="D10" s="7">
        <f>IF(C10&gt;0,Inputs!$C$15*(1+Inputs!$C$17)^(A10-Inputs!$C$8-1)+C10*Inputs!$C$16,0)</f>
        <v>79665.88338751071</v>
      </c>
      <c r="E10" s="7">
        <f>C10-D10</f>
        <v>122743.26291769948</v>
      </c>
      <c r="F10" s="7">
        <f>IF(C10&gt;0,Inputs!$C$2*Inputs!$C$18*(1+Inputs!$C$17)^(A10-Inputs!$C$8-1),0)</f>
        <v>16971.123193359366</v>
      </c>
      <c r="G10" s="7">
        <f>IF(A10=20,MAX(0,(Inputs!$C$2*12*MIN(Inputs!$C$9*(1+Inputs!$C$11)^(20-Inputs!$C$8),Inputs!$C$10*(1+Inputs!$C$12)^(20-Inputs!$C$8))*Inputs!$C$13*(1-Inputs!$C$14))*(1-Inputs!$C$16)-Inputs!$C$15*(1+Inputs!$C$17)^(20-Inputs!$C$8))/Inputs!$C$19*(1-Inputs!$C$20),0)</f>
        <v>0</v>
      </c>
      <c r="H10" s="7">
        <f>E10-F10-B10+G10</f>
        <v>105772.13972434012</v>
      </c>
      <c r="I10" s="7">
        <f>H10/(1+Inputs!$C$21)^A10</f>
        <v>59306.67497423413</v>
      </c>
      <c r="J10" s="7">
        <f>SUM(H$2:H10)</f>
        <v>-3309466.656968809</v>
      </c>
      <c r="K10" s="7">
        <f>SUM(I$2:I10)</f>
        <v>-3318621.2919295854</v>
      </c>
      <c r="L10" s="7">
        <f>IF(A10=Inputs!$C$8,SUM(B$2:B$22)*Inputs!$C$22,0)</f>
        <v>0</v>
      </c>
      <c r="M10" s="7">
        <f>IF(AND(A10&gt;Inputs!$C$8,A10&lt;=Inputs!$C$8+Inputs!$C$24),-PMT(Inputs!$C$23,Inputs!$C$24,SUM(B$2:B$22)*Inputs!$C$22),0)</f>
        <v>165660.4034038913</v>
      </c>
      <c r="N10" s="7">
        <f>MAX(0,N9*(1+IF(M10&gt;0,Inputs!$C$23,0))+L10-M10)</f>
        <v>1693517.3604750228</v>
      </c>
      <c r="O10" s="7">
        <f>H10+L10-M10-IF(A10=20,N10,0)</f>
        <v>-59888.26367955119</v>
      </c>
      <c r="P10" s="7">
        <f>IF(M10&gt;0,(E10-F10)/M10,0)</f>
        <v>0.6384877589997198</v>
      </c>
      <c r="Q10" s="9">
        <f>J10-SUM(G$2:G10)</f>
        <v>-3309466.656968809</v>
      </c>
      <c r="R10" s="9">
        <f>H10-(E10-F10-B10+G10)</f>
        <v>0</v>
      </c>
    </row>
    <row r="11">
      <c r="A11" s="2" t="n">
        <v>9</v>
      </c>
      <c r="B11" s="7">
        <f>IF(A11=0,Inputs!$C$3*(1+Inputs!$C$4),IF(A11&lt;=Inputs!$C$8,Inputs!$C$5*(1+Inputs!$C$6)*(1+Inputs!$C$7)/Inputs!$C$8,0))</f>
        <v>0</v>
      </c>
      <c r="C11" s="7">
        <f>IF(A11&gt;Inputs!$C$8,Inputs!$C$2*12*MIN(Inputs!$C$9*(1+Inputs!$C$11)^(A11-Inputs!$C$8-1),Inputs!$C$10*(1+Inputs!$C$12)^(A11-Inputs!$C$8-1))*Inputs!$C$13*(1-Inputs!$C$14),0)</f>
        <v>206457.32923131442</v>
      </c>
      <c r="D11" s="7">
        <f>IF(C11&gt;0,Inputs!$C$15*(1+Inputs!$C$17)^(A11-Inputs!$C$8-1)+C11*Inputs!$C$16,0)</f>
        <v>81485.48269783906</v>
      </c>
      <c r="E11" s="7">
        <f>C11-D11</f>
        <v>124971.84653347536</v>
      </c>
      <c r="F11" s="7">
        <f>IF(C11&gt;0,Inputs!$C$2*Inputs!$C$18*(1+Inputs!$C$17)^(A11-Inputs!$C$8-1),0)</f>
        <v>17395.40127319335</v>
      </c>
      <c r="G11" s="7">
        <f>IF(A11=20,MAX(0,(Inputs!$C$2*12*MIN(Inputs!$C$9*(1+Inputs!$C$11)^(20-Inputs!$C$8),Inputs!$C$10*(1+Inputs!$C$12)^(20-Inputs!$C$8))*Inputs!$C$13*(1-Inputs!$C$14))*(1-Inputs!$C$16)-Inputs!$C$15*(1+Inputs!$C$17)^(20-Inputs!$C$8))/Inputs!$C$19*(1-Inputs!$C$20),0)</f>
        <v>0</v>
      </c>
      <c r="H11" s="7">
        <f>E11-F11-B11+G11</f>
        <v>107576.44526028201</v>
      </c>
      <c r="I11" s="7">
        <f>H11/(1+Inputs!$C$21)^A11</f>
        <v>56110.09592368446</v>
      </c>
      <c r="J11" s="7">
        <f>SUM(H$2:H11)</f>
        <v>-3201890.211708527</v>
      </c>
      <c r="K11" s="7">
        <f>SUM(I$2:I11)</f>
        <v>-3262511.196005901</v>
      </c>
      <c r="L11" s="7">
        <f>IF(A11=Inputs!$C$8,SUM(B$2:B$22)*Inputs!$C$22,0)</f>
        <v>0</v>
      </c>
      <c r="M11" s="7">
        <f>IF(AND(A11&gt;Inputs!$C$8,A11&lt;=Inputs!$C$8+Inputs!$C$24),-PMT(Inputs!$C$23,Inputs!$C$24,SUM(B$2:B$22)*Inputs!$C$22),0)</f>
        <v>165660.4034038913</v>
      </c>
      <c r="N11" s="7">
        <f>MAX(0,N10*(1+IF(M11&gt;0,Inputs!$C$23,0))+L11-M11)</f>
        <v>1604065.2382925074</v>
      </c>
      <c r="O11" s="7">
        <f>H11+L11-M11-IF(A11=20,N11,0)</f>
        <v>-58083.9581436093</v>
      </c>
      <c r="P11" s="7">
        <f>IF(M11&gt;0,(E11-F11)/M11,0)</f>
        <v>0.6493793510692071</v>
      </c>
      <c r="Q11" s="9">
        <f>J11-SUM(G$2:G11)</f>
        <v>-3201890.211708527</v>
      </c>
      <c r="R11" s="9">
        <f>H11-(E11-F11-B11+G11)</f>
        <v>0</v>
      </c>
    </row>
    <row r="12">
      <c r="A12" s="2" t="n">
        <v>10</v>
      </c>
      <c r="B12" s="7">
        <f>IF(A12=0,Inputs!$C$3*(1+Inputs!$C$4),IF(A12&lt;=Inputs!$C$8,Inputs!$C$5*(1+Inputs!$C$6)*(1+Inputs!$C$7)/Inputs!$C$8,0))</f>
        <v>0</v>
      </c>
      <c r="C12" s="7">
        <f>IF(A12&gt;Inputs!$C$8,Inputs!$C$2*12*MIN(Inputs!$C$9*(1+Inputs!$C$11)^(A12-Inputs!$C$8-1),Inputs!$C$10*(1+Inputs!$C$12)^(A12-Inputs!$C$8-1))*Inputs!$C$13*(1-Inputs!$C$14),0)</f>
        <v>210586.47581594074</v>
      </c>
      <c r="D12" s="7">
        <f>IF(C12&gt;0,Inputs!$C$15*(1+Inputs!$C$17)^(A12-Inputs!$C$8-1)+C12*Inputs!$C$16,0)</f>
        <v>83347.13103543842</v>
      </c>
      <c r="E12" s="7">
        <f>C12-D12</f>
        <v>127239.34478050232</v>
      </c>
      <c r="F12" s="7">
        <f>IF(C12&gt;0,Inputs!$C$2*Inputs!$C$18*(1+Inputs!$C$17)^(A12-Inputs!$C$8-1),0)</f>
        <v>17830.286305023183</v>
      </c>
      <c r="G12" s="7">
        <f>IF(A12=20,MAX(0,(Inputs!$C$2*12*MIN(Inputs!$C$9*(1+Inputs!$C$11)^(20-Inputs!$C$8),Inputs!$C$10*(1+Inputs!$C$12)^(20-Inputs!$C$8))*Inputs!$C$13*(1-Inputs!$C$14))*(1-Inputs!$C$16)-Inputs!$C$15*(1+Inputs!$C$17)^(20-Inputs!$C$8))/Inputs!$C$19*(1-Inputs!$C$20),0)</f>
        <v>0</v>
      </c>
      <c r="H12" s="7">
        <f>E12-F12-B12+G12</f>
        <v>109409.05847547913</v>
      </c>
      <c r="I12" s="7">
        <f>H12/(1+Inputs!$C$21)^A12</f>
        <v>53084.61087348235</v>
      </c>
      <c r="J12" s="7">
        <f>SUM(H$2:H12)</f>
        <v>-3092481.153233048</v>
      </c>
      <c r="K12" s="7">
        <f>SUM(I$2:I12)</f>
        <v>-3209426.5851324187</v>
      </c>
      <c r="L12" s="7">
        <f>IF(A12=Inputs!$C$8,SUM(B$2:B$22)*Inputs!$C$22,0)</f>
        <v>0</v>
      </c>
      <c r="M12" s="7">
        <f>IF(AND(A12&gt;Inputs!$C$8,A12&lt;=Inputs!$C$8+Inputs!$C$24),-PMT(Inputs!$C$23,Inputs!$C$24,SUM(B$2:B$22)*Inputs!$C$22),0)</f>
        <v>165660.4034038913</v>
      </c>
      <c r="N12" s="7">
        <f>MAX(0,N11*(1+IF(M12&gt;0,Inputs!$C$23,0))+L12-M12)</f>
        <v>1510587.7706117788</v>
      </c>
      <c r="O12" s="7">
        <f>H12+L12-M12-IF(A12=20,N12,0)</f>
        <v>-56251.344928412174</v>
      </c>
      <c r="P12" s="7">
        <f>IF(M12&gt;0,(E12-F12)/M12,0)</f>
        <v>0.6604418209023216</v>
      </c>
      <c r="Q12" s="9">
        <f>J12-SUM(G$2:G12)</f>
        <v>-3092481.153233048</v>
      </c>
      <c r="R12" s="9">
        <f>H12-(E12-F12-B12+G12)</f>
        <v>0</v>
      </c>
    </row>
    <row r="13">
      <c r="A13" s="2" t="n">
        <v>11</v>
      </c>
      <c r="B13" s="7">
        <f>IF(A13=0,Inputs!$C$3*(1+Inputs!$C$4),IF(A13&lt;=Inputs!$C$8,Inputs!$C$5*(1+Inputs!$C$6)*(1+Inputs!$C$7)/Inputs!$C$8,0))</f>
        <v>0</v>
      </c>
      <c r="C13" s="7">
        <f>IF(A13&gt;Inputs!$C$8,Inputs!$C$2*12*MIN(Inputs!$C$9*(1+Inputs!$C$11)^(A13-Inputs!$C$8-1),Inputs!$C$10*(1+Inputs!$C$12)^(A13-Inputs!$C$8-1))*Inputs!$C$13*(1-Inputs!$C$14),0)</f>
        <v>214798.20533225956</v>
      </c>
      <c r="D13" s="7">
        <f>IF(C13&gt;0,Inputs!$C$15*(1+Inputs!$C$17)^(A13-Inputs!$C$8-1)+C13*Inputs!$C$16,0)</f>
        <v>85251.81080688082</v>
      </c>
      <c r="E13" s="7">
        <f>C13-D13</f>
        <v>129546.39452537874</v>
      </c>
      <c r="F13" s="7">
        <f>IF(C13&gt;0,Inputs!$C$2*Inputs!$C$18*(1+Inputs!$C$17)^(A13-Inputs!$C$8-1),0)</f>
        <v>18276.04346264876</v>
      </c>
      <c r="G13" s="7">
        <f>IF(A13=20,MAX(0,(Inputs!$C$2*12*MIN(Inputs!$C$9*(1+Inputs!$C$11)^(20-Inputs!$C$8),Inputs!$C$10*(1+Inputs!$C$12)^(20-Inputs!$C$8))*Inputs!$C$13*(1-Inputs!$C$14))*(1-Inputs!$C$16)-Inputs!$C$15*(1+Inputs!$C$17)^(20-Inputs!$C$8))/Inputs!$C$19*(1-Inputs!$C$20),0)</f>
        <v>0</v>
      </c>
      <c r="H13" s="7">
        <f>E13-F13-B13+G13</f>
        <v>111270.35106272998</v>
      </c>
      <c r="I13" s="7">
        <f>H13/(1+Inputs!$C$21)^A13</f>
        <v>50221.11510289209</v>
      </c>
      <c r="J13" s="7">
        <f>SUM(H$2:H13)</f>
        <v>-2981210.802170318</v>
      </c>
      <c r="K13" s="7">
        <f>SUM(I$2:I13)</f>
        <v>-3159205.4700295264</v>
      </c>
      <c r="L13" s="7">
        <f>IF(A13=Inputs!$C$8,SUM(B$2:B$22)*Inputs!$C$22,0)</f>
        <v>0</v>
      </c>
      <c r="M13" s="7">
        <f>IF(AND(A13&gt;Inputs!$C$8,A13&lt;=Inputs!$C$8+Inputs!$C$24),-PMT(Inputs!$C$23,Inputs!$C$24,SUM(B$2:B$22)*Inputs!$C$22),0)</f>
        <v>165660.4034038913</v>
      </c>
      <c r="N13" s="7">
        <f>MAX(0,N12*(1+IF(M13&gt;0,Inputs!$C$23,0))+L13-M13)</f>
        <v>1412903.8168854176</v>
      </c>
      <c r="O13" s="7">
        <f>H13+L13-M13-IF(A13=20,N13,0)</f>
        <v>-54390.052341161325</v>
      </c>
      <c r="P13" s="7">
        <f>IF(M13&gt;0,(E13-F13)/M13,0)</f>
        <v>0.6716774122023916</v>
      </c>
      <c r="Q13" s="9">
        <f>J13-SUM(G$2:G13)</f>
        <v>-2981210.802170318</v>
      </c>
      <c r="R13" s="9">
        <f>H13-(E13-F13-B13+G13)</f>
        <v>0</v>
      </c>
    </row>
    <row r="14">
      <c r="A14" s="2" t="n">
        <v>12</v>
      </c>
      <c r="B14" s="7">
        <f>IF(A14=0,Inputs!$C$3*(1+Inputs!$C$4),IF(A14&lt;=Inputs!$C$8,Inputs!$C$5*(1+Inputs!$C$6)*(1+Inputs!$C$7)/Inputs!$C$8,0))</f>
        <v>0</v>
      </c>
      <c r="C14" s="7">
        <f>IF(A14&gt;Inputs!$C$8,Inputs!$C$2*12*MIN(Inputs!$C$9*(1+Inputs!$C$11)^(A14-Inputs!$C$8-1),Inputs!$C$10*(1+Inputs!$C$12)^(A14-Inputs!$C$8-1))*Inputs!$C$13*(1-Inputs!$C$14),0)</f>
        <v>219094.16943890473</v>
      </c>
      <c r="D14" s="7">
        <f>IF(C14&gt;0,Inputs!$C$15*(1+Inputs!$C$17)^(A14-Inputs!$C$8-1)+C14*Inputs!$C$16,0)</f>
        <v>87200.52760252042</v>
      </c>
      <c r="E14" s="7">
        <f>C14-D14</f>
        <v>131893.6418363843</v>
      </c>
      <c r="F14" s="7">
        <f>IF(C14&gt;0,Inputs!$C$2*Inputs!$C$18*(1+Inputs!$C$17)^(A14-Inputs!$C$8-1),0)</f>
        <v>18732.94454921498</v>
      </c>
      <c r="G14" s="7">
        <f>IF(A14=20,MAX(0,(Inputs!$C$2*12*MIN(Inputs!$C$9*(1+Inputs!$C$11)^(20-Inputs!$C$8),Inputs!$C$10*(1+Inputs!$C$12)^(20-Inputs!$C$8))*Inputs!$C$13*(1-Inputs!$C$14))*(1-Inputs!$C$16)-Inputs!$C$15*(1+Inputs!$C$17)^(20-Inputs!$C$8))/Inputs!$C$19*(1-Inputs!$C$20),0)</f>
        <v>0</v>
      </c>
      <c r="H14" s="7">
        <f>E14-F14-B14+G14</f>
        <v>113160.69728716933</v>
      </c>
      <c r="I14" s="7">
        <f>H14/(1+Inputs!$C$21)^A14</f>
        <v>47510.98604313212</v>
      </c>
      <c r="J14" s="7">
        <f>SUM(H$2:H14)</f>
        <v>-2868050.104883149</v>
      </c>
      <c r="K14" s="7">
        <f>SUM(I$2:I14)</f>
        <v>-3111694.4839863945</v>
      </c>
      <c r="L14" s="7">
        <f>IF(A14=Inputs!$C$8,SUM(B$2:B$22)*Inputs!$C$22,0)</f>
        <v>0</v>
      </c>
      <c r="M14" s="7">
        <f>IF(AND(A14&gt;Inputs!$C$8,A14&lt;=Inputs!$C$8+Inputs!$C$24),-PMT(Inputs!$C$23,Inputs!$C$24,SUM(B$2:B$22)*Inputs!$C$22),0)</f>
        <v>165660.4034038913</v>
      </c>
      <c r="N14" s="7">
        <f>MAX(0,N13*(1+IF(M14&gt;0,Inputs!$C$23,0))+L14-M14)</f>
        <v>1310824.08524137</v>
      </c>
      <c r="O14" s="7">
        <f>H14+L14-M14-IF(A14=20,N14,0)</f>
        <v>-52499.70611672198</v>
      </c>
      <c r="P14" s="7">
        <f>IF(M14&gt;0,(E14-F14)/M14,0)</f>
        <v>0.6830883842005133</v>
      </c>
      <c r="Q14" s="9">
        <f>J14-SUM(G$2:G14)</f>
        <v>-2868050.104883149</v>
      </c>
      <c r="R14" s="9">
        <f>H14-(E14-F14-B14+G14)</f>
        <v>0</v>
      </c>
    </row>
    <row r="15">
      <c r="A15" s="2" t="n">
        <v>13</v>
      </c>
      <c r="B15" s="7">
        <f>IF(A15=0,Inputs!$C$3*(1+Inputs!$C$4),IF(A15&lt;=Inputs!$C$8,Inputs!$C$5*(1+Inputs!$C$6)*(1+Inputs!$C$7)/Inputs!$C$8,0))</f>
        <v>0</v>
      </c>
      <c r="C15" s="7">
        <f>IF(A15&gt;Inputs!$C$8,Inputs!$C$2*12*MIN(Inputs!$C$9*(1+Inputs!$C$11)^(A15-Inputs!$C$8-1),Inputs!$C$10*(1+Inputs!$C$12)^(A15-Inputs!$C$8-1))*Inputs!$C$13*(1-Inputs!$C$14),0)</f>
        <v>223476.05282768284</v>
      </c>
      <c r="D15" s="7">
        <f>IF(C15&gt;0,Inputs!$C$15*(1+Inputs!$C$17)^(A15-Inputs!$C$8-1)+C15*Inputs!$C$16,0)</f>
        <v>89194.31074856035</v>
      </c>
      <c r="E15" s="7">
        <f>C15-D15</f>
        <v>134281.7420791225</v>
      </c>
      <c r="F15" s="7">
        <f>IF(C15&gt;0,Inputs!$C$2*Inputs!$C$18*(1+Inputs!$C$17)^(A15-Inputs!$C$8-1),0)</f>
        <v>19201.26816294535</v>
      </c>
      <c r="G15" s="7">
        <f>IF(A15=20,MAX(0,(Inputs!$C$2*12*MIN(Inputs!$C$9*(1+Inputs!$C$11)^(20-Inputs!$C$8),Inputs!$C$10*(1+Inputs!$C$12)^(20-Inputs!$C$8))*Inputs!$C$13*(1-Inputs!$C$14))*(1-Inputs!$C$16)-Inputs!$C$15*(1+Inputs!$C$17)^(20-Inputs!$C$8))/Inputs!$C$19*(1-Inputs!$C$20),0)</f>
        <v>0</v>
      </c>
      <c r="H15" s="7">
        <f>E15-F15-B15+G15</f>
        <v>115080.47391617714</v>
      </c>
      <c r="I15" s="7">
        <f>H15/(1+Inputs!$C$21)^A15</f>
        <v>44946.05784964581</v>
      </c>
      <c r="J15" s="7">
        <f>SUM(H$2:H15)</f>
        <v>-2752969.6309669716</v>
      </c>
      <c r="K15" s="7">
        <f>SUM(I$2:I15)</f>
        <v>-3066748.426136749</v>
      </c>
      <c r="L15" s="7">
        <f>IF(A15=Inputs!$C$8,SUM(B$2:B$22)*Inputs!$C$22,0)</f>
        <v>0</v>
      </c>
      <c r="M15" s="7">
        <f>IF(AND(A15&gt;Inputs!$C$8,A15&lt;=Inputs!$C$8+Inputs!$C$24),-PMT(Inputs!$C$23,Inputs!$C$24,SUM(B$2:B$22)*Inputs!$C$22),0)</f>
        <v>165660.4034038913</v>
      </c>
      <c r="N15" s="7">
        <f>MAX(0,N14*(1+IF(M15&gt;0,Inputs!$C$23,0))+L15-M15)</f>
        <v>1204150.7656733403</v>
      </c>
      <c r="O15" s="7">
        <f>H15+L15-M15-IF(A15=20,N15,0)</f>
        <v>-50579.929487714166</v>
      </c>
      <c r="P15" s="7">
        <f>IF(M15&gt;0,(E15-F15)/M15,0)</f>
        <v>0.6946770112324496</v>
      </c>
      <c r="Q15" s="9">
        <f>J15-SUM(G$2:G15)</f>
        <v>-2752969.6309669716</v>
      </c>
      <c r="R15" s="9">
        <f>H15-(E15-F15-B15+G15)</f>
        <v>0</v>
      </c>
    </row>
    <row r="16">
      <c r="A16" s="2" t="n">
        <v>14</v>
      </c>
      <c r="B16" s="7">
        <f>IF(A16=0,Inputs!$C$3*(1+Inputs!$C$4),IF(A16&lt;=Inputs!$C$8,Inputs!$C$5*(1+Inputs!$C$6)*(1+Inputs!$C$7)/Inputs!$C$8,0))</f>
        <v>0</v>
      </c>
      <c r="C16" s="7">
        <f>IF(A16&gt;Inputs!$C$8,Inputs!$C$2*12*MIN(Inputs!$C$9*(1+Inputs!$C$11)^(A16-Inputs!$C$8-1),Inputs!$C$10*(1+Inputs!$C$12)^(A16-Inputs!$C$8-1))*Inputs!$C$13*(1-Inputs!$C$14),0)</f>
        <v>227945.57388423648</v>
      </c>
      <c r="D16" s="7">
        <f>IF(C16&gt;0,Inputs!$C$15*(1+Inputs!$C$17)^(A16-Inputs!$C$8-1)+C16*Inputs!$C$16,0)</f>
        <v>91234.21387237083</v>
      </c>
      <c r="E16" s="7">
        <f>C16-D16</f>
        <v>136711.36001186565</v>
      </c>
      <c r="F16" s="7">
        <f>IF(C16&gt;0,Inputs!$C$2*Inputs!$C$18*(1+Inputs!$C$17)^(A16-Inputs!$C$8-1),0)</f>
        <v>19681.299867018985</v>
      </c>
      <c r="G16" s="7">
        <f>IF(A16=20,MAX(0,(Inputs!$C$2*12*MIN(Inputs!$C$9*(1+Inputs!$C$11)^(20-Inputs!$C$8),Inputs!$C$10*(1+Inputs!$C$12)^(20-Inputs!$C$8))*Inputs!$C$13*(1-Inputs!$C$14))*(1-Inputs!$C$16)-Inputs!$C$15*(1+Inputs!$C$17)^(20-Inputs!$C$8))/Inputs!$C$19*(1-Inputs!$C$20),0)</f>
        <v>0</v>
      </c>
      <c r="H16" s="7">
        <f>E16-F16-B16+G16</f>
        <v>117030.06014484666</v>
      </c>
      <c r="I16" s="7">
        <f>H16/(1+Inputs!$C$21)^A16</f>
        <v>42518.59731065047</v>
      </c>
      <c r="J16" s="7">
        <f>SUM(H$2:H16)</f>
        <v>-2635939.570822125</v>
      </c>
      <c r="K16" s="7">
        <f>SUM(I$2:I16)</f>
        <v>-3024229.8288260982</v>
      </c>
      <c r="L16" s="7">
        <f>IF(A16=Inputs!$C$8,SUM(B$2:B$22)*Inputs!$C$22,0)</f>
        <v>0</v>
      </c>
      <c r="M16" s="7">
        <f>IF(AND(A16&gt;Inputs!$C$8,A16&lt;=Inputs!$C$8+Inputs!$C$24),-PMT(Inputs!$C$23,Inputs!$C$24,SUM(B$2:B$22)*Inputs!$C$22),0)</f>
        <v>165660.4034038913</v>
      </c>
      <c r="N16" s="7">
        <f>MAX(0,N15*(1+IF(M16&gt;0,Inputs!$C$23,0))+L16-M16)</f>
        <v>1092677.1467247494</v>
      </c>
      <c r="O16" s="7">
        <f>H16+L16-M16-IF(A16=20,N16,0)</f>
        <v>-48630.34325904465</v>
      </c>
      <c r="P16" s="7">
        <f>IF(M16&gt;0,(E16-F16)/M16,0)</f>
        <v>0.7064455822887225</v>
      </c>
      <c r="Q16" s="9">
        <f>J16-SUM(G$2:G16)</f>
        <v>-2635939.570822125</v>
      </c>
      <c r="R16" s="9">
        <f>H16-(E16-F16-B16+G16)</f>
        <v>0</v>
      </c>
    </row>
    <row r="17">
      <c r="A17" s="2" t="n">
        <v>15</v>
      </c>
      <c r="B17" s="7">
        <f>IF(A17=0,Inputs!$C$3*(1+Inputs!$C$4),IF(A17&lt;=Inputs!$C$8,Inputs!$C$5*(1+Inputs!$C$6)*(1+Inputs!$C$7)/Inputs!$C$8,0))</f>
        <v>0</v>
      </c>
      <c r="C17" s="7">
        <f>IF(A17&gt;Inputs!$C$8,Inputs!$C$2*12*MIN(Inputs!$C$9*(1+Inputs!$C$11)^(A17-Inputs!$C$8-1),Inputs!$C$10*(1+Inputs!$C$12)^(A17-Inputs!$C$8-1))*Inputs!$C$13*(1-Inputs!$C$14),0)</f>
        <v>232504.48536192125</v>
      </c>
      <c r="D17" s="7">
        <f>IF(C17&gt;0,Inputs!$C$15*(1+Inputs!$C$17)^(A17-Inputs!$C$8-1)+C17*Inputs!$C$16,0)</f>
        <v>93321.3154813785</v>
      </c>
      <c r="E17" s="7">
        <f>C17-D17</f>
        <v>139183.16988054276</v>
      </c>
      <c r="F17" s="7">
        <f>IF(C17&gt;0,Inputs!$C$2*Inputs!$C$18*(1+Inputs!$C$17)^(A17-Inputs!$C$8-1),0)</f>
        <v>20173.332363694455</v>
      </c>
      <c r="G17" s="7">
        <f>IF(A17=20,MAX(0,(Inputs!$C$2*12*MIN(Inputs!$C$9*(1+Inputs!$C$11)^(20-Inputs!$C$8),Inputs!$C$10*(1+Inputs!$C$12)^(20-Inputs!$C$8))*Inputs!$C$13*(1-Inputs!$C$14))*(1-Inputs!$C$16)-Inputs!$C$15*(1+Inputs!$C$17)^(20-Inputs!$C$8))/Inputs!$C$19*(1-Inputs!$C$20),0)</f>
        <v>0</v>
      </c>
      <c r="H17" s="7">
        <f>E17-F17-B17+G17</f>
        <v>119009.8375168483</v>
      </c>
      <c r="I17" s="7">
        <f>H17/(1+Inputs!$C$21)^A17</f>
        <v>40221.281021954834</v>
      </c>
      <c r="J17" s="7">
        <f>SUM(H$2:H17)</f>
        <v>-2516929.7333052764</v>
      </c>
      <c r="K17" s="7">
        <f>SUM(I$2:I17)</f>
        <v>-2984008.5478041433</v>
      </c>
      <c r="L17" s="7">
        <f>IF(A17=Inputs!$C$8,SUM(B$2:B$22)*Inputs!$C$22,0)</f>
        <v>0</v>
      </c>
      <c r="M17" s="7">
        <f>IF(AND(A17&gt;Inputs!$C$8,A17&lt;=Inputs!$C$8+Inputs!$C$24),-PMT(Inputs!$C$23,Inputs!$C$24,SUM(B$2:B$22)*Inputs!$C$22),0)</f>
        <v>165660.4034038913</v>
      </c>
      <c r="N17" s="7">
        <f>MAX(0,N16*(1+IF(M17&gt;0,Inputs!$C$23,0))+L17-M17)</f>
        <v>976187.2149234717</v>
      </c>
      <c r="O17" s="7">
        <f>H17+L17-M17-IF(A17=20,N17,0)</f>
        <v>-46650.565887043005</v>
      </c>
      <c r="P17" s="7">
        <f>IF(M17&gt;0,(E17-F17)/M17,0)</f>
        <v>0.7183964005369119</v>
      </c>
      <c r="Q17" s="9">
        <f>J17-SUM(G$2:G17)</f>
        <v>-2516929.7333052764</v>
      </c>
      <c r="R17" s="9">
        <f>H17-(E17-F17-B17+G17)</f>
        <v>0</v>
      </c>
    </row>
    <row r="18">
      <c r="A18" s="2" t="n">
        <v>16</v>
      </c>
      <c r="B18" s="7">
        <f>IF(A18=0,Inputs!$C$3*(1+Inputs!$C$4),IF(A18&lt;=Inputs!$C$8,Inputs!$C$5*(1+Inputs!$C$6)*(1+Inputs!$C$7)/Inputs!$C$8,0))</f>
        <v>0</v>
      </c>
      <c r="C18" s="7">
        <f>IF(A18&gt;Inputs!$C$8,Inputs!$C$2*12*MIN(Inputs!$C$9*(1+Inputs!$C$11)^(A18-Inputs!$C$8-1),Inputs!$C$10*(1+Inputs!$C$12)^(A18-Inputs!$C$8-1))*Inputs!$C$13*(1-Inputs!$C$14),0)</f>
        <v>237154.57506915968</v>
      </c>
      <c r="D18" s="7">
        <f>IF(C18&gt;0,Inputs!$C$15*(1+Inputs!$C$17)^(A18-Inputs!$C$8-1)+C18*Inputs!$C$16,0)</f>
        <v>95456.71955585532</v>
      </c>
      <c r="E18" s="7">
        <f>C18-D18</f>
        <v>141697.85551330436</v>
      </c>
      <c r="F18" s="7">
        <f>IF(C18&gt;0,Inputs!$C$2*Inputs!$C$18*(1+Inputs!$C$17)^(A18-Inputs!$C$8-1),0)</f>
        <v>20677.665672786814</v>
      </c>
      <c r="G18" s="7">
        <f>IF(A18=20,MAX(0,(Inputs!$C$2*12*MIN(Inputs!$C$9*(1+Inputs!$C$11)^(20-Inputs!$C$8),Inputs!$C$10*(1+Inputs!$C$12)^(20-Inputs!$C$8))*Inputs!$C$13*(1-Inputs!$C$14))*(1-Inputs!$C$16)-Inputs!$C$15*(1+Inputs!$C$17)^(20-Inputs!$C$8))/Inputs!$C$19*(1-Inputs!$C$20),0)</f>
        <v>0</v>
      </c>
      <c r="H18" s="7">
        <f>E18-F18-B18+G18</f>
        <v>121020.18984051755</v>
      </c>
      <c r="I18" s="7">
        <f>H18/(1+Inputs!$C$21)^A18</f>
        <v>38047.173761691614</v>
      </c>
      <c r="J18" s="7">
        <f>SUM(H$2:H18)</f>
        <v>-2395909.543464759</v>
      </c>
      <c r="K18" s="7">
        <f>SUM(I$2:I18)</f>
        <v>-2945961.374042452</v>
      </c>
      <c r="L18" s="7">
        <f>IF(A18=Inputs!$C$8,SUM(B$2:B$22)*Inputs!$C$22,0)</f>
        <v>0</v>
      </c>
      <c r="M18" s="7">
        <f>IF(AND(A18&gt;Inputs!$C$8,A18&lt;=Inputs!$C$8+Inputs!$C$24),-PMT(Inputs!$C$23,Inputs!$C$24,SUM(B$2:B$22)*Inputs!$C$22),0)</f>
        <v>165660.4034038913</v>
      </c>
      <c r="N18" s="7">
        <f>MAX(0,N17*(1+IF(M18&gt;0,Inputs!$C$23,0))+L18-M18)</f>
        <v>854455.2361911365</v>
      </c>
      <c r="O18" s="7">
        <f>H18+L18-M18-IF(A18=20,N18,0)</f>
        <v>-44640.21356337376</v>
      </c>
      <c r="P18" s="7">
        <f>IF(M18&gt;0,(E18-F18)/M18,0)</f>
        <v>0.7305317828151252</v>
      </c>
      <c r="Q18" s="9">
        <f>J18-SUM(G$2:G18)</f>
        <v>-2395909.543464759</v>
      </c>
      <c r="R18" s="9">
        <f>H18-(E18-F18-B18+G18)</f>
        <v>0</v>
      </c>
    </row>
    <row r="19">
      <c r="A19" s="2" t="n">
        <v>17</v>
      </c>
      <c r="B19" s="7">
        <f>IF(A19=0,Inputs!$C$3*(1+Inputs!$C$4),IF(A19&lt;=Inputs!$C$8,Inputs!$C$5*(1+Inputs!$C$6)*(1+Inputs!$C$7)/Inputs!$C$8,0))</f>
        <v>0</v>
      </c>
      <c r="C19" s="7">
        <f>IF(A19&gt;Inputs!$C$8,Inputs!$C$2*12*MIN(Inputs!$C$9*(1+Inputs!$C$11)^(A19-Inputs!$C$8-1),Inputs!$C$10*(1+Inputs!$C$12)^(A19-Inputs!$C$8-1))*Inputs!$C$13*(1-Inputs!$C$14),0)</f>
        <v>241897.66657054287</v>
      </c>
      <c r="D19" s="7">
        <f>IF(C19&gt;0,Inputs!$C$15*(1+Inputs!$C$17)^(A19-Inputs!$C$8-1)+C19*Inputs!$C$16,0)</f>
        <v>97641.55615594292</v>
      </c>
      <c r="E19" s="7">
        <f>C19-D19</f>
        <v>144256.11041459994</v>
      </c>
      <c r="F19" s="7">
        <f>IF(C19&gt;0,Inputs!$C$2*Inputs!$C$18*(1+Inputs!$C$17)^(A19-Inputs!$C$8-1),0)</f>
        <v>21194.607314606485</v>
      </c>
      <c r="G19" s="7">
        <f>IF(A19=20,MAX(0,(Inputs!$C$2*12*MIN(Inputs!$C$9*(1+Inputs!$C$11)^(20-Inputs!$C$8),Inputs!$C$10*(1+Inputs!$C$12)^(20-Inputs!$C$8))*Inputs!$C$13*(1-Inputs!$C$14))*(1-Inputs!$C$16)-Inputs!$C$15*(1+Inputs!$C$17)^(20-Inputs!$C$8))/Inputs!$C$19*(1-Inputs!$C$20),0)</f>
        <v>0</v>
      </c>
      <c r="H19" s="7">
        <f>E19-F19-B19+G19</f>
        <v>123061.50309999345</v>
      </c>
      <c r="I19" s="7">
        <f>H19/(1+Inputs!$C$21)^A19</f>
        <v>35989.70800208115</v>
      </c>
      <c r="J19" s="7">
        <f>SUM(H$2:H19)</f>
        <v>-2272848.0403647656</v>
      </c>
      <c r="K19" s="7">
        <f>SUM(I$2:I19)</f>
        <v>-2909971.6660403707</v>
      </c>
      <c r="L19" s="7">
        <f>IF(A19=Inputs!$C$8,SUM(B$2:B$22)*Inputs!$C$22,0)</f>
        <v>0</v>
      </c>
      <c r="M19" s="7">
        <f>IF(AND(A19&gt;Inputs!$C$8,A19&lt;=Inputs!$C$8+Inputs!$C$24),-PMT(Inputs!$C$23,Inputs!$C$24,SUM(B$2:B$22)*Inputs!$C$22),0)</f>
        <v>165660.4034038913</v>
      </c>
      <c r="N19" s="7">
        <f>MAX(0,N18*(1+IF(M19&gt;0,Inputs!$C$23,0))+L19-M19)</f>
        <v>727245.3184158462</v>
      </c>
      <c r="O19" s="7">
        <f>H19+L19-M19-IF(A19=20,N19,0)</f>
        <v>-42598.900303897855</v>
      </c>
      <c r="P19" s="7">
        <f>IF(M19&gt;0,(E19-F19)/M19,0)</f>
        <v>0.7428540590955894</v>
      </c>
      <c r="Q19" s="9">
        <f>J19-SUM(G$2:G19)</f>
        <v>-2272848.0403647656</v>
      </c>
      <c r="R19" s="9">
        <f>H19-(E19-F19-B19+G19)</f>
        <v>0</v>
      </c>
    </row>
    <row r="20">
      <c r="A20" s="2" t="n">
        <v>18</v>
      </c>
      <c r="B20" s="7">
        <f>IF(A20=0,Inputs!$C$3*(1+Inputs!$C$4),IF(A20&lt;=Inputs!$C$8,Inputs!$C$5*(1+Inputs!$C$6)*(1+Inputs!$C$7)/Inputs!$C$8,0))</f>
        <v>0</v>
      </c>
      <c r="C20" s="7">
        <f>IF(A20&gt;Inputs!$C$8,Inputs!$C$2*12*MIN(Inputs!$C$9*(1+Inputs!$C$11)^(A20-Inputs!$C$8-1),Inputs!$C$10*(1+Inputs!$C$12)^(A20-Inputs!$C$8-1))*Inputs!$C$13*(1-Inputs!$C$14),0)</f>
        <v>246735.61990195373</v>
      </c>
      <c r="D20" s="7">
        <f>IF(C20&gt;0,Inputs!$C$15*(1+Inputs!$C$17)^(A20-Inputs!$C$8-1)+C20*Inputs!$C$16,0)</f>
        <v>99876.98204325652</v>
      </c>
      <c r="E20" s="7">
        <f>C20-D20</f>
        <v>146858.6378586972</v>
      </c>
      <c r="F20" s="7">
        <f>IF(C20&gt;0,Inputs!$C$2*Inputs!$C$18*(1+Inputs!$C$17)^(A20-Inputs!$C$8-1),0)</f>
        <v>21724.472497471645</v>
      </c>
      <c r="G20" s="7">
        <f>IF(A20=20,MAX(0,(Inputs!$C$2*12*MIN(Inputs!$C$9*(1+Inputs!$C$11)^(20-Inputs!$C$8),Inputs!$C$10*(1+Inputs!$C$12)^(20-Inputs!$C$8))*Inputs!$C$13*(1-Inputs!$C$14))*(1-Inputs!$C$16)-Inputs!$C$15*(1+Inputs!$C$17)^(20-Inputs!$C$8))/Inputs!$C$19*(1-Inputs!$C$20),0)</f>
        <v>0</v>
      </c>
      <c r="H20" s="7">
        <f>E20-F20-B20+G20</f>
        <v>125134.16536122558</v>
      </c>
      <c r="I20" s="7">
        <f>H20/(1+Inputs!$C$21)^A20</f>
        <v>34042.664498627644</v>
      </c>
      <c r="J20" s="7">
        <f>SUM(H$2:H20)</f>
        <v>-2147713.87500354</v>
      </c>
      <c r="K20" s="7">
        <f>SUM(I$2:I20)</f>
        <v>-2875929.001541743</v>
      </c>
      <c r="L20" s="7">
        <f>IF(A20=Inputs!$C$8,SUM(B$2:B$22)*Inputs!$C$22,0)</f>
        <v>0</v>
      </c>
      <c r="M20" s="7">
        <f>IF(AND(A20&gt;Inputs!$C$8,A20&lt;=Inputs!$C$8+Inputs!$C$24),-PMT(Inputs!$C$23,Inputs!$C$24,SUM(B$2:B$22)*Inputs!$C$22),0)</f>
        <v>165660.4034038913</v>
      </c>
      <c r="N20" s="7">
        <f>MAX(0,N19*(1+IF(M20&gt;0,Inputs!$C$23,0))+L20-M20)</f>
        <v>594310.9543406679</v>
      </c>
      <c r="O20" s="7">
        <f>H20+L20-M20-IF(A20=20,N20,0)</f>
        <v>-40526.23804266573</v>
      </c>
      <c r="P20" s="7">
        <f>IF(M20&gt;0,(E20-F20)/M20,0)</f>
        <v>0.7553655719172673</v>
      </c>
      <c r="Q20" s="9">
        <f>J20-SUM(G$2:G20)</f>
        <v>-2147713.87500354</v>
      </c>
      <c r="R20" s="9">
        <f>H20-(E20-F20-B20+G20)</f>
        <v>0</v>
      </c>
    </row>
    <row r="21">
      <c r="A21" s="2" t="n">
        <v>19</v>
      </c>
      <c r="B21" s="7">
        <f>IF(A21=0,Inputs!$C$3*(1+Inputs!$C$4),IF(A21&lt;=Inputs!$C$8,Inputs!$C$5*(1+Inputs!$C$6)*(1+Inputs!$C$7)/Inputs!$C$8,0))</f>
        <v>0</v>
      </c>
      <c r="C21" s="7">
        <f>IF(A21&gt;Inputs!$C$8,Inputs!$C$2*12*MIN(Inputs!$C$9*(1+Inputs!$C$11)^(A21-Inputs!$C$8-1),Inputs!$C$10*(1+Inputs!$C$12)^(A21-Inputs!$C$8-1))*Inputs!$C$13*(1-Inputs!$C$14),0)</f>
        <v>251670.33229999282</v>
      </c>
      <c r="D21" s="7">
        <f>IF(C21&gt;0,Inputs!$C$15*(1+Inputs!$C$17)^(A21-Inputs!$C$8-1)+C21*Inputs!$C$16,0)</f>
        <v>102164.18131742127</v>
      </c>
      <c r="E21" s="7">
        <f>C21-D21</f>
        <v>149506.15098257153</v>
      </c>
      <c r="F21" s="7">
        <f>IF(C21&gt;0,Inputs!$C$2*Inputs!$C$18*(1+Inputs!$C$17)^(A21-Inputs!$C$8-1),0)</f>
        <v>22267.584309908434</v>
      </c>
      <c r="G21" s="7">
        <f>IF(A21=20,MAX(0,(Inputs!$C$2*12*MIN(Inputs!$C$9*(1+Inputs!$C$11)^(20-Inputs!$C$8),Inputs!$C$10*(1+Inputs!$C$12)^(20-Inputs!$C$8))*Inputs!$C$13*(1-Inputs!$C$14))*(1-Inputs!$C$16)-Inputs!$C$15*(1+Inputs!$C$17)^(20-Inputs!$C$8))/Inputs!$C$19*(1-Inputs!$C$20),0)</f>
        <v>0</v>
      </c>
      <c r="H21" s="7">
        <f>E21-F21-B21+G21</f>
        <v>127238.5666726631</v>
      </c>
      <c r="I21" s="7">
        <f>H21/(1+Inputs!$C$21)^A21</f>
        <v>32200.15390026583</v>
      </c>
      <c r="J21" s="7">
        <f>SUM(H$2:H21)</f>
        <v>-2020475.3083308768</v>
      </c>
      <c r="K21" s="7">
        <f>SUM(I$2:I21)</f>
        <v>-2843728.8476414774</v>
      </c>
      <c r="L21" s="7">
        <f>IF(A21=Inputs!$C$8,SUM(B$2:B$22)*Inputs!$C$22,0)</f>
        <v>0</v>
      </c>
      <c r="M21" s="7">
        <f>IF(AND(A21&gt;Inputs!$C$8,A21&lt;=Inputs!$C$8+Inputs!$C$24),-PMT(Inputs!$C$23,Inputs!$C$24,SUM(B$2:B$22)*Inputs!$C$22),0)</f>
        <v>165660.4034038913</v>
      </c>
      <c r="N21" s="7">
        <f>MAX(0,N20*(1+IF(M21&gt;0,Inputs!$C$23,0))+L21-M21)</f>
        <v>455394.5438821066</v>
      </c>
      <c r="O21" s="7">
        <f>H21+L21-M21-IF(A21=20,N21,0)</f>
        <v>-38421.836731228206</v>
      </c>
      <c r="P21" s="7">
        <f>IF(M21&gt;0,(E21-F21)/M21,0)</f>
        <v>0.7680686757863727</v>
      </c>
      <c r="Q21" s="9">
        <f>J21-SUM(G$2:G21)</f>
        <v>-2020475.3083308768</v>
      </c>
      <c r="R21" s="9">
        <f>H21-(E21-F21-B21+G21)</f>
        <v>0</v>
      </c>
    </row>
    <row r="22">
      <c r="A22" s="2" t="n">
        <v>20</v>
      </c>
      <c r="B22" s="7">
        <f>IF(A22=0,Inputs!$C$3*(1+Inputs!$C$4),IF(A22&lt;=Inputs!$C$8,Inputs!$C$5*(1+Inputs!$C$6)*(1+Inputs!$C$7)/Inputs!$C$8,0))</f>
        <v>0</v>
      </c>
      <c r="C22" s="7">
        <f>IF(A22&gt;Inputs!$C$8,Inputs!$C$2*12*MIN(Inputs!$C$9*(1+Inputs!$C$11)^(A22-Inputs!$C$8-1),Inputs!$C$10*(1+Inputs!$C$12)^(A22-Inputs!$C$8-1))*Inputs!$C$13*(1-Inputs!$C$14),0)</f>
        <v>256703.73894599263</v>
      </c>
      <c r="D22" s="7">
        <f>IF(C22&gt;0,Inputs!$C$15*(1+Inputs!$C$17)^(A22-Inputs!$C$8-1)+C22*Inputs!$C$16,0)</f>
        <v>104504.36606790179</v>
      </c>
      <c r="E22" s="7">
        <f>C22-D22</f>
        <v>152199.37287809083</v>
      </c>
      <c r="F22" s="7">
        <f>IF(C22&gt;0,Inputs!$C$2*Inputs!$C$18*(1+Inputs!$C$17)^(A22-Inputs!$C$8-1),0)</f>
        <v>22824.27391765614</v>
      </c>
      <c r="G22" s="7">
        <f>IF(A22=20,MAX(0,(Inputs!$C$2*12*MIN(Inputs!$C$9*(1+Inputs!$C$11)^(20-Inputs!$C$8),Inputs!$C$10*(1+Inputs!$C$12)^(20-Inputs!$C$8))*Inputs!$C$13*(1-Inputs!$C$14))*(1-Inputs!$C$16)-Inputs!$C$15*(1+Inputs!$C$17)^(20-Inputs!$C$8))/Inputs!$C$19*(1-Inputs!$C$20),0)</f>
        <v>2746646.559387852</v>
      </c>
      <c r="H22" s="7">
        <f>E22-F22-B22+G22</f>
        <v>2876021.6583482865</v>
      </c>
      <c r="I22" s="7">
        <f>H22/(1+Inputs!$C$21)^A22</f>
        <v>677053.3124822564</v>
      </c>
      <c r="J22" s="7">
        <f>SUM(H$2:H22)</f>
        <v>855546.3500174098</v>
      </c>
      <c r="K22" s="7">
        <f>SUM(I$2:I22)</f>
        <v>-2166675.535159221</v>
      </c>
      <c r="L22" s="7">
        <f>IF(A22=Inputs!$C$8,SUM(B$2:B$22)*Inputs!$C$22,0)</f>
        <v>0</v>
      </c>
      <c r="M22" s="7">
        <f>IF(AND(A22&gt;Inputs!$C$8,A22&lt;=Inputs!$C$8+Inputs!$C$24),-PMT(Inputs!$C$23,Inputs!$C$24,SUM(B$2:B$22)*Inputs!$C$22),0)</f>
        <v>165660.4034038913</v>
      </c>
      <c r="N22" s="7">
        <f>MAX(0,N21*(1+IF(M22&gt;0,Inputs!$C$23,0))+L22-M22)</f>
        <v>310226.8949529101</v>
      </c>
      <c r="O22" s="7">
        <f>H22+L22-M22-IF(A22=20,N22,0)</f>
        <v>2400134.3599914853</v>
      </c>
      <c r="P22" s="7">
        <f>IF(M22&gt;0,(E22-F22)/M22,0)</f>
        <v>0.780965736543629</v>
      </c>
      <c r="Q22" s="9">
        <f>J22-SUM(G$2:G22)</f>
        <v>-1891100.2093704422</v>
      </c>
      <c r="R22" s="9">
        <f>H22-(E22-F22-B22+G22)</f>
        <v>0</v>
      </c>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inlineStr">
        <is>
          <t>Payback uses first nonnegative cumulative end-year; includes sale at year 20 if needed.</t>
        </is>
      </c>
      <c r="B25" s="2" t="n"/>
      <c r="C25" s="2" t="n"/>
      <c r="D25" s="2" t="n"/>
      <c r="E25" s="2" t="n"/>
      <c r="F25" s="2" t="n"/>
      <c r="G25" s="2" t="n"/>
      <c r="H25" s="2" t="n"/>
      <c r="I25" s="2" t="n"/>
      <c r="J25" s="2" t="n"/>
      <c r="K25" s="2" t="n"/>
      <c r="L25" s="2" t="n"/>
      <c r="M25" s="2" t="n"/>
      <c r="N25" s="2" t="n"/>
      <c r="O25" s="2" t="n"/>
      <c r="P25" s="2" t="n"/>
      <c r="Q25" s="2" t="n"/>
      <c r="R25" s="2" t="n"/>
    </row>
    <row r="26">
      <c r="A26" s="2" t="inlineStr">
        <is>
          <t>Debt drawn at completion; bridging interest and loan fees excluded. Equity IRR is indicative.</t>
        </is>
      </c>
      <c r="B26" s="2" t="n"/>
      <c r="C26" s="2" t="n"/>
      <c r="D26" s="2" t="n"/>
      <c r="E26" s="2" t="n"/>
      <c r="F26" s="2" t="n"/>
      <c r="G26" s="2" t="n"/>
      <c r="H26" s="2" t="n"/>
      <c r="I26" s="2" t="n"/>
      <c r="J26" s="2" t="n"/>
      <c r="K26" s="2" t="n"/>
      <c r="L26" s="2" t="n"/>
      <c r="M26" s="2" t="n"/>
      <c r="N26" s="2" t="n"/>
      <c r="O26" s="2" t="n"/>
      <c r="P26" s="2" t="n"/>
      <c r="Q26" s="2" t="n"/>
      <c r="R26" s="2" t="n"/>
    </row>
  </sheetData>
  <autoFilter ref="A1:P26"/>
  <printOptions horizontalCentered="1"/>
  <pageMargins left="0.75" right="0.75" top="1" bottom="1" header="0.5" footer="0.5"/>
  <pageSetup orientation="landscape" paperSize="8" fitToHeight="0" fitToWidth="1"/>
  <drawing r:id="rId1"/>
</worksheet>
</file>

<file path=xl/worksheets/sheet6.xml><?xml version="1.0" encoding="utf-8"?>
<worksheet xmlns="http://schemas.openxmlformats.org/spreadsheetml/2006/main" xmlns:r="http://schemas.openxmlformats.org/officeDocument/2006/relationships">
  <sheetPr>
    <tabColor rgb="007F7F7F"/>
    <outlinePr summaryBelow="1" summaryRight="1"/>
    <pageSetUpPr fitToPage="1"/>
  </sheetPr>
  <dimension ref="A1:R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2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s>
  <sheetData>
    <row r="1" ht="32" customHeight="1">
      <c r="A1" s="8" t="inlineStr">
        <is>
          <t>YEAR</t>
        </is>
      </c>
      <c r="B1" s="8" t="inlineStr">
        <is>
          <t>Build spend</t>
        </is>
      </c>
      <c r="C1" s="8" t="inlineStr">
        <is>
          <t>Collected rent</t>
        </is>
      </c>
      <c r="D1" s="8" t="inlineStr">
        <is>
          <t>Owner costs</t>
        </is>
      </c>
      <c r="E1" s="8" t="inlineStr">
        <is>
          <t>NOI</t>
        </is>
      </c>
      <c r="F1" s="8" t="inlineStr">
        <is>
          <t>Capital reserve</t>
        </is>
      </c>
      <c r="G1" s="8" t="inlineStr">
        <is>
          <t>Exit proceeds</t>
        </is>
      </c>
      <c r="H1" s="8" t="inlineStr">
        <is>
          <t>Project cash flow</t>
        </is>
      </c>
      <c r="I1" s="8" t="inlineStr">
        <is>
          <t>Discounted CF</t>
        </is>
      </c>
      <c r="J1" s="8" t="inlineStr">
        <is>
          <t>Cumulative CF</t>
        </is>
      </c>
      <c r="K1" s="8" t="inlineStr">
        <is>
          <t>Cumulative discounted</t>
        </is>
      </c>
      <c r="L1" s="8" t="inlineStr">
        <is>
          <t>Debt draw</t>
        </is>
      </c>
      <c r="M1" s="8" t="inlineStr">
        <is>
          <t>Debt service</t>
        </is>
      </c>
      <c r="N1" s="8" t="inlineStr">
        <is>
          <t>Closing debt</t>
        </is>
      </c>
      <c r="O1" s="8" t="inlineStr">
        <is>
          <t>Equity cash flow</t>
        </is>
      </c>
      <c r="P1" s="8" t="inlineStr">
        <is>
          <t>DSCR</t>
        </is>
      </c>
      <c r="Q1" s="8" t="inlineStr">
        <is>
          <t>Cumulative excluding sale</t>
        </is>
      </c>
      <c r="R1" s="8" t="inlineStr">
        <is>
          <t>Discounted cash flow check</t>
        </is>
      </c>
    </row>
    <row r="2">
      <c r="A2" s="2" t="n">
        <v>0</v>
      </c>
      <c r="B2" s="7">
        <f>IF(A2=0,Inputs!$D$3*(1+Inputs!$D$4),IF(A2&lt;=Inputs!$D$8,Inputs!$D$5*(1+Inputs!$D$6)*(1+Inputs!$D$7)/Inputs!$D$8,0))</f>
        <v>2069999.9999999998</v>
      </c>
      <c r="C2" s="7">
        <f>IF(A2&gt;Inputs!$D$8,Inputs!$D$2*12*MIN(Inputs!$D$9*(1+Inputs!$D$11)^(A2-Inputs!$D$8-1),Inputs!$D$10*(1+Inputs!$D$12)^(A2-Inputs!$D$8-1))*Inputs!$D$13*(1-Inputs!$D$14),0)</f>
        <v>0</v>
      </c>
      <c r="D2" s="7">
        <f>IF(C2&gt;0,Inputs!$D$15*(1+Inputs!$D$17)^(A2-Inputs!$D$8-1)+C2*Inputs!$D$16,0)</f>
        <v>0</v>
      </c>
      <c r="E2" s="7">
        <f>C2-D2</f>
        <v>0</v>
      </c>
      <c r="F2" s="7">
        <f>IF(C2&gt;0,Inputs!$D$2*Inputs!$D$18*(1+Inputs!$D$17)^(A2-Inputs!$D$8-1),0)</f>
        <v>0</v>
      </c>
      <c r="G2" s="7">
        <f>IF(A2=20,MAX(0,(Inputs!$D$2*12*MIN(Inputs!$D$9*(1+Inputs!$D$11)^(20-Inputs!$D$8),Inputs!$D$10*(1+Inputs!$D$12)^(20-Inputs!$D$8))*Inputs!$D$13*(1-Inputs!$D$14))*(1-Inputs!$D$16)-Inputs!$D$15*(1+Inputs!$D$17)^(20-Inputs!$D$8))/Inputs!$D$19*(1-Inputs!$D$20),0)</f>
        <v>0</v>
      </c>
      <c r="H2" s="7">
        <f>E2-F2-B2+G2</f>
        <v>-2069999.9999999998</v>
      </c>
      <c r="I2" s="7">
        <f>H2/(1+Inputs!$D$21)^A2</f>
        <v>-2069999.9999999998</v>
      </c>
      <c r="J2" s="7">
        <f>SUM(H$2:H2)</f>
        <v>-2069999.9999999998</v>
      </c>
      <c r="K2" s="7">
        <f>SUM(I$2:I2)</f>
        <v>-2069999.9999999998</v>
      </c>
      <c r="L2" s="7">
        <f>IF(A2=Inputs!$D$8,SUM(B$2:B$22)*Inputs!$D$22,0)</f>
        <v>0</v>
      </c>
      <c r="M2" s="7">
        <f>IF(AND(A2&gt;Inputs!$D$8,A2&lt;=Inputs!$D$8+Inputs!$D$24),-PMT(Inputs!$D$23,Inputs!$D$24,SUM(B$2:B$22)*Inputs!$D$22),0)</f>
        <v>0</v>
      </c>
      <c r="N2" s="7">
        <f>L2</f>
        <v>0</v>
      </c>
      <c r="O2" s="7">
        <f>H2+L2-M2-IF(A2=20,N2,0)</f>
        <v>-2069999.9999999998</v>
      </c>
      <c r="P2" s="7">
        <f>IF(M2&gt;0,(E2-F2)/M2,0)</f>
        <v>0</v>
      </c>
      <c r="Q2" s="9">
        <f>J2-SUM(G$2:G2)</f>
        <v>-2069999.9999999998</v>
      </c>
      <c r="R2" s="9">
        <f>H2-(E2-F2-B2+G2)</f>
        <v>0</v>
      </c>
    </row>
    <row r="3">
      <c r="A3" s="2" t="n">
        <v>1</v>
      </c>
      <c r="B3" s="7">
        <f>IF(A3=0,Inputs!$D$3*(1+Inputs!$D$4),IF(A3&lt;=Inputs!$D$8,Inputs!$D$5*(1+Inputs!$D$6)*(1+Inputs!$D$7)/Inputs!$D$8,0))</f>
        <v>1650000.0000000002</v>
      </c>
      <c r="C3" s="7">
        <f>IF(A3&gt;Inputs!$D$8,Inputs!$D$2*12*MIN(Inputs!$D$9*(1+Inputs!$D$11)^(A3-Inputs!$D$8-1),Inputs!$D$10*(1+Inputs!$D$12)^(A3-Inputs!$D$8-1))*Inputs!$D$13*(1-Inputs!$D$14),0)</f>
        <v>0</v>
      </c>
      <c r="D3" s="7">
        <f>IF(C3&gt;0,Inputs!$D$15*(1+Inputs!$D$17)^(A3-Inputs!$D$8-1)+C3*Inputs!$D$16,0)</f>
        <v>0</v>
      </c>
      <c r="E3" s="7">
        <f>C3-D3</f>
        <v>0</v>
      </c>
      <c r="F3" s="7">
        <f>IF(C3&gt;0,Inputs!$D$2*Inputs!$D$18*(1+Inputs!$D$17)^(A3-Inputs!$D$8-1),0)</f>
        <v>0</v>
      </c>
      <c r="G3" s="7">
        <f>IF(A3=20,MAX(0,(Inputs!$D$2*12*MIN(Inputs!$D$9*(1+Inputs!$D$11)^(20-Inputs!$D$8),Inputs!$D$10*(1+Inputs!$D$12)^(20-Inputs!$D$8))*Inputs!$D$13*(1-Inputs!$D$14))*(1-Inputs!$D$16)-Inputs!$D$15*(1+Inputs!$D$17)^(20-Inputs!$D$8))/Inputs!$D$19*(1-Inputs!$D$20),0)</f>
        <v>0</v>
      </c>
      <c r="H3" s="7">
        <f>E3-F3-B3+G3</f>
        <v>-1650000.0000000002</v>
      </c>
      <c r="I3" s="7">
        <f>H3/(1+Inputs!$D$21)^A3</f>
        <v>-1549295.7746478876</v>
      </c>
      <c r="J3" s="7">
        <f>SUM(H$2:H3)</f>
        <v>-3720000.0</v>
      </c>
      <c r="K3" s="7">
        <f>SUM(I$2:I3)</f>
        <v>-3619295.7746478873</v>
      </c>
      <c r="L3" s="7">
        <f>IF(A3=Inputs!$D$8,SUM(B$2:B$22)*Inputs!$D$22,0)</f>
        <v>2046000.0000000002</v>
      </c>
      <c r="M3" s="7">
        <f>IF(AND(A3&gt;Inputs!$D$8,A3&lt;=Inputs!$D$8+Inputs!$D$24),-PMT(Inputs!$D$23,Inputs!$D$24,SUM(B$2:B$22)*Inputs!$D$22),0)</f>
        <v>0</v>
      </c>
      <c r="N3" s="7">
        <f>MAX(0,N2*(1+IF(M3&gt;0,Inputs!$D$23,0))+L3-M3)</f>
        <v>2046000.0000000002</v>
      </c>
      <c r="O3" s="7">
        <f>H3+L3-M3-IF(A3=20,N3,0)</f>
        <v>396000.0</v>
      </c>
      <c r="P3" s="7">
        <f>IF(M3&gt;0,(E3-F3)/M3,0)</f>
        <v>0</v>
      </c>
      <c r="Q3" s="9">
        <f>J3-SUM(G$2:G3)</f>
        <v>-3720000.0</v>
      </c>
      <c r="R3" s="9">
        <f>H3-(E3-F3-B3+G3)</f>
        <v>0</v>
      </c>
    </row>
    <row r="4">
      <c r="A4" s="2" t="n">
        <v>2</v>
      </c>
      <c r="B4" s="7">
        <f>IF(A4=0,Inputs!$D$3*(1+Inputs!$D$4),IF(A4&lt;=Inputs!$D$8,Inputs!$D$5*(1+Inputs!$D$6)*(1+Inputs!$D$7)/Inputs!$D$8,0))</f>
        <v>0</v>
      </c>
      <c r="C4" s="7">
        <f>IF(A4&gt;Inputs!$D$8,Inputs!$D$2*12*MIN(Inputs!$D$9*(1+Inputs!$D$11)^(A4-Inputs!$D$8-1),Inputs!$D$10*(1+Inputs!$D$12)^(A4-Inputs!$D$8-1))*Inputs!$D$13*(1-Inputs!$D$14),0)</f>
        <v>193069.8</v>
      </c>
      <c r="D4" s="7">
        <f>IF(C4&gt;0,Inputs!$D$15*(1+Inputs!$D$17)^(A4-Inputs!$D$8-1)+C4*Inputs!$D$16,0)</f>
        <v>64960.47</v>
      </c>
      <c r="E4" s="7">
        <f>C4-D4</f>
        <v>128109.32999999999</v>
      </c>
      <c r="F4" s="7">
        <f>IF(C4&gt;0,Inputs!$D$2*Inputs!$D$18*(1+Inputs!$D$17)^(A4-Inputs!$D$8-1),0)</f>
        <v>12000.0</v>
      </c>
      <c r="G4" s="7">
        <f>IF(A4=20,MAX(0,(Inputs!$D$2*12*MIN(Inputs!$D$9*(1+Inputs!$D$11)^(20-Inputs!$D$8),Inputs!$D$10*(1+Inputs!$D$12)^(20-Inputs!$D$8))*Inputs!$D$13*(1-Inputs!$D$14))*(1-Inputs!$D$16)-Inputs!$D$15*(1+Inputs!$D$17)^(20-Inputs!$D$8))/Inputs!$D$19*(1-Inputs!$D$20),0)</f>
        <v>0</v>
      </c>
      <c r="H4" s="7">
        <f>E4-F4-B4+G4</f>
        <v>116109.32999999999</v>
      </c>
      <c r="I4" s="7">
        <f>H4/(1+Inputs!$D$21)^A4</f>
        <v>102368.86861072539</v>
      </c>
      <c r="J4" s="7">
        <f>SUM(H$2:H4)</f>
        <v>-3603890.67</v>
      </c>
      <c r="K4" s="7">
        <f>SUM(I$2:I4)</f>
        <v>-3516926.906037162</v>
      </c>
      <c r="L4" s="7">
        <f>IF(A4=Inputs!$D$8,SUM(B$2:B$22)*Inputs!$D$22,0)</f>
        <v>0</v>
      </c>
      <c r="M4" s="7">
        <f>IF(AND(A4&gt;Inputs!$D$8,A4&lt;=Inputs!$D$8+Inputs!$D$24),-PMT(Inputs!$D$23,Inputs!$D$24,SUM(B$2:B$22)*Inputs!$D$22),0)</f>
        <v>150548.26117237465</v>
      </c>
      <c r="N4" s="7">
        <f>MAX(0,N3*(1+IF(M4&gt;0,Inputs!$D$23,0))+L4-M4)</f>
        <v>1977291.7388276258</v>
      </c>
      <c r="O4" s="7">
        <f>H4+L4-M4-IF(A4=20,N4,0)</f>
        <v>-34438.931172374665</v>
      </c>
      <c r="P4" s="7">
        <f>IF(M4&gt;0,(E4-F4)/M4,0)</f>
        <v>0.7712432484826722</v>
      </c>
      <c r="Q4" s="9">
        <f>J4-SUM(G$2:G4)</f>
        <v>-3603890.67</v>
      </c>
      <c r="R4" s="9">
        <f>H4-(E4-F4-B4+G4)</f>
        <v>0</v>
      </c>
    </row>
    <row r="5">
      <c r="A5" s="2" t="n">
        <v>3</v>
      </c>
      <c r="B5" s="7">
        <f>IF(A5=0,Inputs!$D$3*(1+Inputs!$D$4),IF(A5&lt;=Inputs!$D$8,Inputs!$D$5*(1+Inputs!$D$6)*(1+Inputs!$D$7)/Inputs!$D$8,0))</f>
        <v>0</v>
      </c>
      <c r="C5" s="7">
        <f>IF(A5&gt;Inputs!$D$8,Inputs!$D$2*12*MIN(Inputs!$D$9*(1+Inputs!$D$11)^(A5-Inputs!$D$8-1),Inputs!$D$10*(1+Inputs!$D$12)^(A5-Inputs!$D$8-1))*Inputs!$D$13*(1-Inputs!$D$14),0)</f>
        <v>196931.196</v>
      </c>
      <c r="D5" s="7">
        <f>IF(C5&gt;0,Inputs!$D$15*(1+Inputs!$D$17)^(A5-Inputs!$D$8-1)+C5*Inputs!$D$16,0)</f>
        <v>66259.6794</v>
      </c>
      <c r="E5" s="7">
        <f>C5-D5</f>
        <v>130671.5166</v>
      </c>
      <c r="F5" s="7">
        <f>IF(C5&gt;0,Inputs!$D$2*Inputs!$D$18*(1+Inputs!$D$17)^(A5-Inputs!$D$8-1),0)</f>
        <v>12240.0</v>
      </c>
      <c r="G5" s="7">
        <f>IF(A5=20,MAX(0,(Inputs!$D$2*12*MIN(Inputs!$D$9*(1+Inputs!$D$11)^(20-Inputs!$D$8),Inputs!$D$10*(1+Inputs!$D$12)^(20-Inputs!$D$8))*Inputs!$D$13*(1-Inputs!$D$14))*(1-Inputs!$D$16)-Inputs!$D$15*(1+Inputs!$D$17)^(20-Inputs!$D$8))/Inputs!$D$19*(1-Inputs!$D$20),0)</f>
        <v>0</v>
      </c>
      <c r="H5" s="7">
        <f>E5-F5-B5+G5</f>
        <v>118431.5166</v>
      </c>
      <c r="I5" s="7">
        <f>H5/(1+Inputs!$D$21)^A5</f>
        <v>98043.42345815954</v>
      </c>
      <c r="J5" s="7">
        <f>SUM(H$2:H5)</f>
        <v>-3485459.1533999997</v>
      </c>
      <c r="K5" s="7">
        <f>SUM(I$2:I5)</f>
        <v>-3418883.4825790026</v>
      </c>
      <c r="L5" s="7">
        <f>IF(A5=Inputs!$D$8,SUM(B$2:B$22)*Inputs!$D$22,0)</f>
        <v>0</v>
      </c>
      <c r="M5" s="7">
        <f>IF(AND(A5&gt;Inputs!$D$8,A5&lt;=Inputs!$D$8+Inputs!$D$24),-PMT(Inputs!$D$23,Inputs!$D$24,SUM(B$2:B$22)*Inputs!$D$22),0)</f>
        <v>150548.26117237465</v>
      </c>
      <c r="N5" s="7">
        <f>MAX(0,N4*(1+IF(M5&gt;0,Inputs!$D$23,0))+L5-M5)</f>
        <v>1905835.147208356</v>
      </c>
      <c r="O5" s="7">
        <f>H5+L5-M5-IF(A5=20,N5,0)</f>
        <v>-32116.74457237465</v>
      </c>
      <c r="P5" s="7">
        <f>IF(M5&gt;0,(E5-F5)/M5,0)</f>
        <v>0.7866681134523258</v>
      </c>
      <c r="Q5" s="9">
        <f>J5-SUM(G$2:G5)</f>
        <v>-3485459.1533999997</v>
      </c>
      <c r="R5" s="9">
        <f>H5-(E5-F5-B5+G5)</f>
        <v>0</v>
      </c>
    </row>
    <row r="6">
      <c r="A6" s="2" t="n">
        <v>4</v>
      </c>
      <c r="B6" s="7">
        <f>IF(A6=0,Inputs!$D$3*(1+Inputs!$D$4),IF(A6&lt;=Inputs!$D$8,Inputs!$D$5*(1+Inputs!$D$6)*(1+Inputs!$D$7)/Inputs!$D$8,0))</f>
        <v>0</v>
      </c>
      <c r="C6" s="7">
        <f>IF(A6&gt;Inputs!$D$8,Inputs!$D$2*12*MIN(Inputs!$D$9*(1+Inputs!$D$11)^(A6-Inputs!$D$8-1),Inputs!$D$10*(1+Inputs!$D$12)^(A6-Inputs!$D$8-1))*Inputs!$D$13*(1-Inputs!$D$14),0)</f>
        <v>200869.81992</v>
      </c>
      <c r="D6" s="7">
        <f>IF(C6&gt;0,Inputs!$D$15*(1+Inputs!$D$17)^(A6-Inputs!$D$8-1)+C6*Inputs!$D$16,0)</f>
        <v>67584.872988</v>
      </c>
      <c r="E6" s="7">
        <f>C6-D6</f>
        <v>133284.946932</v>
      </c>
      <c r="F6" s="7">
        <f>IF(C6&gt;0,Inputs!$D$2*Inputs!$D$18*(1+Inputs!$D$17)^(A6-Inputs!$D$8-1),0)</f>
        <v>12484.8</v>
      </c>
      <c r="G6" s="7">
        <f>IF(A6=20,MAX(0,(Inputs!$D$2*12*MIN(Inputs!$D$9*(1+Inputs!$D$11)^(20-Inputs!$D$8),Inputs!$D$10*(1+Inputs!$D$12)^(20-Inputs!$D$8))*Inputs!$D$13*(1-Inputs!$D$14))*(1-Inputs!$D$16)-Inputs!$D$15*(1+Inputs!$D$17)^(20-Inputs!$D$8))/Inputs!$D$19*(1-Inputs!$D$20),0)</f>
        <v>0</v>
      </c>
      <c r="H6" s="7">
        <f>E6-F6-B6+G6</f>
        <v>120800.14693199999</v>
      </c>
      <c r="I6" s="7">
        <f>H6/(1+Inputs!$D$21)^A6</f>
        <v>93900.74359373025</v>
      </c>
      <c r="J6" s="7">
        <f>SUM(H$2:H6)</f>
        <v>-3364659.006468</v>
      </c>
      <c r="K6" s="7">
        <f>SUM(I$2:I6)</f>
        <v>-3324982.7389852726</v>
      </c>
      <c r="L6" s="7">
        <f>IF(A6=Inputs!$D$8,SUM(B$2:B$22)*Inputs!$D$22,0)</f>
        <v>0</v>
      </c>
      <c r="M6" s="7">
        <f>IF(AND(A6&gt;Inputs!$D$8,A6&lt;=Inputs!$D$8+Inputs!$D$24),-PMT(Inputs!$D$23,Inputs!$D$24,SUM(B$2:B$22)*Inputs!$D$22),0)</f>
        <v>150548.26117237465</v>
      </c>
      <c r="N6" s="7">
        <f>MAX(0,N5*(1+IF(M6&gt;0,Inputs!$D$23,0))+L6-M6)</f>
        <v>1831520.2919243157</v>
      </c>
      <c r="O6" s="7">
        <f>H6+L6-M6-IF(A6=20,N6,0)</f>
        <v>-29748.114240374663</v>
      </c>
      <c r="P6" s="7">
        <f>IF(M6&gt;0,(E6-F6)/M6,0)</f>
        <v>0.8024014757213722</v>
      </c>
      <c r="Q6" s="9">
        <f>J6-SUM(G$2:G6)</f>
        <v>-3364659.006468</v>
      </c>
      <c r="R6" s="9">
        <f>H6-(E6-F6-B6+G6)</f>
        <v>0</v>
      </c>
    </row>
    <row r="7">
      <c r="A7" s="2" t="n">
        <v>5</v>
      </c>
      <c r="B7" s="7">
        <f>IF(A7=0,Inputs!$D$3*(1+Inputs!$D$4),IF(A7&lt;=Inputs!$D$8,Inputs!$D$5*(1+Inputs!$D$6)*(1+Inputs!$D$7)/Inputs!$D$8,0))</f>
        <v>0</v>
      </c>
      <c r="C7" s="7">
        <f>IF(A7&gt;Inputs!$D$8,Inputs!$D$2*12*MIN(Inputs!$D$9*(1+Inputs!$D$11)^(A7-Inputs!$D$8-1),Inputs!$D$10*(1+Inputs!$D$12)^(A7-Inputs!$D$8-1))*Inputs!$D$13*(1-Inputs!$D$14),0)</f>
        <v>204887.21631840002</v>
      </c>
      <c r="D7" s="7">
        <f>IF(C7&gt;0,Inputs!$D$15*(1+Inputs!$D$17)^(A7-Inputs!$D$8-1)+C7*Inputs!$D$16,0)</f>
        <v>68936.57044776001</v>
      </c>
      <c r="E7" s="7">
        <f>C7-D7</f>
        <v>135950.64587064</v>
      </c>
      <c r="F7" s="7">
        <f>IF(C7&gt;0,Inputs!$D$2*Inputs!$D$18*(1+Inputs!$D$17)^(A7-Inputs!$D$8-1),0)</f>
        <v>12734.496000000001</v>
      </c>
      <c r="G7" s="7">
        <f>IF(A7=20,MAX(0,(Inputs!$D$2*12*MIN(Inputs!$D$9*(1+Inputs!$D$11)^(20-Inputs!$D$8),Inputs!$D$10*(1+Inputs!$D$12)^(20-Inputs!$D$8))*Inputs!$D$13*(1-Inputs!$D$14))*(1-Inputs!$D$16)-Inputs!$D$15*(1+Inputs!$D$17)^(20-Inputs!$D$8))/Inputs!$D$19*(1-Inputs!$D$20),0)</f>
        <v>0</v>
      </c>
      <c r="H7" s="7">
        <f>E7-F7-B7+G7</f>
        <v>123216.14987064</v>
      </c>
      <c r="I7" s="7">
        <f>H7/(1+Inputs!$D$21)^A7</f>
        <v>89933.10654047407</v>
      </c>
      <c r="J7" s="7">
        <f>SUM(H$2:H7)</f>
        <v>-3241442.8565973598</v>
      </c>
      <c r="K7" s="7">
        <f>SUM(I$2:I7)</f>
        <v>-3235049.6324447985</v>
      </c>
      <c r="L7" s="7">
        <f>IF(A7=Inputs!$D$8,SUM(B$2:B$22)*Inputs!$D$22,0)</f>
        <v>0</v>
      </c>
      <c r="M7" s="7">
        <f>IF(AND(A7&gt;Inputs!$D$8,A7&lt;=Inputs!$D$8+Inputs!$D$24),-PMT(Inputs!$D$23,Inputs!$D$24,SUM(B$2:B$22)*Inputs!$D$22),0)</f>
        <v>150548.26117237465</v>
      </c>
      <c r="N7" s="7">
        <f>MAX(0,N6*(1+IF(M7&gt;0,Inputs!$D$23,0))+L7-M7)</f>
        <v>1754232.8424289138</v>
      </c>
      <c r="O7" s="7">
        <f>H7+L7-M7-IF(A7=20,N7,0)</f>
        <v>-27332.11130173465</v>
      </c>
      <c r="P7" s="7">
        <f>IF(M7&gt;0,(E7-F7)/M7,0)</f>
        <v>0.8184495052357997</v>
      </c>
      <c r="Q7" s="9">
        <f>J7-SUM(G$2:G7)</f>
        <v>-3241442.8565973598</v>
      </c>
      <c r="R7" s="9">
        <f>H7-(E7-F7-B7+G7)</f>
        <v>0</v>
      </c>
    </row>
    <row r="8">
      <c r="A8" s="2" t="n">
        <v>6</v>
      </c>
      <c r="B8" s="7">
        <f>IF(A8=0,Inputs!$D$3*(1+Inputs!$D$4),IF(A8&lt;=Inputs!$D$8,Inputs!$D$5*(1+Inputs!$D$6)*(1+Inputs!$D$7)/Inputs!$D$8,0))</f>
        <v>0</v>
      </c>
      <c r="C8" s="7">
        <f>IF(A8&gt;Inputs!$D$8,Inputs!$D$2*12*MIN(Inputs!$D$9*(1+Inputs!$D$11)^(A8-Inputs!$D$8-1),Inputs!$D$10*(1+Inputs!$D$12)^(A8-Inputs!$D$8-1))*Inputs!$D$13*(1-Inputs!$D$14),0)</f>
        <v>208984.96064476797</v>
      </c>
      <c r="D8" s="7">
        <f>IF(C8&gt;0,Inputs!$D$15*(1+Inputs!$D$17)^(A8-Inputs!$D$8-1)+C8*Inputs!$D$16,0)</f>
        <v>70315.30185671519</v>
      </c>
      <c r="E8" s="7">
        <f>C8-D8</f>
        <v>138669.6587880528</v>
      </c>
      <c r="F8" s="7">
        <f>IF(C8&gt;0,Inputs!$D$2*Inputs!$D$18*(1+Inputs!$D$17)^(A8-Inputs!$D$8-1),0)</f>
        <v>12989.18592</v>
      </c>
      <c r="G8" s="7">
        <f>IF(A8=20,MAX(0,(Inputs!$D$2*12*MIN(Inputs!$D$9*(1+Inputs!$D$11)^(20-Inputs!$D$8),Inputs!$D$10*(1+Inputs!$D$12)^(20-Inputs!$D$8))*Inputs!$D$13*(1-Inputs!$D$14))*(1-Inputs!$D$16)-Inputs!$D$15*(1+Inputs!$D$17)^(20-Inputs!$D$8))/Inputs!$D$19*(1-Inputs!$D$20),0)</f>
        <v>0</v>
      </c>
      <c r="H8" s="7">
        <f>E8-F8-B8+G8</f>
        <v>125680.47286805279</v>
      </c>
      <c r="I8" s="7">
        <f>H8/(1+Inputs!$D$21)^A8</f>
        <v>86133.11612327093</v>
      </c>
      <c r="J8" s="7">
        <f>SUM(H$2:H8)</f>
        <v>-3115762.383729307</v>
      </c>
      <c r="K8" s="7">
        <f>SUM(I$2:I8)</f>
        <v>-3148916.516321528</v>
      </c>
      <c r="L8" s="7">
        <f>IF(A8=Inputs!$D$8,SUM(B$2:B$22)*Inputs!$D$22,0)</f>
        <v>0</v>
      </c>
      <c r="M8" s="7">
        <f>IF(AND(A8&gt;Inputs!$D$8,A8&lt;=Inputs!$D$8+Inputs!$D$24),-PMT(Inputs!$D$23,Inputs!$D$24,SUM(B$2:B$22)*Inputs!$D$22),0)</f>
        <v>150548.26117237465</v>
      </c>
      <c r="N8" s="7">
        <f>MAX(0,N7*(1+IF(M8&gt;0,Inputs!$D$23,0))+L8-M8)</f>
        <v>1673853.8949536958</v>
      </c>
      <c r="O8" s="7">
        <f>H8+L8-M8-IF(A8=20,N8,0)</f>
        <v>-24867.78830432186</v>
      </c>
      <c r="P8" s="7">
        <f>IF(M8&gt;0,(E8-F8)/M8,0)</f>
        <v>0.8348184953405157</v>
      </c>
      <c r="Q8" s="9">
        <f>J8-SUM(G$2:G8)</f>
        <v>-3115762.383729307</v>
      </c>
      <c r="R8" s="9">
        <f>H8-(E8-F8-B8+G8)</f>
        <v>0</v>
      </c>
    </row>
    <row r="9">
      <c r="A9" s="2" t="n">
        <v>7</v>
      </c>
      <c r="B9" s="7">
        <f>IF(A9=0,Inputs!$D$3*(1+Inputs!$D$4),IF(A9&lt;=Inputs!$D$8,Inputs!$D$5*(1+Inputs!$D$6)*(1+Inputs!$D$7)/Inputs!$D$8,0))</f>
        <v>0</v>
      </c>
      <c r="C9" s="7">
        <f>IF(A9&gt;Inputs!$D$8,Inputs!$D$2*12*MIN(Inputs!$D$9*(1+Inputs!$D$11)^(A9-Inputs!$D$8-1),Inputs!$D$10*(1+Inputs!$D$12)^(A9-Inputs!$D$8-1))*Inputs!$D$13*(1-Inputs!$D$14),0)</f>
        <v>213164.65985766333</v>
      </c>
      <c r="D9" s="7">
        <f>IF(C9&gt;0,Inputs!$D$15*(1+Inputs!$D$17)^(A9-Inputs!$D$8-1)+C9*Inputs!$D$16,0)</f>
        <v>71721.60789384949</v>
      </c>
      <c r="E9" s="7">
        <f>C9-D9</f>
        <v>141443.05196381384</v>
      </c>
      <c r="F9" s="7">
        <f>IF(C9&gt;0,Inputs!$D$2*Inputs!$D$18*(1+Inputs!$D$17)^(A9-Inputs!$D$8-1),0)</f>
        <v>13248.9696384</v>
      </c>
      <c r="G9" s="7">
        <f>IF(A9=20,MAX(0,(Inputs!$D$2*12*MIN(Inputs!$D$9*(1+Inputs!$D$11)^(20-Inputs!$D$8),Inputs!$D$10*(1+Inputs!$D$12)^(20-Inputs!$D$8))*Inputs!$D$13*(1-Inputs!$D$14))*(1-Inputs!$D$16)-Inputs!$D$15*(1+Inputs!$D$17)^(20-Inputs!$D$8))/Inputs!$D$19*(1-Inputs!$D$20),0)</f>
        <v>0</v>
      </c>
      <c r="H9" s="7">
        <f>E9-F9-B9+G9</f>
        <v>128194.08232541384</v>
      </c>
      <c r="I9" s="7">
        <f>H9/(1+Inputs!$D$21)^A9</f>
        <v>82493.68868144258</v>
      </c>
      <c r="J9" s="7">
        <f>SUM(H$2:H9)</f>
        <v>-2987568.301403893</v>
      </c>
      <c r="K9" s="7">
        <f>SUM(I$2:I9)</f>
        <v>-3066422.827640085</v>
      </c>
      <c r="L9" s="7">
        <f>IF(A9=Inputs!$D$8,SUM(B$2:B$22)*Inputs!$D$22,0)</f>
        <v>0</v>
      </c>
      <c r="M9" s="7">
        <f>IF(AND(A9&gt;Inputs!$D$8,A9&lt;=Inputs!$D$8+Inputs!$D$24),-PMT(Inputs!$D$23,Inputs!$D$24,SUM(B$2:B$22)*Inputs!$D$22),0)</f>
        <v>150548.26117237465</v>
      </c>
      <c r="N9" s="7">
        <f>MAX(0,N8*(1+IF(M9&gt;0,Inputs!$D$23,0))+L9-M9)</f>
        <v>1590259.789579469</v>
      </c>
      <c r="O9" s="7">
        <f>H9+L9-M9-IF(A9=20,N9,0)</f>
        <v>-22354.178846960815</v>
      </c>
      <c r="P9" s="7">
        <f>IF(M9&gt;0,(E9-F9)/M9,0)</f>
        <v>0.851514865247326</v>
      </c>
      <c r="Q9" s="9">
        <f>J9-SUM(G$2:G9)</f>
        <v>-2987568.301403893</v>
      </c>
      <c r="R9" s="9">
        <f>H9-(E9-F9-B9+G9)</f>
        <v>0</v>
      </c>
    </row>
    <row r="10">
      <c r="A10" s="2" t="n">
        <v>8</v>
      </c>
      <c r="B10" s="7">
        <f>IF(A10=0,Inputs!$D$3*(1+Inputs!$D$4),IF(A10&lt;=Inputs!$D$8,Inputs!$D$5*(1+Inputs!$D$6)*(1+Inputs!$D$7)/Inputs!$D$8,0))</f>
        <v>0</v>
      </c>
      <c r="C10" s="7">
        <f>IF(A10&gt;Inputs!$D$8,Inputs!$D$2*12*MIN(Inputs!$D$9*(1+Inputs!$D$11)^(A10-Inputs!$D$8-1),Inputs!$D$10*(1+Inputs!$D$12)^(A10-Inputs!$D$8-1))*Inputs!$D$13*(1-Inputs!$D$14),0)</f>
        <v>217427.9530548166</v>
      </c>
      <c r="D10" s="7">
        <f>IF(C10&gt;0,Inputs!$D$15*(1+Inputs!$D$17)^(A10-Inputs!$D$8-1)+C10*Inputs!$D$16,0)</f>
        <v>73156.0400517265</v>
      </c>
      <c r="E10" s="7">
        <f>C10-D10</f>
        <v>144271.91300309013</v>
      </c>
      <c r="F10" s="7">
        <f>IF(C10&gt;0,Inputs!$D$2*Inputs!$D$18*(1+Inputs!$D$17)^(A10-Inputs!$D$8-1),0)</f>
        <v>13513.949031168</v>
      </c>
      <c r="G10" s="7">
        <f>IF(A10=20,MAX(0,(Inputs!$D$2*12*MIN(Inputs!$D$9*(1+Inputs!$D$11)^(20-Inputs!$D$8),Inputs!$D$10*(1+Inputs!$D$12)^(20-Inputs!$D$8))*Inputs!$D$13*(1-Inputs!$D$14))*(1-Inputs!$D$16)-Inputs!$D$15*(1+Inputs!$D$17)^(20-Inputs!$D$8))/Inputs!$D$19*(1-Inputs!$D$20),0)</f>
        <v>0</v>
      </c>
      <c r="H10" s="7">
        <f>E10-F10-B10+G10</f>
        <v>130757.96397192213</v>
      </c>
      <c r="I10" s="7">
        <f>H10/(1+Inputs!$D$21)^A10</f>
        <v>79008.03986391686</v>
      </c>
      <c r="J10" s="7">
        <f>SUM(H$2:H10)</f>
        <v>-2856810.337431971</v>
      </c>
      <c r="K10" s="7">
        <f>SUM(I$2:I10)</f>
        <v>-2987414.787776168</v>
      </c>
      <c r="L10" s="7">
        <f>IF(A10=Inputs!$D$8,SUM(B$2:B$22)*Inputs!$D$22,0)</f>
        <v>0</v>
      </c>
      <c r="M10" s="7">
        <f>IF(AND(A10&gt;Inputs!$D$8,A10&lt;=Inputs!$D$8+Inputs!$D$24),-PMT(Inputs!$D$23,Inputs!$D$24,SUM(B$2:B$22)*Inputs!$D$22),0)</f>
        <v>150548.26117237465</v>
      </c>
      <c r="N10" s="7">
        <f>MAX(0,N9*(1+IF(M10&gt;0,Inputs!$D$23,0))+L10-M10)</f>
        <v>1503321.9199902732</v>
      </c>
      <c r="O10" s="7">
        <f>H10+L10-M10-IF(A10=20,N10,0)</f>
        <v>-19790.29720045252</v>
      </c>
      <c r="P10" s="7">
        <f>IF(M10&gt;0,(E10-F10)/M10,0)</f>
        <v>0.8685451625522725</v>
      </c>
      <c r="Q10" s="9">
        <f>J10-SUM(G$2:G10)</f>
        <v>-2856810.337431971</v>
      </c>
      <c r="R10" s="9">
        <f>H10-(E10-F10-B10+G10)</f>
        <v>0</v>
      </c>
    </row>
    <row r="11">
      <c r="A11" s="2" t="n">
        <v>9</v>
      </c>
      <c r="B11" s="7">
        <f>IF(A11=0,Inputs!$D$3*(1+Inputs!$D$4),IF(A11&lt;=Inputs!$D$8,Inputs!$D$5*(1+Inputs!$D$6)*(1+Inputs!$D$7)/Inputs!$D$8,0))</f>
        <v>0</v>
      </c>
      <c r="C11" s="7">
        <f>IF(A11&gt;Inputs!$D$8,Inputs!$D$2*12*MIN(Inputs!$D$9*(1+Inputs!$D$11)^(A11-Inputs!$D$8-1),Inputs!$D$10*(1+Inputs!$D$12)^(A11-Inputs!$D$8-1))*Inputs!$D$13*(1-Inputs!$D$14),0)</f>
        <v>221776.51211591295</v>
      </c>
      <c r="D11" s="7">
        <f>IF(C11&gt;0,Inputs!$D$15*(1+Inputs!$D$17)^(A11-Inputs!$D$8-1)+C11*Inputs!$D$16,0)</f>
        <v>74619.16085276102</v>
      </c>
      <c r="E11" s="7">
        <f>C11-D11</f>
        <v>147157.3512631519</v>
      </c>
      <c r="F11" s="7">
        <f>IF(C11&gt;0,Inputs!$D$2*Inputs!$D$18*(1+Inputs!$D$17)^(A11-Inputs!$D$8-1),0)</f>
        <v>13784.22801179136</v>
      </c>
      <c r="G11" s="7">
        <f>IF(A11=20,MAX(0,(Inputs!$D$2*12*MIN(Inputs!$D$9*(1+Inputs!$D$11)^(20-Inputs!$D$8),Inputs!$D$10*(1+Inputs!$D$12)^(20-Inputs!$D$8))*Inputs!$D$13*(1-Inputs!$D$14))*(1-Inputs!$D$16)-Inputs!$D$15*(1+Inputs!$D$17)^(20-Inputs!$D$8))/Inputs!$D$19*(1-Inputs!$D$20),0)</f>
        <v>0</v>
      </c>
      <c r="H11" s="7">
        <f>E11-F11-B11+G11</f>
        <v>133373.12325136055</v>
      </c>
      <c r="I11" s="7">
        <f>H11/(1+Inputs!$D$21)^A11</f>
        <v>75669.67198234289</v>
      </c>
      <c r="J11" s="7">
        <f>SUM(H$2:H11)</f>
        <v>-2723437.2141806106</v>
      </c>
      <c r="K11" s="7">
        <f>SUM(I$2:I11)</f>
        <v>-2911745.115793825</v>
      </c>
      <c r="L11" s="7">
        <f>IF(A11=Inputs!$D$8,SUM(B$2:B$22)*Inputs!$D$22,0)</f>
        <v>0</v>
      </c>
      <c r="M11" s="7">
        <f>IF(AND(A11&gt;Inputs!$D$8,A11&lt;=Inputs!$D$8+Inputs!$D$24),-PMT(Inputs!$D$23,Inputs!$D$24,SUM(B$2:B$22)*Inputs!$D$22),0)</f>
        <v>150548.26117237465</v>
      </c>
      <c r="N11" s="7">
        <f>MAX(0,N10*(1+IF(M11&gt;0,Inputs!$D$23,0))+L11-M11)</f>
        <v>1412906.5356175094</v>
      </c>
      <c r="O11" s="7">
        <f>H11+L11-M11-IF(A11=20,N11,0)</f>
        <v>-17175.137921014102</v>
      </c>
      <c r="P11" s="7">
        <f>IF(M11&gt;0,(E11-F11)/M11,0)</f>
        <v>0.8859160658033179</v>
      </c>
      <c r="Q11" s="9">
        <f>J11-SUM(G$2:G11)</f>
        <v>-2723437.2141806106</v>
      </c>
      <c r="R11" s="9">
        <f>H11-(E11-F11-B11+G11)</f>
        <v>0</v>
      </c>
    </row>
    <row r="12">
      <c r="A12" s="2" t="n">
        <v>10</v>
      </c>
      <c r="B12" s="7">
        <f>IF(A12=0,Inputs!$D$3*(1+Inputs!$D$4),IF(A12&lt;=Inputs!$D$8,Inputs!$D$5*(1+Inputs!$D$6)*(1+Inputs!$D$7)/Inputs!$D$8,0))</f>
        <v>0</v>
      </c>
      <c r="C12" s="7">
        <f>IF(A12&gt;Inputs!$D$8,Inputs!$D$2*12*MIN(Inputs!$D$9*(1+Inputs!$D$11)^(A12-Inputs!$D$8-1),Inputs!$D$10*(1+Inputs!$D$12)^(A12-Inputs!$D$8-1))*Inputs!$D$13*(1-Inputs!$D$14),0)</f>
        <v>226212.04235823124</v>
      </c>
      <c r="D12" s="7">
        <f>IF(C12&gt;0,Inputs!$D$15*(1+Inputs!$D$17)^(A12-Inputs!$D$8-1)+C12*Inputs!$D$16,0)</f>
        <v>76111.54406981624</v>
      </c>
      <c r="E12" s="7">
        <f>C12-D12</f>
        <v>150100.498288415</v>
      </c>
      <c r="F12" s="7">
        <f>IF(C12&gt;0,Inputs!$D$2*Inputs!$D$18*(1+Inputs!$D$17)^(A12-Inputs!$D$8-1),0)</f>
        <v>14059.91257202719</v>
      </c>
      <c r="G12" s="7">
        <f>IF(A12=20,MAX(0,(Inputs!$D$2*12*MIN(Inputs!$D$9*(1+Inputs!$D$11)^(20-Inputs!$D$8),Inputs!$D$10*(1+Inputs!$D$12)^(20-Inputs!$D$8))*Inputs!$D$13*(1-Inputs!$D$14))*(1-Inputs!$D$16)-Inputs!$D$15*(1+Inputs!$D$17)^(20-Inputs!$D$8))/Inputs!$D$19*(1-Inputs!$D$20),0)</f>
        <v>0</v>
      </c>
      <c r="H12" s="7">
        <f>E12-F12-B12+G12</f>
        <v>136040.5857163878</v>
      </c>
      <c r="I12" s="7">
        <f>H12/(1+Inputs!$D$21)^A12</f>
        <v>72472.36189858196</v>
      </c>
      <c r="J12" s="7">
        <f>SUM(H$2:H12)</f>
        <v>-2587396.628464223</v>
      </c>
      <c r="K12" s="7">
        <f>SUM(I$2:I12)</f>
        <v>-2839272.753895243</v>
      </c>
      <c r="L12" s="7">
        <f>IF(A12=Inputs!$D$8,SUM(B$2:B$22)*Inputs!$D$22,0)</f>
        <v>0</v>
      </c>
      <c r="M12" s="7">
        <f>IF(AND(A12&gt;Inputs!$D$8,A12&lt;=Inputs!$D$8+Inputs!$D$24),-PMT(Inputs!$D$23,Inputs!$D$24,SUM(B$2:B$22)*Inputs!$D$22),0)</f>
        <v>150548.26117237465</v>
      </c>
      <c r="N12" s="7">
        <f>MAX(0,N11*(1+IF(M12&gt;0,Inputs!$D$23,0))+L12-M12)</f>
        <v>1318874.5358698352</v>
      </c>
      <c r="O12" s="7">
        <f>H12+L12-M12-IF(A12=20,N12,0)</f>
        <v>-14507.675455986842</v>
      </c>
      <c r="P12" s="7">
        <f>IF(M12&gt;0,(E12-F12)/M12,0)</f>
        <v>0.9036343871193846</v>
      </c>
      <c r="Q12" s="9">
        <f>J12-SUM(G$2:G12)</f>
        <v>-2587396.628464223</v>
      </c>
      <c r="R12" s="9">
        <f>H12-(E12-F12-B12+G12)</f>
        <v>0</v>
      </c>
    </row>
    <row r="13">
      <c r="A13" s="2" t="n">
        <v>11</v>
      </c>
      <c r="B13" s="7">
        <f>IF(A13=0,Inputs!$D$3*(1+Inputs!$D$4),IF(A13&lt;=Inputs!$D$8,Inputs!$D$5*(1+Inputs!$D$6)*(1+Inputs!$D$7)/Inputs!$D$8,0))</f>
        <v>0</v>
      </c>
      <c r="C13" s="7">
        <f>IF(A13&gt;Inputs!$D$8,Inputs!$D$2*12*MIN(Inputs!$D$9*(1+Inputs!$D$11)^(A13-Inputs!$D$8-1),Inputs!$D$10*(1+Inputs!$D$12)^(A13-Inputs!$D$8-1))*Inputs!$D$13*(1-Inputs!$D$14),0)</f>
        <v>230736.28320539586</v>
      </c>
      <c r="D13" s="7">
        <f>IF(C13&gt;0,Inputs!$D$15*(1+Inputs!$D$17)^(A13-Inputs!$D$8-1)+C13*Inputs!$D$16,0)</f>
        <v>77633.77495121257</v>
      </c>
      <c r="E13" s="7">
        <f>C13-D13</f>
        <v>153102.50825418328</v>
      </c>
      <c r="F13" s="7">
        <f>IF(C13&gt;0,Inputs!$D$2*Inputs!$D$18*(1+Inputs!$D$17)^(A13-Inputs!$D$8-1),0)</f>
        <v>14341.110823467732</v>
      </c>
      <c r="G13" s="7">
        <f>IF(A13=20,MAX(0,(Inputs!$D$2*12*MIN(Inputs!$D$9*(1+Inputs!$D$11)^(20-Inputs!$D$8),Inputs!$D$10*(1+Inputs!$D$12)^(20-Inputs!$D$8))*Inputs!$D$13*(1-Inputs!$D$14))*(1-Inputs!$D$16)-Inputs!$D$15*(1+Inputs!$D$17)^(20-Inputs!$D$8))/Inputs!$D$19*(1-Inputs!$D$20),0)</f>
        <v>0</v>
      </c>
      <c r="H13" s="7">
        <f>E13-F13-B13+G13</f>
        <v>138761.39743071556</v>
      </c>
      <c r="I13" s="7">
        <f>H13/(1+Inputs!$D$21)^A13</f>
        <v>69410.14942399398</v>
      </c>
      <c r="J13" s="7">
        <f>SUM(H$2:H13)</f>
        <v>-2448635.2310335073</v>
      </c>
      <c r="K13" s="7">
        <f>SUM(I$2:I13)</f>
        <v>-2769862.604471249</v>
      </c>
      <c r="L13" s="7">
        <f>IF(A13=Inputs!$D$8,SUM(B$2:B$22)*Inputs!$D$22,0)</f>
        <v>0</v>
      </c>
      <c r="M13" s="7">
        <f>IF(AND(A13&gt;Inputs!$D$8,A13&lt;=Inputs!$D$8+Inputs!$D$24),-PMT(Inputs!$D$23,Inputs!$D$24,SUM(B$2:B$22)*Inputs!$D$22),0)</f>
        <v>150548.26117237465</v>
      </c>
      <c r="N13" s="7">
        <f>MAX(0,N12*(1+IF(M13&gt;0,Inputs!$D$23,0))+L13-M13)</f>
        <v>1221081.256132254</v>
      </c>
      <c r="O13" s="7">
        <f>H13+L13-M13-IF(A13=20,N13,0)</f>
        <v>-11786.863741659094</v>
      </c>
      <c r="P13" s="7">
        <f>IF(M13&gt;0,(E13-F13)/M13,0)</f>
        <v>0.9217070748617722</v>
      </c>
      <c r="Q13" s="9">
        <f>J13-SUM(G$2:G13)</f>
        <v>-2448635.2310335073</v>
      </c>
      <c r="R13" s="9">
        <f>H13-(E13-F13-B13+G13)</f>
        <v>0</v>
      </c>
    </row>
    <row r="14">
      <c r="A14" s="2" t="n">
        <v>12</v>
      </c>
      <c r="B14" s="7">
        <f>IF(A14=0,Inputs!$D$3*(1+Inputs!$D$4),IF(A14&lt;=Inputs!$D$8,Inputs!$D$5*(1+Inputs!$D$6)*(1+Inputs!$D$7)/Inputs!$D$8,0))</f>
        <v>0</v>
      </c>
      <c r="C14" s="7">
        <f>IF(A14&gt;Inputs!$D$8,Inputs!$D$2*12*MIN(Inputs!$D$9*(1+Inputs!$D$11)^(A14-Inputs!$D$8-1),Inputs!$D$10*(1+Inputs!$D$12)^(A14-Inputs!$D$8-1))*Inputs!$D$13*(1-Inputs!$D$14),0)</f>
        <v>235351.0088695038</v>
      </c>
      <c r="D14" s="7">
        <f>IF(C14&gt;0,Inputs!$D$15*(1+Inputs!$D$17)^(A14-Inputs!$D$8-1)+C14*Inputs!$D$16,0)</f>
        <v>79186.45045023684</v>
      </c>
      <c r="E14" s="7">
        <f>C14-D14</f>
        <v>156164.55841926695</v>
      </c>
      <c r="F14" s="7">
        <f>IF(C14&gt;0,Inputs!$D$2*Inputs!$D$18*(1+Inputs!$D$17)^(A14-Inputs!$D$8-1),0)</f>
        <v>14627.933039937088</v>
      </c>
      <c r="G14" s="7">
        <f>IF(A14=20,MAX(0,(Inputs!$D$2*12*MIN(Inputs!$D$9*(1+Inputs!$D$11)^(20-Inputs!$D$8),Inputs!$D$10*(1+Inputs!$D$12)^(20-Inputs!$D$8))*Inputs!$D$13*(1-Inputs!$D$14))*(1-Inputs!$D$16)-Inputs!$D$15*(1+Inputs!$D$17)^(20-Inputs!$D$8))/Inputs!$D$19*(1-Inputs!$D$20),0)</f>
        <v>0</v>
      </c>
      <c r="H14" s="7">
        <f>E14-F14-B14+G14</f>
        <v>141536.62537932987</v>
      </c>
      <c r="I14" s="7">
        <f>H14/(1+Inputs!$D$21)^A14</f>
        <v>66477.32620889565</v>
      </c>
      <c r="J14" s="7">
        <f>SUM(H$2:H14)</f>
        <v>-2307098.6056541773</v>
      </c>
      <c r="K14" s="7">
        <f>SUM(I$2:I14)</f>
        <v>-2703385.2782623535</v>
      </c>
      <c r="L14" s="7">
        <f>IF(A14=Inputs!$D$8,SUM(B$2:B$22)*Inputs!$D$22,0)</f>
        <v>0</v>
      </c>
      <c r="M14" s="7">
        <f>IF(AND(A14&gt;Inputs!$D$8,A14&lt;=Inputs!$D$8+Inputs!$D$24),-PMT(Inputs!$D$23,Inputs!$D$24,SUM(B$2:B$22)*Inputs!$D$22),0)</f>
        <v>150548.26117237465</v>
      </c>
      <c r="N14" s="7">
        <f>MAX(0,N13*(1+IF(M14&gt;0,Inputs!$D$23,0))+L14-M14)</f>
        <v>1119376.2452051693</v>
      </c>
      <c r="O14" s="7">
        <f>H14+L14-M14-IF(A14=20,N14,0)</f>
        <v>-9011.635793044785</v>
      </c>
      <c r="P14" s="7">
        <f>IF(M14&gt;0,(E14-F14)/M14,0)</f>
        <v>0.9401412163590076</v>
      </c>
      <c r="Q14" s="9">
        <f>J14-SUM(G$2:G14)</f>
        <v>-2307098.6056541773</v>
      </c>
      <c r="R14" s="9">
        <f>H14-(E14-F14-B14+G14)</f>
        <v>0</v>
      </c>
    </row>
    <row r="15">
      <c r="A15" s="2" t="n">
        <v>13</v>
      </c>
      <c r="B15" s="7">
        <f>IF(A15=0,Inputs!$D$3*(1+Inputs!$D$4),IF(A15&lt;=Inputs!$D$8,Inputs!$D$5*(1+Inputs!$D$6)*(1+Inputs!$D$7)/Inputs!$D$8,0))</f>
        <v>0</v>
      </c>
      <c r="C15" s="7">
        <f>IF(A15&gt;Inputs!$D$8,Inputs!$D$2*12*MIN(Inputs!$D$9*(1+Inputs!$D$11)^(A15-Inputs!$D$8-1),Inputs!$D$10*(1+Inputs!$D$12)^(A15-Inputs!$D$8-1))*Inputs!$D$13*(1-Inputs!$D$14),0)</f>
        <v>240058.02904689385</v>
      </c>
      <c r="D15" s="7">
        <f>IF(C15&gt;0,Inputs!$D$15*(1+Inputs!$D$17)^(A15-Inputs!$D$8-1)+C15*Inputs!$D$16,0)</f>
        <v>80770.17945924157</v>
      </c>
      <c r="E15" s="7">
        <f>C15-D15</f>
        <v>159287.84958765228</v>
      </c>
      <c r="F15" s="7">
        <f>IF(C15&gt;0,Inputs!$D$2*Inputs!$D$18*(1+Inputs!$D$17)^(A15-Inputs!$D$8-1),0)</f>
        <v>14920.491700735829</v>
      </c>
      <c r="G15" s="7">
        <f>IF(A15=20,MAX(0,(Inputs!$D$2*12*MIN(Inputs!$D$9*(1+Inputs!$D$11)^(20-Inputs!$D$8),Inputs!$D$10*(1+Inputs!$D$12)^(20-Inputs!$D$8))*Inputs!$D$13*(1-Inputs!$D$14))*(1-Inputs!$D$16)-Inputs!$D$15*(1+Inputs!$D$17)^(20-Inputs!$D$8))/Inputs!$D$19*(1-Inputs!$D$20),0)</f>
        <v>0</v>
      </c>
      <c r="H15" s="7">
        <f>E15-F15-B15+G15</f>
        <v>144367.35788691646</v>
      </c>
      <c r="I15" s="7">
        <f>H15/(1+Inputs!$D$21)^A15</f>
        <v>63668.42510147752</v>
      </c>
      <c r="J15" s="7">
        <f>SUM(H$2:H15)</f>
        <v>-2162731.2477672608</v>
      </c>
      <c r="K15" s="7">
        <f>SUM(I$2:I15)</f>
        <v>-2639716.853160876</v>
      </c>
      <c r="L15" s="7">
        <f>IF(A15=Inputs!$D$8,SUM(B$2:B$22)*Inputs!$D$22,0)</f>
        <v>0</v>
      </c>
      <c r="M15" s="7">
        <f>IF(AND(A15&gt;Inputs!$D$8,A15&lt;=Inputs!$D$8+Inputs!$D$24),-PMT(Inputs!$D$23,Inputs!$D$24,SUM(B$2:B$22)*Inputs!$D$22),0)</f>
        <v>150548.26117237465</v>
      </c>
      <c r="N15" s="7">
        <f>MAX(0,N14*(1+IF(M15&gt;0,Inputs!$D$23,0))+L15-M15)</f>
        <v>1013603.0338410013</v>
      </c>
      <c r="O15" s="7">
        <f>H15+L15-M15-IF(A15=20,N15,0)</f>
        <v>-6180.903285458189</v>
      </c>
      <c r="P15" s="7">
        <f>IF(M15&gt;0,(E15-F15)/M15,0)</f>
        <v>0.9589440406861878</v>
      </c>
      <c r="Q15" s="9">
        <f>J15-SUM(G$2:G15)</f>
        <v>-2162731.2477672608</v>
      </c>
      <c r="R15" s="9">
        <f>H15-(E15-F15-B15+G15)</f>
        <v>0</v>
      </c>
    </row>
    <row r="16">
      <c r="A16" s="2" t="n">
        <v>14</v>
      </c>
      <c r="B16" s="7">
        <f>IF(A16=0,Inputs!$D$3*(1+Inputs!$D$4),IF(A16&lt;=Inputs!$D$8,Inputs!$D$5*(1+Inputs!$D$6)*(1+Inputs!$D$7)/Inputs!$D$8,0))</f>
        <v>0</v>
      </c>
      <c r="C16" s="7">
        <f>IF(A16&gt;Inputs!$D$8,Inputs!$D$2*12*MIN(Inputs!$D$9*(1+Inputs!$D$11)^(A16-Inputs!$D$8-1),Inputs!$D$10*(1+Inputs!$D$12)^(A16-Inputs!$D$8-1))*Inputs!$D$13*(1-Inputs!$D$14),0)</f>
        <v>244859.18962783174</v>
      </c>
      <c r="D16" s="7">
        <f>IF(C16&gt;0,Inputs!$D$15*(1+Inputs!$D$17)^(A16-Inputs!$D$8-1)+C16*Inputs!$D$16,0)</f>
        <v>82385.5830484264</v>
      </c>
      <c r="E16" s="7">
        <f>C16-D16</f>
        <v>162473.60657940534</v>
      </c>
      <c r="F16" s="7">
        <f>IF(C16&gt;0,Inputs!$D$2*Inputs!$D$18*(1+Inputs!$D$17)^(A16-Inputs!$D$8-1),0)</f>
        <v>15218.901534750546</v>
      </c>
      <c r="G16" s="7">
        <f>IF(A16=20,MAX(0,(Inputs!$D$2*12*MIN(Inputs!$D$9*(1+Inputs!$D$11)^(20-Inputs!$D$8),Inputs!$D$10*(1+Inputs!$D$12)^(20-Inputs!$D$8))*Inputs!$D$13*(1-Inputs!$D$14))*(1-Inputs!$D$16)-Inputs!$D$15*(1+Inputs!$D$17)^(20-Inputs!$D$8))/Inputs!$D$19*(1-Inputs!$D$20),0)</f>
        <v>0</v>
      </c>
      <c r="H16" s="7">
        <f>E16-F16-B16+G16</f>
        <v>147254.7050446548</v>
      </c>
      <c r="I16" s="7">
        <f>H16/(1+Inputs!$D$21)^A16</f>
        <v>60978.20995634468</v>
      </c>
      <c r="J16" s="7">
        <f>SUM(H$2:H16)</f>
        <v>-2015476.5427226059</v>
      </c>
      <c r="K16" s="7">
        <f>SUM(I$2:I16)</f>
        <v>-2578738.643204531</v>
      </c>
      <c r="L16" s="7">
        <f>IF(A16=Inputs!$D$8,SUM(B$2:B$22)*Inputs!$D$22,0)</f>
        <v>0</v>
      </c>
      <c r="M16" s="7">
        <f>IF(AND(A16&gt;Inputs!$D$8,A16&lt;=Inputs!$D$8+Inputs!$D$24),-PMT(Inputs!$D$23,Inputs!$D$24,SUM(B$2:B$22)*Inputs!$D$22),0)</f>
        <v>150548.26117237465</v>
      </c>
      <c r="N16" s="7">
        <f>MAX(0,N15*(1+IF(M16&gt;0,Inputs!$D$23,0))+L16-M16)</f>
        <v>903598.8940222666</v>
      </c>
      <c r="O16" s="7">
        <f>H16+L16-M16-IF(A16=20,N16,0)</f>
        <v>-3293.556127719843</v>
      </c>
      <c r="P16" s="7">
        <f>IF(M16&gt;0,(E16-F16)/M16,0)</f>
        <v>0.9781229214999116</v>
      </c>
      <c r="Q16" s="9">
        <f>J16-SUM(G$2:G16)</f>
        <v>-2015476.5427226059</v>
      </c>
      <c r="R16" s="9">
        <f>H16-(E16-F16-B16+G16)</f>
        <v>0</v>
      </c>
    </row>
    <row r="17">
      <c r="A17" s="2" t="n">
        <v>15</v>
      </c>
      <c r="B17" s="7">
        <f>IF(A17=0,Inputs!$D$3*(1+Inputs!$D$4),IF(A17&lt;=Inputs!$D$8,Inputs!$D$5*(1+Inputs!$D$6)*(1+Inputs!$D$7)/Inputs!$D$8,0))</f>
        <v>0</v>
      </c>
      <c r="C17" s="7">
        <f>IF(A17&gt;Inputs!$D$8,Inputs!$D$2*12*MIN(Inputs!$D$9*(1+Inputs!$D$11)^(A17-Inputs!$D$8-1),Inputs!$D$10*(1+Inputs!$D$12)^(A17-Inputs!$D$8-1))*Inputs!$D$13*(1-Inputs!$D$14),0)</f>
        <v>249756.37342038838</v>
      </c>
      <c r="D17" s="7">
        <f>IF(C17&gt;0,Inputs!$D$15*(1+Inputs!$D$17)^(A17-Inputs!$D$8-1)+C17*Inputs!$D$16,0)</f>
        <v>84033.29470939492</v>
      </c>
      <c r="E17" s="7">
        <f>C17-D17</f>
        <v>165723.07871099346</v>
      </c>
      <c r="F17" s="7">
        <f>IF(C17&gt;0,Inputs!$D$2*Inputs!$D$18*(1+Inputs!$D$17)^(A17-Inputs!$D$8-1),0)</f>
        <v>15523.279565445559</v>
      </c>
      <c r="G17" s="7">
        <f>IF(A17=20,MAX(0,(Inputs!$D$2*12*MIN(Inputs!$D$9*(1+Inputs!$D$11)^(20-Inputs!$D$8),Inputs!$D$10*(1+Inputs!$D$12)^(20-Inputs!$D$8))*Inputs!$D$13*(1-Inputs!$D$14))*(1-Inputs!$D$16)-Inputs!$D$15*(1+Inputs!$D$17)^(20-Inputs!$D$8))/Inputs!$D$19*(1-Inputs!$D$20),0)</f>
        <v>0</v>
      </c>
      <c r="H17" s="7">
        <f>E17-F17-B17+G17</f>
        <v>150199.7991455479</v>
      </c>
      <c r="I17" s="7">
        <f>H17/(1+Inputs!$D$21)^A17</f>
        <v>58401.665873682236</v>
      </c>
      <c r="J17" s="7">
        <f>SUM(H$2:H17)</f>
        <v>-1865276.743577058</v>
      </c>
      <c r="K17" s="7">
        <f>SUM(I$2:I17)</f>
        <v>-2520336.977330849</v>
      </c>
      <c r="L17" s="7">
        <f>IF(A17=Inputs!$D$8,SUM(B$2:B$22)*Inputs!$D$22,0)</f>
        <v>0</v>
      </c>
      <c r="M17" s="7">
        <f>IF(AND(A17&gt;Inputs!$D$8,A17&lt;=Inputs!$D$8+Inputs!$D$24),-PMT(Inputs!$D$23,Inputs!$D$24,SUM(B$2:B$22)*Inputs!$D$22),0)</f>
        <v>150548.26117237465</v>
      </c>
      <c r="N17" s="7">
        <f>MAX(0,N16*(1+IF(M17&gt;0,Inputs!$D$23,0))+L17-M17)</f>
        <v>789194.5886107828</v>
      </c>
      <c r="O17" s="7">
        <f>H17+L17-M17-IF(A17=20,N17,0)</f>
        <v>-348.4620268267463</v>
      </c>
      <c r="P17" s="7">
        <f>IF(M17&gt;0,(E17-F17)/M17,0)</f>
        <v>0.9976853799299099</v>
      </c>
      <c r="Q17" s="9">
        <f>J17-SUM(G$2:G17)</f>
        <v>-1865276.743577058</v>
      </c>
      <c r="R17" s="9">
        <f>H17-(E17-F17-B17+G17)</f>
        <v>0</v>
      </c>
    </row>
    <row r="18">
      <c r="A18" s="2" t="n">
        <v>16</v>
      </c>
      <c r="B18" s="7">
        <f>IF(A18=0,Inputs!$D$3*(1+Inputs!$D$4),IF(A18&lt;=Inputs!$D$8,Inputs!$D$5*(1+Inputs!$D$6)*(1+Inputs!$D$7)/Inputs!$D$8,0))</f>
        <v>0</v>
      </c>
      <c r="C18" s="7">
        <f>IF(A18&gt;Inputs!$D$8,Inputs!$D$2*12*MIN(Inputs!$D$9*(1+Inputs!$D$11)^(A18-Inputs!$D$8-1),Inputs!$D$10*(1+Inputs!$D$12)^(A18-Inputs!$D$8-1))*Inputs!$D$13*(1-Inputs!$D$14),0)</f>
        <v>254751.50088879614</v>
      </c>
      <c r="D18" s="7">
        <f>IF(C18&gt;0,Inputs!$D$15*(1+Inputs!$D$17)^(A18-Inputs!$D$8-1)+C18*Inputs!$D$16,0)</f>
        <v>85713.96060358282</v>
      </c>
      <c r="E18" s="7">
        <f>C18-D18</f>
        <v>169037.54028521333</v>
      </c>
      <c r="F18" s="7">
        <f>IF(C18&gt;0,Inputs!$D$2*Inputs!$D$18*(1+Inputs!$D$17)^(A18-Inputs!$D$8-1),0)</f>
        <v>15833.745156754469</v>
      </c>
      <c r="G18" s="7">
        <f>IF(A18=20,MAX(0,(Inputs!$D$2*12*MIN(Inputs!$D$9*(1+Inputs!$D$11)^(20-Inputs!$D$8),Inputs!$D$10*(1+Inputs!$D$12)^(20-Inputs!$D$8))*Inputs!$D$13*(1-Inputs!$D$14))*(1-Inputs!$D$16)-Inputs!$D$15*(1+Inputs!$D$17)^(20-Inputs!$D$8))/Inputs!$D$19*(1-Inputs!$D$20),0)</f>
        <v>0</v>
      </c>
      <c r="H18" s="7">
        <f>E18-F18-B18+G18</f>
        <v>153203.79512845885</v>
      </c>
      <c r="I18" s="7">
        <f>H18/(1+Inputs!$D$21)^A18</f>
        <v>55933.98985085059</v>
      </c>
      <c r="J18" s="7">
        <f>SUM(H$2:H18)</f>
        <v>-1712072.948448599</v>
      </c>
      <c r="K18" s="7">
        <f>SUM(I$2:I18)</f>
        <v>-2464402.9874799983</v>
      </c>
      <c r="L18" s="7">
        <f>IF(A18=Inputs!$D$8,SUM(B$2:B$22)*Inputs!$D$22,0)</f>
        <v>0</v>
      </c>
      <c r="M18" s="7">
        <f>IF(AND(A18&gt;Inputs!$D$8,A18&lt;=Inputs!$D$8+Inputs!$D$24),-PMT(Inputs!$D$23,Inputs!$D$24,SUM(B$2:B$22)*Inputs!$D$22),0)</f>
        <v>150548.26117237465</v>
      </c>
      <c r="N18" s="7">
        <f>MAX(0,N17*(1+IF(M18&gt;0,Inputs!$D$23,0))+L18-M18)</f>
        <v>670214.1109828395</v>
      </c>
      <c r="O18" s="7">
        <f>H18+L18-M18-IF(A18=20,N18,0)</f>
        <v>2655.5339560841967</v>
      </c>
      <c r="P18" s="7">
        <f>IF(M18&gt;0,(E18-F18)/M18,0)</f>
        <v>1.017639087528508</v>
      </c>
      <c r="Q18" s="9">
        <f>J18-SUM(G$2:G18)</f>
        <v>-1712072.948448599</v>
      </c>
      <c r="R18" s="9">
        <f>H18-(E18-F18-B18+G18)</f>
        <v>0</v>
      </c>
    </row>
    <row r="19">
      <c r="A19" s="2" t="n">
        <v>17</v>
      </c>
      <c r="B19" s="7">
        <f>IF(A19=0,Inputs!$D$3*(1+Inputs!$D$4),IF(A19&lt;=Inputs!$D$8,Inputs!$D$5*(1+Inputs!$D$6)*(1+Inputs!$D$7)/Inputs!$D$8,0))</f>
        <v>0</v>
      </c>
      <c r="C19" s="7">
        <f>IF(A19&gt;Inputs!$D$8,Inputs!$D$2*12*MIN(Inputs!$D$9*(1+Inputs!$D$11)^(A19-Inputs!$D$8-1),Inputs!$D$10*(1+Inputs!$D$12)^(A19-Inputs!$D$8-1))*Inputs!$D$13*(1-Inputs!$D$14),0)</f>
        <v>259846.53090657206</v>
      </c>
      <c r="D19" s="7">
        <f>IF(C19&gt;0,Inputs!$D$15*(1+Inputs!$D$17)^(A19-Inputs!$D$8-1)+C19*Inputs!$D$16,0)</f>
        <v>87428.2398156545</v>
      </c>
      <c r="E19" s="7">
        <f>C19-D19</f>
        <v>172418.29109091757</v>
      </c>
      <c r="F19" s="7">
        <f>IF(C19&gt;0,Inputs!$D$2*Inputs!$D$18*(1+Inputs!$D$17)^(A19-Inputs!$D$8-1),0)</f>
        <v>16150.420059889559</v>
      </c>
      <c r="G19" s="7">
        <f>IF(A19=20,MAX(0,(Inputs!$D$2*12*MIN(Inputs!$D$9*(1+Inputs!$D$11)^(20-Inputs!$D$8),Inputs!$D$10*(1+Inputs!$D$12)^(20-Inputs!$D$8))*Inputs!$D$13*(1-Inputs!$D$14))*(1-Inputs!$D$16)-Inputs!$D$15*(1+Inputs!$D$17)^(20-Inputs!$D$8))/Inputs!$D$19*(1-Inputs!$D$20),0)</f>
        <v>0</v>
      </c>
      <c r="H19" s="7">
        <f>E19-F19-B19+G19</f>
        <v>156267.87103102801</v>
      </c>
      <c r="I19" s="7">
        <f>H19/(1+Inputs!$D$21)^A19</f>
        <v>53570.58182898366</v>
      </c>
      <c r="J19" s="7">
        <f>SUM(H$2:H19)</f>
        <v>-1555805.077417571</v>
      </c>
      <c r="K19" s="7">
        <f>SUM(I$2:I19)</f>
        <v>-2410832.4056510148</v>
      </c>
      <c r="L19" s="7">
        <f>IF(A19=Inputs!$D$8,SUM(B$2:B$22)*Inputs!$D$22,0)</f>
        <v>0</v>
      </c>
      <c r="M19" s="7">
        <f>IF(AND(A19&gt;Inputs!$D$8,A19&lt;=Inputs!$D$8+Inputs!$D$24),-PMT(Inputs!$D$23,Inputs!$D$24,SUM(B$2:B$22)*Inputs!$D$22),0)</f>
        <v>150548.26117237465</v>
      </c>
      <c r="N19" s="7">
        <f>MAX(0,N18*(1+IF(M19&gt;0,Inputs!$D$23,0))+L19-M19)</f>
        <v>546474.4142497785</v>
      </c>
      <c r="O19" s="7">
        <f>H19+L19-M19-IF(A19=20,N19,0)</f>
        <v>5719.609858653363</v>
      </c>
      <c r="P19" s="7">
        <f>IF(M19&gt;0,(E19-F19)/M19,0)</f>
        <v>1.0379918692790782</v>
      </c>
      <c r="Q19" s="9">
        <f>J19-SUM(G$2:G19)</f>
        <v>-1555805.077417571</v>
      </c>
      <c r="R19" s="9">
        <f>H19-(E19-F19-B19+G19)</f>
        <v>0</v>
      </c>
    </row>
    <row r="20">
      <c r="A20" s="2" t="n">
        <v>18</v>
      </c>
      <c r="B20" s="7">
        <f>IF(A20=0,Inputs!$D$3*(1+Inputs!$D$4),IF(A20&lt;=Inputs!$D$8,Inputs!$D$5*(1+Inputs!$D$6)*(1+Inputs!$D$7)/Inputs!$D$8,0))</f>
        <v>0</v>
      </c>
      <c r="C20" s="7">
        <f>IF(A20&gt;Inputs!$D$8,Inputs!$D$2*12*MIN(Inputs!$D$9*(1+Inputs!$D$11)^(A20-Inputs!$D$8-1),Inputs!$D$10*(1+Inputs!$D$12)^(A20-Inputs!$D$8-1))*Inputs!$D$13*(1-Inputs!$D$14),0)</f>
        <v>265043.4615247035</v>
      </c>
      <c r="D20" s="7">
        <f>IF(C20&gt;0,Inputs!$D$15*(1+Inputs!$D$17)^(A20-Inputs!$D$8-1)+C20*Inputs!$D$16,0)</f>
        <v>89176.80461196757</v>
      </c>
      <c r="E20" s="7">
        <f>C20-D20</f>
        <v>175866.6569127359</v>
      </c>
      <c r="F20" s="7">
        <f>IF(C20&gt;0,Inputs!$D$2*Inputs!$D$18*(1+Inputs!$D$17)^(A20-Inputs!$D$8-1),0)</f>
        <v>16473.42846108735</v>
      </c>
      <c r="G20" s="7">
        <f>IF(A20=20,MAX(0,(Inputs!$D$2*12*MIN(Inputs!$D$9*(1+Inputs!$D$11)^(20-Inputs!$D$8),Inputs!$D$10*(1+Inputs!$D$12)^(20-Inputs!$D$8))*Inputs!$D$13*(1-Inputs!$D$14))*(1-Inputs!$D$16)-Inputs!$D$15*(1+Inputs!$D$17)^(20-Inputs!$D$8))/Inputs!$D$19*(1-Inputs!$D$20),0)</f>
        <v>0</v>
      </c>
      <c r="H20" s="7">
        <f>E20-F20-B20+G20</f>
        <v>159393.22845164855</v>
      </c>
      <c r="I20" s="7">
        <f>H20/(1+Inputs!$D$21)^A20</f>
        <v>51307.036117899836</v>
      </c>
      <c r="J20" s="7">
        <f>SUM(H$2:H20)</f>
        <v>-1396411.8489659226</v>
      </c>
      <c r="K20" s="7">
        <f>SUM(I$2:I20)</f>
        <v>-2359525.369533115</v>
      </c>
      <c r="L20" s="7">
        <f>IF(A20=Inputs!$D$8,SUM(B$2:B$22)*Inputs!$D$22,0)</f>
        <v>0</v>
      </c>
      <c r="M20" s="7">
        <f>IF(AND(A20&gt;Inputs!$D$8,A20&lt;=Inputs!$D$8+Inputs!$D$24),-PMT(Inputs!$D$23,Inputs!$D$24,SUM(B$2:B$22)*Inputs!$D$22),0)</f>
        <v>150548.26117237465</v>
      </c>
      <c r="N20" s="7">
        <f>MAX(0,N19*(1+IF(M20&gt;0,Inputs!$D$23,0))+L20-M20)</f>
        <v>417785.12964739505</v>
      </c>
      <c r="O20" s="7">
        <f>H20+L20-M20-IF(A20=20,N20,0)</f>
        <v>8844.9672792739</v>
      </c>
      <c r="P20" s="7">
        <f>IF(M20&gt;0,(E20-F20)/M20,0)</f>
        <v>1.0587517066646595</v>
      </c>
      <c r="Q20" s="9">
        <f>J20-SUM(G$2:G20)</f>
        <v>-1396411.8489659226</v>
      </c>
      <c r="R20" s="9">
        <f>H20-(E20-F20-B20+G20)</f>
        <v>0</v>
      </c>
    </row>
    <row r="21">
      <c r="A21" s="2" t="n">
        <v>19</v>
      </c>
      <c r="B21" s="7">
        <f>IF(A21=0,Inputs!$D$3*(1+Inputs!$D$4),IF(A21&lt;=Inputs!$D$8,Inputs!$D$5*(1+Inputs!$D$6)*(1+Inputs!$D$7)/Inputs!$D$8,0))</f>
        <v>0</v>
      </c>
      <c r="C21" s="7">
        <f>IF(A21&gt;Inputs!$D$8,Inputs!$D$2*12*MIN(Inputs!$D$9*(1+Inputs!$D$11)^(A21-Inputs!$D$8-1),Inputs!$D$10*(1+Inputs!$D$12)^(A21-Inputs!$D$8-1))*Inputs!$D$13*(1-Inputs!$D$14),0)</f>
        <v>270344.33075519756</v>
      </c>
      <c r="D21" s="7">
        <f>IF(C21&gt;0,Inputs!$D$15*(1+Inputs!$D$17)^(A21-Inputs!$D$8-1)+C21*Inputs!$D$16,0)</f>
        <v>90960.34070420693</v>
      </c>
      <c r="E21" s="7">
        <f>C21-D21</f>
        <v>179383.99005099063</v>
      </c>
      <c r="F21" s="7">
        <f>IF(C21&gt;0,Inputs!$D$2*Inputs!$D$18*(1+Inputs!$D$17)^(A21-Inputs!$D$8-1),0)</f>
        <v>16802.897030309097</v>
      </c>
      <c r="G21" s="7">
        <f>IF(A21=20,MAX(0,(Inputs!$D$2*12*MIN(Inputs!$D$9*(1+Inputs!$D$11)^(20-Inputs!$D$8),Inputs!$D$10*(1+Inputs!$D$12)^(20-Inputs!$D$8))*Inputs!$D$13*(1-Inputs!$D$14))*(1-Inputs!$D$16)-Inputs!$D$15*(1+Inputs!$D$17)^(20-Inputs!$D$8))/Inputs!$D$19*(1-Inputs!$D$20),0)</f>
        <v>0</v>
      </c>
      <c r="H21" s="7">
        <f>E21-F21-B21+G21</f>
        <v>162581.09302068152</v>
      </c>
      <c r="I21" s="7">
        <f>H21/(1+Inputs!$D$21)^A21</f>
        <v>49139.133183340695</v>
      </c>
      <c r="J21" s="7">
        <f>SUM(H$2:H21)</f>
        <v>-1233830.755945241</v>
      </c>
      <c r="K21" s="7">
        <f>SUM(I$2:I21)</f>
        <v>-2310386.2363497745</v>
      </c>
      <c r="L21" s="7">
        <f>IF(A21=Inputs!$D$8,SUM(B$2:B$22)*Inputs!$D$22,0)</f>
        <v>0</v>
      </c>
      <c r="M21" s="7">
        <f>IF(AND(A21&gt;Inputs!$D$8,A21&lt;=Inputs!$D$8+Inputs!$D$24),-PMT(Inputs!$D$23,Inputs!$D$24,SUM(B$2:B$22)*Inputs!$D$22),0)</f>
        <v>150548.26117237465</v>
      </c>
      <c r="N21" s="7">
        <f>MAX(0,N20*(1+IF(M21&gt;0,Inputs!$D$23,0))+L21-M21)</f>
        <v>283948.2736609162</v>
      </c>
      <c r="O21" s="7">
        <f>H21+L21-M21-IF(A21=20,N21,0)</f>
        <v>12032.831848306872</v>
      </c>
      <c r="P21" s="7">
        <f>IF(M21&gt;0,(E21-F21)/M21,0)</f>
        <v>1.0799267407979527</v>
      </c>
      <c r="Q21" s="9">
        <f>J21-SUM(G$2:G21)</f>
        <v>-1233830.755945241</v>
      </c>
      <c r="R21" s="9">
        <f>H21-(E21-F21-B21+G21)</f>
        <v>0</v>
      </c>
    </row>
    <row r="22">
      <c r="A22" s="2" t="n">
        <v>20</v>
      </c>
      <c r="B22" s="7">
        <f>IF(A22=0,Inputs!$D$3*(1+Inputs!$D$4),IF(A22&lt;=Inputs!$D$8,Inputs!$D$5*(1+Inputs!$D$6)*(1+Inputs!$D$7)/Inputs!$D$8,0))</f>
        <v>0</v>
      </c>
      <c r="C22" s="7">
        <f>IF(A22&gt;Inputs!$D$8,Inputs!$D$2*12*MIN(Inputs!$D$9*(1+Inputs!$D$11)^(A22-Inputs!$D$8-1),Inputs!$D$10*(1+Inputs!$D$12)^(A22-Inputs!$D$8-1))*Inputs!$D$13*(1-Inputs!$D$14),0)</f>
        <v>275751.2173703016</v>
      </c>
      <c r="D22" s="7">
        <f>IF(C22&gt;0,Inputs!$D$15*(1+Inputs!$D$17)^(A22-Inputs!$D$8-1)+C22*Inputs!$D$16,0)</f>
        <v>92779.54751829107</v>
      </c>
      <c r="E22" s="7">
        <f>C22-D22</f>
        <v>182971.66985201053</v>
      </c>
      <c r="F22" s="7">
        <f>IF(C22&gt;0,Inputs!$D$2*Inputs!$D$18*(1+Inputs!$D$17)^(A22-Inputs!$D$8-1),0)</f>
        <v>17138.95497091528</v>
      </c>
      <c r="G22" s="7">
        <f>IF(A22=20,MAX(0,(Inputs!$D$2*12*MIN(Inputs!$D$9*(1+Inputs!$D$11)^(20-Inputs!$D$8),Inputs!$D$10*(1+Inputs!$D$12)^(20-Inputs!$D$8))*Inputs!$D$13*(1-Inputs!$D$14))*(1-Inputs!$D$16)-Inputs!$D$15*(1+Inputs!$D$17)^(20-Inputs!$D$8))/Inputs!$D$19*(1-Inputs!$D$20),0)</f>
        <v>3850494.3407172565</v>
      </c>
      <c r="H22" s="7">
        <f>E22-F22-B22+G22</f>
        <v>4016327.0555983516</v>
      </c>
      <c r="I22" s="7">
        <f>H22/(1+Inputs!$D$21)^A22</f>
        <v>1139821.6855555258</v>
      </c>
      <c r="J22" s="7">
        <f>SUM(H$2:H22)</f>
        <v>2782496.2996531106</v>
      </c>
      <c r="K22" s="7">
        <f>SUM(I$2:I22)</f>
        <v>-1170564.5507942487</v>
      </c>
      <c r="L22" s="7">
        <f>IF(A22=Inputs!$D$8,SUM(B$2:B$22)*Inputs!$D$22,0)</f>
        <v>0</v>
      </c>
      <c r="M22" s="7">
        <f>IF(AND(A22&gt;Inputs!$D$8,A22&lt;=Inputs!$D$8+Inputs!$D$24),-PMT(Inputs!$D$23,Inputs!$D$24,SUM(B$2:B$22)*Inputs!$D$22),0)</f>
        <v>150548.26117237465</v>
      </c>
      <c r="N22" s="7">
        <f>MAX(0,N21*(1+IF(M22&gt;0,Inputs!$D$23,0))+L22-M22)</f>
        <v>144757.9434349782</v>
      </c>
      <c r="O22" s="7">
        <f>H22+L22-M22-IF(A22=20,N22,0)</f>
        <v>3721020.8509909986</v>
      </c>
      <c r="P22" s="7">
        <f>IF(M22&gt;0,(E22-F22)/M22,0)</f>
        <v>1.1015252756139124</v>
      </c>
      <c r="Q22" s="9">
        <f>J22-SUM(G$2:G22)</f>
        <v>-1067998.041064146</v>
      </c>
      <c r="R22" s="9">
        <f>H22-(E22-F22-B22+G22)</f>
        <v>0</v>
      </c>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inlineStr">
        <is>
          <t>Payback uses first nonnegative cumulative end-year; includes sale at year 20 if needed.</t>
        </is>
      </c>
      <c r="B25" s="2" t="n"/>
      <c r="C25" s="2" t="n"/>
      <c r="D25" s="2" t="n"/>
      <c r="E25" s="2" t="n"/>
      <c r="F25" s="2" t="n"/>
      <c r="G25" s="2" t="n"/>
      <c r="H25" s="2" t="n"/>
      <c r="I25" s="2" t="n"/>
      <c r="J25" s="2" t="n"/>
      <c r="K25" s="2" t="n"/>
      <c r="L25" s="2" t="n"/>
      <c r="M25" s="2" t="n"/>
      <c r="N25" s="2" t="n"/>
      <c r="O25" s="2" t="n"/>
      <c r="P25" s="2" t="n"/>
      <c r="Q25" s="2" t="n"/>
      <c r="R25" s="2" t="n"/>
    </row>
    <row r="26">
      <c r="A26" s="2" t="inlineStr">
        <is>
          <t>Debt drawn at completion; bridging interest and loan fees excluded. Equity IRR is indicative.</t>
        </is>
      </c>
      <c r="B26" s="2" t="n"/>
      <c r="C26" s="2" t="n"/>
      <c r="D26" s="2" t="n"/>
      <c r="E26" s="2" t="n"/>
      <c r="F26" s="2" t="n"/>
      <c r="G26" s="2" t="n"/>
      <c r="H26" s="2" t="n"/>
      <c r="I26" s="2" t="n"/>
      <c r="J26" s="2" t="n"/>
      <c r="K26" s="2" t="n"/>
      <c r="L26" s="2" t="n"/>
      <c r="M26" s="2" t="n"/>
      <c r="N26" s="2" t="n"/>
      <c r="O26" s="2" t="n"/>
      <c r="P26" s="2" t="n"/>
      <c r="Q26" s="2" t="n"/>
      <c r="R26" s="2" t="n"/>
    </row>
  </sheetData>
  <autoFilter ref="A1:P26"/>
  <printOptions horizontalCentered="1"/>
  <pageMargins left="0.75" right="0.75" top="1" bottom="1" header="0.5" footer="0.5"/>
  <pageSetup orientation="landscape" paperSize="8" fitToHeight="0" fitToWidth="1"/>
  <drawing r:id="rId1"/>
</worksheet>
</file>

<file path=xl/worksheets/sheet7.xml><?xml version="1.0" encoding="utf-8"?>
<worksheet xmlns="http://schemas.openxmlformats.org/spreadsheetml/2006/main">
  <sheetPr>
    <tabColor rgb="007F7F7F"/>
    <outlinePr summaryBelow="1" summaryRight="1"/>
    <pageSetUpPr fitToPage="1"/>
  </sheetPr>
  <dimension ref="A1:E13"/>
  <sheetViews>
    <sheetView showGridLines="0"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36" customWidth="1" min="1" max="1"/>
    <col width="65" customWidth="1" min="2" max="2"/>
    <col width="65" customWidth="1" min="3" max="3"/>
    <col width="65" customWidth="1" min="4" max="4"/>
    <col width="65" customWidth="1" min="5" max="5"/>
  </cols>
  <sheetData>
    <row r="1" ht="32" customHeight="1">
      <c r="A1" s="8" t="inlineStr">
        <is>
          <t>Area</t>
        </is>
      </c>
      <c r="B1" s="8" t="inlineStr">
        <is>
          <t>Requirement / question</t>
        </is>
      </c>
      <c r="C1" s="8" t="inlineStr">
        <is>
          <t>Evidence needed</t>
        </is>
      </c>
      <c r="D1" s="8" t="inlineStr">
        <is>
          <t>Status</t>
        </is>
      </c>
      <c r="E1" s="8" t="inlineStr">
        <is>
          <t>Impact</t>
        </is>
      </c>
    </row>
    <row r="2" ht="82" customHeight="1">
      <c r="A2" s="2" t="inlineStr">
        <is>
          <t>Planning / permitted use</t>
        </is>
      </c>
      <c r="B2" s="2" t="inlineStr">
        <is>
          <t>Obtain title, planning history, approved plans, subdivision/change-of-use and heritage constraints.</t>
        </is>
      </c>
      <c r="C2" s="2" t="inlineStr">
        <is>
          <t>Architect + Ixelles written planning position; S3</t>
        </is>
      </c>
      <c r="D2" s="2" t="inlineStr">
        <is>
          <t>OPEN — not verified</t>
        </is>
      </c>
      <c r="E2" s="2" t="inlineStr">
        <is>
          <t>Capacity, delay, redesign and refusal risk</t>
        </is>
      </c>
    </row>
    <row r="3" ht="82" customHeight="1">
      <c r="A3" s="2" t="inlineStr">
        <is>
          <t>Housing quality</t>
        </is>
      </c>
      <c r="B3" s="2" t="inlineStr">
        <is>
          <t>Verify 2026 standards: net area, height, daylight, ventilation, sanitation, heating and electrical/gas safety.</t>
        </is>
      </c>
      <c r="C3" s="2" t="inlineStr">
        <is>
          <t>Architect room schedule and technical reports; S1/S2</t>
        </is>
      </c>
      <c r="D3" s="2" t="inlineStr">
        <is>
          <t>OPEN — not verified</t>
        </is>
      </c>
      <c r="E3" s="2" t="inlineStr">
        <is>
          <t>Room count and capex</t>
        </is>
      </c>
    </row>
    <row r="4" ht="82" customHeight="1">
      <c r="A4" s="2" t="inlineStr">
        <is>
          <t>Fire strategy</t>
        </is>
      </c>
      <c r="B4" s="2" t="inlineStr">
        <is>
          <t>Confirm evacuation, compartmentation, access, detection and any SIAMU review/certification applicable to this building.</t>
        </is>
      </c>
      <c r="C4" s="2" t="inlineStr">
        <is>
          <t>Fire engineer + competent authority; S2</t>
        </is>
      </c>
      <c r="D4" s="2" t="inlineStr">
        <is>
          <t>OPEN — not verified</t>
        </is>
      </c>
      <c r="E4" s="2" t="inlineStr">
        <is>
          <t>Design and opening date</t>
        </is>
      </c>
    </row>
    <row r="5" ht="82" customHeight="1">
      <c r="A5" s="2" t="inlineStr">
        <is>
          <t>PEB and environment</t>
        </is>
      </c>
      <c r="B5" s="2" t="inlineStr">
        <is>
          <t>Confirm building classification, certificates, works procedure, renovation duties and environmental permit applicability.</t>
        </is>
      </c>
      <c r="C5" s="2" t="inlineStr">
        <is>
          <t>PEB adviser + permit assessment; S6</t>
        </is>
      </c>
      <c r="D5" s="2" t="inlineStr">
        <is>
          <t>OPEN — not verified</t>
        </is>
      </c>
      <c r="E5" s="2" t="inlineStr">
        <is>
          <t>Initial and future capex, utilities</t>
        </is>
      </c>
    </row>
    <row r="6" ht="82" customHeight="1">
      <c r="A6" s="2" t="inlineStr">
        <is>
          <t>Accessibility / amenity</t>
        </is>
      </c>
      <c r="B6" s="2" t="inlineStr">
        <is>
          <t>Verify applicable accessibility, bicycle, waste, noise and shared-facility requirements.</t>
        </is>
      </c>
      <c r="C6" s="2" t="inlineStr">
        <is>
          <t>Architect and municipality; S3</t>
        </is>
      </c>
      <c r="D6" s="2" t="inlineStr">
        <is>
          <t>OPEN — not verified</t>
        </is>
      </c>
      <c r="E6" s="2" t="inlineStr">
        <is>
          <t>Usable area / costs</t>
        </is>
      </c>
    </row>
    <row r="7" ht="82" customHeight="1">
      <c r="A7" s="2" t="inlineStr">
        <is>
          <t>Student leases</t>
        </is>
      </c>
      <c r="B7" s="2" t="inlineStr">
        <is>
          <t>Review student eligibility, duration, termination, inventory, deposits, charges, registration and indexation conditions.</t>
        </is>
      </c>
      <c r="C7" s="2" t="inlineStr">
        <is>
          <t>Brussels housing lawyer; S4</t>
        </is>
      </c>
      <c r="D7" s="2" t="inlineStr">
        <is>
          <t>OPEN — not verified</t>
        </is>
      </c>
      <c r="E7" s="2" t="inlineStr">
        <is>
          <t>Turnover, revenue timing, enforceability</t>
        </is>
      </c>
    </row>
    <row r="8" ht="82" customHeight="1">
      <c r="A8" s="2" t="inlineStr">
        <is>
          <t>Rent legality</t>
        </is>
      </c>
      <c r="B8" s="2" t="inlineStr">
        <is>
          <t>Obtain reference-rent assessment; assess excessive-rent rules and applicable indexation restrictions.</t>
        </is>
      </c>
      <c r="C8" s="2" t="inlineStr">
        <is>
          <t>Legal opinion and reference calculation; S5/S7</t>
        </is>
      </c>
      <c r="D8" s="2" t="inlineStr">
        <is>
          <t>OPEN — not verified</t>
        </is>
      </c>
      <c r="E8" s="2" t="inlineStr">
        <is>
          <t>Rent cap may need reduction</t>
        </is>
      </c>
    </row>
    <row r="9" ht="82" customHeight="1">
      <c r="A9" s="2" t="inlineStr">
        <is>
          <t>Local affordability obligation</t>
        </is>
      </c>
      <c r="B9" s="2" t="inlineStr">
        <is>
          <t>Check whether municipal affordable-kot policy or permit agreement applies and on what terms.</t>
        </is>
      </c>
      <c r="C9" s="2" t="inlineStr">
        <is>
          <t>Written Ixelles confirmation; S8</t>
        </is>
      </c>
      <c r="D9" s="2" t="inlineStr">
        <is>
          <t>OPEN — not verified</t>
        </is>
      </c>
      <c r="E9" s="2" t="inlineStr">
        <is>
          <t>Unit mix / affordable rent obligations</t>
        </is>
      </c>
    </row>
    <row r="10" ht="82" customHeight="1">
      <c r="A10" s="2" t="inlineStr">
        <is>
          <t>Affordability evidence</t>
        </is>
      </c>
      <c r="B10" s="2" t="inlineStr">
        <is>
          <t>Validate rent + utilities against target student resources; confirm no hidden charges and summer contract assumptions.</t>
        </is>
      </c>
      <c r="C10" s="2" t="inlineStr">
        <is>
          <t>Student survey, university partners and charge budget</t>
        </is>
      </c>
      <c r="D10" s="2" t="inlineStr">
        <is>
          <t>OPEN — not verified</t>
        </is>
      </c>
      <c r="E10" s="2" t="inlineStr">
        <is>
          <t>Demand, ethical affordability</t>
        </is>
      </c>
    </row>
    <row r="11" ht="82" customHeight="1">
      <c r="A11" s="2" t="inlineStr">
        <is>
          <t>Tax / VAT / ownership</t>
        </is>
      </c>
      <c r="B11" s="2" t="inlineStr">
        <is>
          <t>Confirm duties, municipal/property taxes, VAT and recovery, transaction structure, corporate or personal income tax.</t>
        </is>
      </c>
      <c r="C11" s="2" t="inlineStr">
        <is>
          <t>Notary and tax adviser; acquisition allowance is unverified</t>
        </is>
      </c>
      <c r="D11" s="2" t="inlineStr">
        <is>
          <t>OPEN — not verified</t>
        </is>
      </c>
      <c r="E11" s="2" t="inlineStr">
        <is>
          <t>After-tax return not yet modelled</t>
        </is>
      </c>
    </row>
    <row r="12" ht="82" customHeight="1">
      <c r="A12" s="2" t="inlineStr">
        <is>
          <t>Funding</t>
        </is>
      </c>
      <c r="B12" s="2" t="inlineStr">
        <is>
          <t>Obtain term sheet and bridge interest/fees; test covenant DSCR and cost overruns.</t>
        </is>
      </c>
      <c r="C12" s="2" t="inlineStr">
        <is>
          <t>Lender and quantity surveyor</t>
        </is>
      </c>
      <c r="D12" s="2" t="inlineStr">
        <is>
          <t>OPEN — not verified</t>
        </is>
      </c>
      <c r="E12" s="2" t="inlineStr">
        <is>
          <t>Liquidity and equity requirement</t>
        </is>
      </c>
    </row>
    <row r="13" ht="82" customHeight="1">
      <c r="A13" s="2" t="inlineStr">
        <is>
          <t>Demand and comparables</t>
        </is>
      </c>
      <c r="B13" s="2" t="inlineStr">
        <is>
          <t>Collect dated comparable asking/achieved rents, vacancy, enrollment, pipeline and travel times.</t>
        </is>
      </c>
      <c r="C13" s="2" t="inlineStr">
        <is>
          <t>University/Brik/Mykot data + local inspections</t>
        </is>
      </c>
      <c r="D13" s="2" t="inlineStr">
        <is>
          <t>OPEN — not verified</t>
        </is>
      </c>
      <c r="E13" s="2" t="inlineStr">
        <is>
          <t>Scenario calibration</t>
        </is>
      </c>
    </row>
  </sheetData>
  <autoFilter ref="A1:E13"/>
  <printOptions horizontalCentered="1"/>
  <pageMargins left="0.75" right="0.75" top="1" bottom="1" header="0.5" footer="0.5"/>
  <pageSetup orientation="landscape" paperSize="8" fitToHeight="0" fitToWidth="1"/>
</worksheet>
</file>

<file path=xl/worksheets/sheet8.xml><?xml version="1.0" encoding="utf-8"?>
<worksheet xmlns="http://schemas.openxmlformats.org/spreadsheetml/2006/main">
  <sheetPr>
    <tabColor rgb="007F7F7F"/>
    <outlinePr summaryBelow="1" summaryRight="1"/>
    <pageSetUpPr fitToPage="1"/>
  </sheetPr>
  <dimension ref="A1:D10"/>
  <sheetViews>
    <sheetView showGridLines="0"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36" customWidth="1" min="1" max="1"/>
    <col width="65" customWidth="1" min="2" max="2"/>
    <col width="65" customWidth="1" min="3" max="3"/>
    <col width="65" customWidth="1" min="4" max="4"/>
  </cols>
  <sheetData>
    <row r="1" ht="32" customHeight="1">
      <c r="A1" s="8" t="inlineStr">
        <is>
          <t>Topic</t>
        </is>
      </c>
      <c r="B1" s="8" t="inlineStr">
        <is>
          <t>URL</t>
        </is>
      </c>
      <c r="C1" s="8" t="inlineStr">
        <is>
          <t>Verified date</t>
        </is>
      </c>
      <c r="D1" s="8" t="inlineStr">
        <is>
          <t>Finding / limitation</t>
        </is>
      </c>
    </row>
    <row r="2" ht="82" customHeight="1">
      <c r="A2" s="2" t="inlineStr">
        <is>
          <t>S1 Housing quality 2026</t>
        </is>
      </c>
      <c r="B2" s="10" t="inlineStr">
        <is>
          <t>https://be.brussels/fr/logement/nouvelles-normes-minimales-de-qualite-partir-de-2026</t>
        </is>
      </c>
      <c r="C2" s="2" t="inlineStr">
        <is>
          <t>2026-10-14</t>
        </is>
      </c>
      <c r="D2" s="2" t="inlineStr">
        <is>
          <t>New minimum standards apply from 1 Jan 2026; official summary gives 12 m² student minimum. Architect must assess actual layout, shared areas and all technical rules.</t>
        </is>
      </c>
    </row>
    <row r="3" ht="82" customHeight="1">
      <c r="A3" s="2" t="inlineStr">
        <is>
          <t>S2 Safety and fire</t>
        </is>
      </c>
      <c r="B3" s="10" t="inlineStr">
        <is>
          <t>https://be.brussels/fr/logement/location/conformite-logement/normes-et-securite</t>
        </is>
      </c>
      <c r="C3" s="2" t="inlineStr">
        <is>
          <t>2026-10-14</t>
        </is>
      </c>
      <c r="D3" s="2" t="inlineStr">
        <is>
          <t>Housing must meet safety, health and equipment standards; smoke detection requirements updated from 2025. Building-specific fire strategy remains to be agreed.</t>
        </is>
      </c>
    </row>
    <row r="4" ht="82" customHeight="1">
      <c r="A4" s="2" t="inlineStr">
        <is>
          <t>S3 Ixelles planning</t>
        </is>
      </c>
      <c r="B4" s="10" t="inlineStr">
        <is>
          <t>https://www.ixelles.be/site/880-Guichet-electronique-Urbanisme</t>
        </is>
      </c>
      <c r="C4" s="2" t="inlineStr">
        <is>
          <t>2026-10-14</t>
        </is>
      </c>
      <c r="D4" s="2" t="inlineStr">
        <is>
          <t>Municipal portal provides planning permit and urban-planning information requests; address-specific permitted use/capacity not verified.</t>
        </is>
      </c>
    </row>
    <row r="5" ht="82" customHeight="1">
      <c r="A5" s="2" t="inlineStr">
        <is>
          <t>S4 Lease process</t>
        </is>
      </c>
      <c r="B5" s="10" t="inlineStr">
        <is>
          <t>https://be.brussels/fr/logement/location/les-differentes-etapes-de-la-location</t>
        </is>
      </c>
      <c r="C5" s="2" t="inlineStr">
        <is>
          <t>2026-10-14</t>
        </is>
      </c>
      <c r="D5" s="2" t="inlineStr">
        <is>
          <t>Regional portal explains disclosure, lease types and reference rents; check current student lease terms and registration procedure before letting.</t>
        </is>
      </c>
    </row>
    <row r="6" ht="82" customHeight="1">
      <c r="A6" s="2" t="inlineStr">
        <is>
          <t>S5 Excessive rents</t>
        </is>
      </c>
      <c r="B6" s="10" t="inlineStr">
        <is>
          <t>https://be.brussels/fr/logement/creation-de-la-commission-paritaire-locative</t>
        </is>
      </c>
      <c r="C6" s="2" t="inlineStr">
        <is>
          <t>2026-10-14</t>
        </is>
      </c>
      <c r="D6" s="2" t="inlineStr">
        <is>
          <t>Landlords must not offer abusive rents from 1 May 2025; CPL offers free nonbinding opinions. A policy affordability ceiling alone does not establish compliance.</t>
        </is>
      </c>
    </row>
    <row r="7" ht="82" customHeight="1">
      <c r="A7" s="2" t="inlineStr">
        <is>
          <t>S6 PEB works</t>
        </is>
      </c>
      <c r="B7" s="10" t="inlineStr">
        <is>
          <t>https://environnement.brussels/pro/reglementation-et-inspection/obligations-et-autorisations/objectifs-peb-pour-chaque-bien-et-exigences-peb-en-cas-de-travaux</t>
        </is>
      </c>
      <c r="C7" s="2" t="inlineStr">
        <is>
          <t>2026-10-14</t>
        </is>
      </c>
      <c r="D7" s="2" t="inlineStr">
        <is>
          <t>PEB requirements depend on use and nature of works; establish classification with PEB adviser and include required measures in budget.</t>
        </is>
      </c>
    </row>
    <row r="8" ht="82" customHeight="1">
      <c r="A8" s="2" t="inlineStr">
        <is>
          <t>S7 Reference rents</t>
        </is>
      </c>
      <c r="B8" s="10" t="inlineStr">
        <is>
          <t>https://loyers.brussels/a-propos-des-loyers-de-reference</t>
        </is>
      </c>
      <c r="C8" s="2" t="inlineStr">
        <is>
          <t>2026-10-14</t>
        </is>
      </c>
      <c r="D8" s="2" t="inlineStr">
        <is>
          <t>Reference rent methodology indexed January 2026. Obtain address/layout-specific assessment and legal interpretation.</t>
        </is>
      </c>
    </row>
    <row r="9" ht="82" customHeight="1">
      <c r="A9" s="2" t="inlineStr">
        <is>
          <t>S8 Ixelles market context</t>
        </is>
      </c>
      <c r="B9" s="10" t="inlineStr">
        <is>
          <t>https://www.ixelles.be/site/downloads/publications/infoxl-2014-/infoxl20250708.pdf</t>
        </is>
      </c>
      <c r="C9" s="2" t="inlineStr">
        <is>
          <t>2026-10-14</t>
        </is>
      </c>
      <c r="D9" s="2" t="inlineStr">
        <is>
          <t>Municipal July/August 2025 dossier describes strong student demand and insufficient supply. It mentions a 15% affordable-kot initiative for large projects; verify adoption, scope and site applicability. This is not an underwriting rent survey.</t>
        </is>
      </c>
    </row>
    <row r="10" ht="82" customHeight="1">
      <c r="A10" s="2" t="inlineStr">
        <is>
          <t>S9 Housing label</t>
        </is>
      </c>
      <c r="B10" s="10" t="inlineStr">
        <is>
          <t>https://be.brussels/en/about-region/structure-and-organisations/overview-administrations-and-institutions-region/brussels-housing/structure-brussels-housing/regional-housing-inspectorate-dirl</t>
        </is>
      </c>
      <c r="C10" s="2" t="inlineStr">
        <is>
          <t>2026-10-14</t>
        </is>
      </c>
      <c r="D10" s="2" t="inlineStr">
        <is>
          <t>DIRL enforces housing standards and awards student quality label. Optional conformity certificate is distinct from mandatory compliance and post-ban attestation.</t>
        </is>
      </c>
    </row>
  </sheetData>
  <autoFilter ref="A1:D10"/>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s>
  <printOptions horizontalCentered="1"/>
  <pageMargins left="0.75" right="0.75" top="1" bottom="1" header="0.5" footer="0.5"/>
  <pageSetup orientation="landscape" paperSize="8" fitToHeight="0" fitToWidth="1"/>
</worksheet>
</file>

<file path=xl/worksheets/sheet9.xml><?xml version="1.0" encoding="utf-8"?>
<worksheet xmlns="http://schemas.openxmlformats.org/spreadsheetml/2006/main">
  <sheetPr>
    <tabColor rgb="007F7F7F"/>
    <outlinePr summaryBelow="1" summaryRight="1"/>
    <pageSetUpPr fitToPage="1"/>
  </sheetPr>
  <dimension ref="A1:B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110" customWidth="1" min="2" max="2"/>
  </cols>
  <sheetData>
    <row r="1" ht="32" customHeight="1">
      <c r="A1" s="8" t="inlineStr">
        <is>
          <t>REUSABLE PROJECT PROMPT</t>
        </is>
      </c>
      <c r="B1" s="8" t="inlineStr">
        <is>
          <t>Instructions</t>
        </is>
      </c>
    </row>
    <row r="2" ht="340" customHeight="1">
      <c r="A2" s="2" t="inlineStr">
        <is>
          <t>Copy and reuse</t>
        </is>
      </c>
      <c r="B2" s="2" t="inlineStr">
        <is>
          <t>Act as a real estate investment analyst specializing in affordable student housing in Ixelles/Elsene, Brussels. Build a transparent, editable 20-year nominal EUR model with Bad, Intermediate and Optimal scenarios. Ask for property address, title, permitted use, rooms and areas, acquisition terms, gross works quotes, student rent/budget evidence, operating costs, financing, legal entity and tax treatment. Clearly label any missing data and illustrative assumptions. Verify current rules using official Brussels and Ixelles sources; cite dated links, distinguish mandatory obligations from voluntary labels, and never assume a permit or compliance. Cover change of use, planning, housing quality, fire safety, energy/PEB, accessibility, leases, rent reference/excessive rent controls, indexation, charges, deposits, registration and taxation. Apply an explicit affordable rent ceiling and test rent plus utilities against student resources. Include construction delays, cost overruns, vacancy, bad debt, maintenance, capex and exit yield risk. Calculate annual project and equity cash flows, NPV, IRR, simple and discounted payback, yield on cost, cost per bed, DSCR, operating break-even occupancy, affordability share and dependence on terminal value. Define timing, discount rates, tax/VAT assumptions, financing and terminal value; show operating-only versus sale-assisted payback. Add rent/works-cost/exit-yield sensitivities, qualitative risks, evidence gaps and go/no-go conditions. Explain market complexity including student demand, seasonality, substitutes, neighbourhood fit, transport, university proximity and supply pipeline. Do not improve returns by violating affordability or regulatory requirements. Deliver a usable workbook with traceable formulas, sources and limitations; state whether results justify proceeding to property-specific due diligence.</t>
        </is>
      </c>
    </row>
  </sheetData>
  <autoFilter ref="A1:B2"/>
  <printOptions horizontalCentered="1"/>
  <pageMargins left="0.75" right="0.75" top="1" bottom="1" header="0.5" footer="0.5"/>
  <pageSetup orientation="landscape" paperSize="8" fitToHeight="0" fitToWidth="1"/>
</worksheet>
</file>

<file path=xl/worksheets/sheet10.xml><?xml version="1.0" encoding="utf-8"?>
<worksheet xmlns="http://schemas.openxmlformats.org/spreadsheetml/2006/main">
  <sheetPr>
    <tabColor rgb="007F7F7F"/>
    <outlinePr summaryBelow="1" summaryRight="1"/>
    <pageSetUpPr fitToPage="1"/>
  </sheetPr>
  <dimension ref="A1:D10"/>
  <sheetViews>
    <sheetView showGridLines="0" workbookViewId="0">
      <pane ySplit="1" topLeftCell="A2" activePane="bottomLeft" state="frozen"/>
      <selection pane="bottomLeft" activeCell="A1" sqref="A1"/>
    </sheetView>
  </sheetViews>
  <sheetFormatPr baseColWidth="8" defaultRowHeight="15"/>
  <cols>
    <col width="36" customWidth="1" min="1" max="1"/>
    <col width="65" customWidth="1" min="2" max="2"/>
    <col width="65" customWidth="1" min="3" max="3"/>
    <col width="65" customWidth="1" min="4" max="4"/>
  </cols>
  <sheetData>
    <row r="1">
      <c r="A1" s="8" t="inlineStr">
        <is>
          <t>Driver</t>
        </is>
      </c>
      <c r="B1" s="8" t="inlineStr">
        <is>
          <t>Quantitative model link</t>
        </is>
      </c>
      <c r="C1" s="8" t="inlineStr">
        <is>
          <t>Qualitative assessment / evidence to collect</t>
        </is>
      </c>
      <c r="D1" s="8" t="inlineStr">
        <is>
          <t>Mitigation / gate</t>
        </is>
      </c>
    </row>
    <row r="2" ht="82" customHeight="1">
      <c r="A2" s="2" t="inlineStr">
        <is>
          <t>University proximity</t>
        </is>
      </c>
      <c r="B2" s="2" t="inlineStr">
        <is>
          <t>Occupancy / rent</t>
        </is>
      </c>
      <c r="C2" s="2" t="inlineStr">
        <is>
          <t>Measure walking/cycling/transit times to ULB and VUB; exact site not provided.</t>
        </is>
      </c>
      <c r="D2" s="2" t="inlineStr">
        <is>
          <t>Verify catchment before purchase</t>
        </is>
      </c>
    </row>
    <row r="3" ht="82" customHeight="1">
      <c r="A3" s="2" t="inlineStr">
        <is>
          <t>Demand segmentation</t>
        </is>
      </c>
      <c r="B3" s="2" t="inlineStr">
        <is>
          <t>Rent ceiling / budget share</t>
        </is>
      </c>
      <c r="C3" s="2" t="inlineStr">
        <is>
          <t>Local, international, grant-supported students have different budgets and contract needs.</t>
        </is>
      </c>
      <c r="D3" s="2" t="inlineStr">
        <is>
          <t>Survey intended tenants; avoid dependence on premium rents</t>
        </is>
      </c>
    </row>
    <row r="4" ht="82" customHeight="1">
      <c r="A4" s="2" t="inlineStr">
        <is>
          <t>Seasonality / turnover</t>
        </is>
      </c>
      <c r="B4" s="2" t="inlineStr">
        <is>
          <t>Annual occupancy</t>
        </is>
      </c>
      <c r="C4" s="2" t="inlineStr">
        <is>
          <t>12-month billing assumed. Summer vacancies and short contracts reduce effective occupancy.</t>
        </is>
      </c>
      <c r="D4" s="2" t="inlineStr">
        <is>
          <t>Underwrite achieved annual collections; stress summer gap</t>
        </is>
      </c>
    </row>
    <row r="5" ht="82" customHeight="1">
      <c r="A5" s="2" t="inlineStr">
        <is>
          <t>Competitive supply</t>
        </is>
      </c>
      <c r="B5" s="2" t="inlineStr">
        <is>
          <t>Occupancy / exit yield</t>
        </is>
      </c>
      <c r="C5" s="2" t="inlineStr">
        <is>
          <t>University residences, private kots, shared flats and pipeline projects compete by price and quality.</t>
        </is>
      </c>
      <c r="D5" s="2" t="inlineStr">
        <is>
          <t>Dated comparable and pipeline study</t>
        </is>
      </c>
    </row>
    <row r="6" ht="82" customHeight="1">
      <c r="A6" s="2" t="inlineStr">
        <is>
          <t>Planning uncertainty</t>
        </is>
      </c>
      <c r="B6" s="2" t="inlineStr">
        <is>
          <t>Development years / overrun</t>
        </is>
      </c>
      <c r="C6" s="2" t="inlineStr">
        <is>
          <t>Permits, objections, heritage and room-layout limits can delay opening or reduce beds.</t>
        </is>
      </c>
      <c r="D6" s="2" t="inlineStr">
        <is>
          <t>Conditional acquisition and detailed feasibility</t>
        </is>
      </c>
    </row>
    <row r="7" ht="82" customHeight="1">
      <c r="A7" s="2" t="inlineStr">
        <is>
          <t>Neighbourhood acceptance</t>
        </is>
      </c>
      <c r="B7" s="2" t="inlineStr">
        <is>
          <t>Delay / owner costs</t>
        </is>
      </c>
      <c r="C7" s="2" t="inlineStr">
        <is>
          <t>Noise, waste, cycling, visitor management and community relations affect operation.</t>
        </is>
      </c>
      <c r="D7" s="2" t="inlineStr">
        <is>
          <t>Management plan and municipal consultation</t>
        </is>
      </c>
    </row>
    <row r="8" ht="82" customHeight="1">
      <c r="A8" s="2" t="inlineStr">
        <is>
          <t>Energy and ageing assets</t>
        </is>
      </c>
      <c r="B8" s="2" t="inlineStr">
        <is>
          <t>Inflation / reserve</t>
        </is>
      </c>
      <c r="C8" s="2" t="inlineStr">
        <is>
          <t>Envelope, heating and compliance renewal may cost more than annual allowance.</t>
        </is>
      </c>
      <c r="D8" s="2" t="inlineStr">
        <is>
          <t>20-year technical capex plan and contingency</t>
        </is>
      </c>
    </row>
    <row r="9" ht="82" customHeight="1">
      <c r="A9" s="2" t="inlineStr">
        <is>
          <t>Affordability vs viability</t>
        </is>
      </c>
      <c r="B9" s="2" t="inlineStr">
        <is>
          <t>Ceiling / NPV / DSCR</t>
        </is>
      </c>
      <c r="C9" s="2" t="inlineStr">
        <is>
          <t>Returns may fail at affordable prices. Do not solve a poor investment by assuming unaffordable rent.</t>
        </is>
      </c>
      <c r="D9" s="2" t="inlineStr">
        <is>
          <t>Negotiate purchase/build cost; consider evidenced grants or lower required return</t>
        </is>
      </c>
    </row>
    <row r="10" ht="82" customHeight="1">
      <c r="A10" s="2" t="inlineStr">
        <is>
          <t>Exit liquidity</t>
        </is>
      </c>
      <c r="B10" s="2" t="inlineStr">
        <is>
          <t>Exit yield / exit PV share</t>
        </is>
      </c>
      <c r="C10" s="2" t="inlineStr">
        <is>
          <t>Single-use assets and regulation can narrow buyer pool; terminal value is uncertain.</t>
        </is>
      </c>
      <c r="D10" s="2" t="inlineStr">
        <is>
          <t>Conservative exit yield; inspect no-sale returns</t>
        </is>
      </c>
    </row>
  </sheetData>
  <autoFilter ref="A1:D10"/>
  <printOptions horizontalCentered="1"/>
  <pageMargins left="0.75" right="0.75" top="1" bottom="1" header="0.5" footer="0.5"/>
  <pageSetup orientation="landscape" paperSize="8" fitToHeight="0" fitToWidth="1"/>
</worksheet>
</file>

<file path=xl/worksheets/sheet11.xml><?xml version="1.0" encoding="utf-8"?>
<worksheet xmlns="http://schemas.openxmlformats.org/spreadsheetml/2006/main">
  <sheetPr>
    <tabColor rgb="007F7F7F"/>
    <outlinePr summaryBelow="1" summaryRight="1"/>
    <pageSetUpPr fitToPage="1"/>
  </sheetPr>
  <dimension ref="A1:D8"/>
  <sheetViews>
    <sheetView showGridLines="0" workbookViewId="0">
      <selection activeCell="A1" sqref="A1"/>
    </sheetView>
  </sheetViews>
  <sheetFormatPr baseColWidth="8" defaultRowHeight="15"/>
  <cols>
    <col width="58" customWidth="1" min="1" max="1"/>
  </cols>
  <sheetData>
    <row r="1">
      <c r="A1" s="8" t="inlineStr">
        <is>
          <t>INTERMEDIATE NPV | works cost vs exit yield</t>
        </is>
      </c>
      <c r="B1" s="8" t="inlineStr">
        <is>
          <t>Works -20%</t>
        </is>
      </c>
      <c r="C1" s="8" t="inlineStr">
        <is>
          <t>Works base</t>
        </is>
      </c>
      <c r="D1" s="8" t="inlineStr">
        <is>
          <t>Works +20%</t>
        </is>
      </c>
    </row>
    <row r="2">
      <c r="A2" s="2" t="inlineStr">
        <is>
          <t>Exit yield -1pp</t>
        </is>
      </c>
      <c r="B2" s="9">
        <f>Dashboard!C2-(-0.2)*SUMPRODUCT(Intermediate!B3:B22/(1+Inputs!C21)^Intermediate!A3:A22)+(Intermediate!G22*(Inputs!C19/(Inputs!C19+(-0.01))-1))/(1+Inputs!C21)^20</f>
        <v>-1691166.9331972953</v>
      </c>
      <c r="C2" s="9">
        <f>Dashboard!C2-(0)*SUMPRODUCT(Intermediate!B3:B22/(1+Inputs!C21)^Intermediate!A3:A22)+(Intermediate!G22*(Inputs!C19/(Inputs!C19+(-0.01))-1))/(1+Inputs!C21)^20</f>
        <v>-2022987.3766802591</v>
      </c>
      <c r="D2" s="9">
        <f>Dashboard!C2-(0.2)*SUMPRODUCT(Intermediate!B3:B22/(1+Inputs!C21)^Intermediate!A3:A22)+(Intermediate!G22*(Inputs!C19/(Inputs!C19+(-0.01))-1))/(1+Inputs!C21)^20</f>
        <v>-2354807.820163223</v>
      </c>
    </row>
    <row r="3">
      <c r="A3" s="2" t="inlineStr">
        <is>
          <t>Exit yield base</t>
        </is>
      </c>
      <c r="B3" s="9">
        <f>Dashboard!C2-(-0.2)*SUMPRODUCT(Intermediate!B3:B22/(1+Inputs!C21)^Intermediate!A3:A22)+(Intermediate!G22*(Inputs!C19/(Inputs!C19+(0))-1))/(1+Inputs!C21)^20</f>
        <v>-1834855.091676257</v>
      </c>
      <c r="C3" s="9">
        <f>Dashboard!C2-(0)*SUMPRODUCT(Intermediate!B3:B22/(1+Inputs!C21)^Intermediate!A3:A22)+(Intermediate!G22*(Inputs!C19/(Inputs!C19+(0))-1))/(1+Inputs!C21)^20</f>
        <v>-2166675.535159221</v>
      </c>
      <c r="D3" s="9">
        <f>Dashboard!C2-(0.2)*SUMPRODUCT(Intermediate!B3:B22/(1+Inputs!C21)^Intermediate!A3:A22)+(Intermediate!G22*(Inputs!C19/(Inputs!C19+(0))-1))/(1+Inputs!C21)^20</f>
        <v>-2498495.9786421848</v>
      </c>
    </row>
    <row r="4">
      <c r="A4" s="2" t="inlineStr">
        <is>
          <t>Exit yield +1pp</t>
        </is>
      </c>
      <c r="B4" s="9">
        <f>Dashboard!C2-(-0.2)*SUMPRODUCT(Intermediate!B3:B22/(1+Inputs!C21)^Intermediate!A3:A22)+(Intermediate!G22*(Inputs!C19/(Inputs!C19+(0.01))-1))/(1+Inputs!C21)^20</f>
        <v>-1934331.509084769</v>
      </c>
      <c r="C4" s="9">
        <f>Dashboard!C2-(0)*SUMPRODUCT(Intermediate!B3:B22/(1+Inputs!C21)^Intermediate!A3:A22)+(Intermediate!G22*(Inputs!C19/(Inputs!C19+(0.01))-1))/(1+Inputs!C21)^20</f>
        <v>-2266151.952567733</v>
      </c>
      <c r="D4" s="9">
        <f>Dashboard!C2-(0.2)*SUMPRODUCT(Intermediate!B3:B22/(1+Inputs!C21)^Intermediate!A3:A22)+(Intermediate!G22*(Inputs!C19/(Inputs!C19+(0.01))-1))/(1+Inputs!C21)^20</f>
        <v>-2597972.3960506967</v>
      </c>
    </row>
    <row r="5">
      <c r="A5" s="2" t="n"/>
      <c r="B5" s="2" t="n"/>
      <c r="C5" s="2" t="n"/>
      <c r="D5" s="2" t="n"/>
    </row>
    <row r="6">
      <c r="A6" s="2" t="n"/>
      <c r="B6" s="2" t="n"/>
      <c r="C6" s="2" t="n"/>
      <c r="D6" s="2" t="n"/>
    </row>
    <row r="7">
      <c r="A7" s="2" t="inlineStr">
        <is>
          <t>Holds rent and affordability ceiling fixed. Works multiplier includes proportional professional fees; acquisition unchanged.</t>
        </is>
      </c>
      <c r="B7" s="2" t="n"/>
      <c r="C7" s="2" t="n"/>
      <c r="D7" s="2" t="n"/>
    </row>
    <row r="8">
      <c r="A8" s="2" t="inlineStr">
        <is>
          <t>Delay and occupancy stress are represented jointly by the three main scenarios. Sensitivity is not a forecast probability.</t>
        </is>
      </c>
      <c r="B8" s="2" t="n"/>
      <c r="C8" s="2" t="n"/>
      <c r="D8" s="2" t="n"/>
    </row>
  </sheetData>
  <conditionalFormatting sqref="B2:D4">
    <cfRule type="colorScale" priority="1">
      <colorScale>
        <cfvo type="min"/>
        <cfvo type="max"/>
        <color rgb="00F8696B"/>
        <color rgb="0063BE7B"/>
      </colorScale>
    </cfRule>
  </conditionalFormatting>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2026-10-14T19:14:52Z</dcterms:created>
  <dcterms:modified xsi:type="dcterms:W3CDTF">2026-10-14T19:18:04Z</dcterms:modified>
</cp:coreProperties>
</file>