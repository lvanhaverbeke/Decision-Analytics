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puts" sheetId="2" state="visible" r:id="rId2"/>
    <sheet name="Cash flow" sheetId="3" state="visible" r:id="rId3"/>
    <sheet name="Rent sensitivity" sheetId="4" state="visible" r:id="rId4"/>
    <sheet name="Variables" sheetId="5" state="visible" r:id="rId5"/>
    <sheet name="Regulations" sheetId="6" state="visible" r:id="rId6"/>
    <sheet name="Sources" sheetId="7" state="visible" r:id="rId7"/>
    <sheet name="Student budget" sheetId="8" state="visible" r:id="rId8"/>
    <sheet name="Risk sensitivity" sheetId="9" state="visible" r:id="rId9"/>
  </sheets>
  <definedNames>
    <definedName name="_xlnm._FilterDatabase" localSheetId="0" hidden="1">'Overview'!$A$1:$C$32</definedName>
    <definedName name="_xlnm.Print_Area" localSheetId="0">'Overview'!$A$1:$C$32</definedName>
    <definedName name="_xlnm._FilterDatabase" localSheetId="1" hidden="1">'Inputs'!$A$1:$E$34</definedName>
    <definedName name="_xlnm._FilterDatabase" localSheetId="2" hidden="1">'Cash flow'!$A$1:$T$34</definedName>
    <definedName name="_xlnm._FilterDatabase" localSheetId="3" hidden="1">'Rent sensitivity'!$A$1:$F$15</definedName>
    <definedName name="_xlnm.Print_Area" localSheetId="3">'Rent sensitivity'!$A$1:$S$22</definedName>
    <definedName name="_xlnm._FilterDatabase" localSheetId="4" hidden="1">'Variables'!$A$1:$C$38</definedName>
    <definedName name="_xlnm._FilterDatabase" localSheetId="5" hidden="1">'Regulations'!$A$1:$D$10</definedName>
    <definedName name="_xlnm._FilterDatabase" localSheetId="6" hidden="1">'Sources'!$A$1:$E$15</definedName>
    <definedName name="_xlnm._FilterDatabase" localSheetId="7" hidden="1">'Student budget'!$A$1:$E$19</definedName>
    <definedName name="_xlnm._FilterDatabase" localSheetId="8" hidden="1">'Risk sensitivity'!$A$1:$D$12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0070C0"/>
    </font>
    <font>
      <name val="Calibri"/>
      <family val="2"/>
      <color theme="10"/>
      <sz val="12"/>
      <scheme val="minor"/>
    </font>
    <font>
      <color rgb="00595959"/>
    </font>
    <font>
      <b val="1"/>
      <color rgb="0016324F"/>
    </font>
    <font>
      <b val="1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B"/>
      </patternFill>
    </fill>
    <fill>
      <patternFill patternType="solid">
        <fgColor rgb="00EEEEEE"/>
      </patternFill>
    </fill>
    <fill>
      <patternFill patternType="solid">
        <fgColor rgb="00DCE6F1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5" borderId="0" pivotButton="0" quotePrefix="0" xfId="0"/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0" fontId="3" fillId="0" borderId="0" pivotButton="0" quotePrefix="0" xfId="1"/>
    <xf numFmtId="10" fontId="0" fillId="0" borderId="0" applyAlignment="1" pivotButton="0" quotePrefix="0" xfId="0">
      <alignment vertical="top" wrapText="1"/>
    </xf>
    <xf numFmtId="165" fontId="5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Rent increase and students leaving (scenario)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'Rent sensitivity'!B2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'Rent sensitivity'!$A$3:$A$11</f>
            </numRef>
          </cat>
          <val>
            <numRef>
              <f>'Rent sensitivity'!$B$3:$B$11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'Rent sensitivity'!C2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'Rent sensitivity'!$A$3:$A$11</f>
            </numRef>
          </cat>
          <val>
            <numRef>
              <f>'Rent sensitivity'!$C$3:$C$11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Rent increase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rent (EUR)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residents leaving (%)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vub.be/en/news/vub-launches-facts-figures-2024-2025" TargetMode="External" Id="rId1" /><Relationship Type="http://schemas.openxmlformats.org/officeDocument/2006/relationships/hyperlink" Target="https://www.vub.be/sites/default/files/2025-03/2025_Hoeveel_kost_studeren_kostenplaatje_1BA_Business_economics_ENG_0.pdf" TargetMode="External" Id="rId2" /><Relationship Type="http://schemas.openxmlformats.org/officeDocument/2006/relationships/hyperlink" Target="https://verenigdkoninkrijk.diplomatie.belgium.be/en/travel-belgium/financial-guarantee-student-sponsorship" TargetMode="External" Id="rId3" /><Relationship Type="http://schemas.openxmlformats.org/officeDocument/2006/relationships/hyperlink" Target="https://www.studentatwork.be/en/hours-package-and-impact.html" TargetMode="External" Id="rId4" /><Relationship Type="http://schemas.openxmlformats.org/officeDocument/2006/relationships/hyperlink" Target="https://be.brussels/fr/logement/location/bail-dhabitation/loyers-de-reference" TargetMode="External" Id="rId5" /><Relationship Type="http://schemas.openxmlformats.org/officeDocument/2006/relationships/hyperlink" Target="https://be.brussels/fr/logement/location/conformite-logement/normes-et-securite" TargetMode="External" Id="rId6" /><Relationship Type="http://schemas.openxmlformats.org/officeDocument/2006/relationships/hyperlink" Target="https://be.brussels/fr/logement/location/conformite-logement/label-logement-etudiant" TargetMode="External" Id="rId7" /><Relationship Type="http://schemas.openxmlformats.org/officeDocument/2006/relationships/hyperlink" Target="https://be.brussels/nl/huisvesting/huren-en-verhuren/de-verschillende-stappen-van-het-huren-en-verhuren" TargetMode="External" Id="rId8" /><Relationship Type="http://schemas.openxmlformats.org/officeDocument/2006/relationships/hyperlink" Target="https://www.vlaanderen.be/statistiek-vlaanderen/onderwijs-en-vorming/drop-out-in-het-hoger-onderwijs" TargetMode="External" Id="rId9" /><Relationship Type="http://schemas.openxmlformats.org/officeDocument/2006/relationships/hyperlink" Target="https://www.vub.be/en/studying-vub/practical-info-for-students/student-housing/practical-housing-information" TargetMode="External" Id="rId10" /><Relationship Type="http://schemas.openxmlformats.org/officeDocument/2006/relationships/hyperlink" Target="https://emploi.belgique.be/fr/themes/contrats-de-travail/contrats-de-travail-particuliers/contrat-doccupation-detudiants" TargetMode="External" Id="rId11" /><Relationship Type="http://schemas.openxmlformats.org/officeDocument/2006/relationships/hyperlink" Target="https://admin.be.brussels/sites/default/files/2025-06/Tableau%20comparatif%20AGRBC%202003-2023%20FR.pdf" TargetMode="External" Id="rId12" /></Relationships>
</file>

<file path=xl/worksheets/sheet1.xml><?xml version="1.0" encoding="utf-8"?>
<s:worksheet xmlns:s="http://schemas.openxmlformats.org/spreadsheetml/2006/main">
  <s:sheetPr>
    <s:outlinePr summaryBelow="1" summaryRight="1"/>
    <s:pageSetUpPr fitToPage="1"/>
  </s:sheetPr>
  <s:dimension ref="A1:E32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VUB STUDENT HOUSING — investment screening</s:t>
        </s:is>
      </s:c>
    </s:row>
    <s:row r="2" ht="40" customHeight="1">
      <s:c r="A2" s="2" t="inlineStr">
        <s:is>
          <s:t>RESEARCHED SCREENING MODEL — 14 October 2026; sourced context, explicit investment assumptions</s:t>
        </s:is>
      </s:c>
    </s:row>
    <s:row r="3" ht="42" customHeight="1">
      <s:c r="A3" s="3" t="inlineStr">
        <s:is>
          <s:t>Metric</s:t>
        </s:is>
      </s:c>
      <s:c r="B3" s="3" t="inlineStr">
        <s:is>
          <s:t>Result</s:t>
        </s:is>
      </s:c>
      <s:c r="C3" s="3" t="inlineStr">
        <s:is>
          <s:t>Classification / interpretation</s:t>
        </s:is>
      </s:c>
      <s:c r="D3" s="4" t="n"/>
      <s:c r="E3" s="4" t="n"/>
    </s:row>
    <s:row r="4" ht="42" customHeight="1">
      <s:c r="A4" s="2" t="inlineStr">
        <s:is>
          <s:t>Total investment</s:t>
        </s:is>
      </s:c>
      <s:c r="B4" s="5">
        <s:f>Inputs!B31</s:f>
        <s:v>11009200.0</s:v>
      </s:c>
      <s:c r="C4" s="2" t="inlineStr">
        <s:is>
          <s:t>Derived; continuous; ratio; nominal EUR</s:t>
        </s:is>
      </s:c>
    </s:row>
    <s:row r="5" ht="42" customHeight="1">
      <s:c r="A5" s="2" t="inlineStr">
        <s:is>
          <s:t>NPV at required return</s:t>
        </s:is>
      </s:c>
      <s:c r="B5" s="5">
        <s:f>NPV(Inputs!B15,'Cash flow'!L4:L34)+'Cash flow'!L3</s:f>
        <s:v>-803425.4648734634</s:v>
      </s:c>
      <s:c r="C5" s="2" t="inlineStr">
        <s:is>
          <s:t>Output; continuous; interval; EUR; t=0</s:t>
        </s:is>
      </s:c>
    </s:row>
    <s:row r="6" ht="42" customHeight="1">
      <s:c r="A6" s="2" t="inlineStr">
        <s:is>
          <s:t>Project IRR</s:t>
        </s:is>
      </s:c>
      <s:c r="B6" s="6">
        <s:f>IRR('Cash flow'!L3:L34)</s:f>
        <s:v>0.06506627017352862</s:v>
      </s:c>
      <s:c r="C6" s="2" t="inlineStr">
        <s:is>
          <s:t>Output; continuous; rate; unlevered</s:t>
        </s:is>
      </s:c>
    </s:row>
    <s:row r="7" ht="42" customHeight="1">
      <s:c r="A7" s="2" t="inlineStr">
        <s:is>
          <s:t>Simple payback incl. exit</s:t>
        </s:is>
      </s:c>
      <s:c r="B7" s="5">
        <s:f>IF(COUNTIF('Cash flow'!R3:R34,"&gt;0")=0,"Not reached",SUM('Cash flow'!R3:R34))</s:f>
        <s:v>18.24785717121529</s:v>
      </s:c>
      <s:c r="C7" s="2" t="inlineStr">
        <s:is>
          <s:t>Output; continuous; ratio; years from t=0; interpolation</s:t>
        </s:is>
      </s:c>
    </s:row>
    <s:row r="8" ht="42" customHeight="1">
      <s:c r="A8" s="2" t="inlineStr">
        <s:is>
          <s:t>Time until operations</s:t>
        </s:is>
      </s:c>
      <s:c r="B8" s="5">
        <s:f>Inputs!B18</s:f>
        <s:v>2</s:v>
      </s:c>
      <s:c r="C8" s="2" t="inlineStr">
        <s:is>
          <s:t>Assumption; discrete; ratio; years incl. approvals</s:t>
        </s:is>
      </s:c>
    </s:row>
    <s:row r="9" ht="42" customHeight="1">
      <s:c r="A9" s="2" t="inlineStr">
        <s:is>
          <s:t>Operating horizon</s:t>
        </s:is>
      </s:c>
      <s:c r="B9" s="5">
        <s:f>Inputs!B19</s:f>
        <s:v>30</s:v>
      </s:c>
      <s:c r="C9" s="2" t="inlineStr">
        <s:is>
          <s:t>Assumption; discrete; ratio; years</s:t>
        </s:is>
      </s:c>
    </s:row>
    <s:row r="10" ht="42" customHeight="1">
      <s:c r="A10" s="2" t="inlineStr">
        <s:is>
          <s:t>International share</s:t>
        </s:is>
      </s:c>
      <s:c r="B10" s="6">
        <s:f>Inputs!B20</s:f>
        <s:v>0.2438</s:v>
      </s:c>
      <s:c r="C10" s="2" t="inlineStr">
        <s:is>
          <s:t>Context; continuous; ratio; see Inputs evidence</s:t>
        </s:is>
      </s:c>
    </s:row>
    <s:row r="11" ht="42" customHeight="1">
      <s:c r="A11" s="2" t="inlineStr">
        <s:is>
          <s:t>Annual student resources</s:t>
        </s:is>
      </s:c>
      <s:c r="B11" s="5">
        <s:f>Inputs!B21</s:f>
        <s:v>14000</s:v>
      </s:c>
      <s:c r="C11" s="2" t="inlineStr">
        <s:is>
          <s:t>Scenario; continuous; ratio; EUR/year; no VUB average established</s:t>
        </s:is>
      </s:c>
    </s:row>
    <s:row r="12" ht="42" customHeight="1">
      <s:c r="A12" s="2" t="inlineStr">
        <s:is>
          <s:t>Rent / month</s:t>
        </s:is>
      </s:c>
      <s:c r="B12" s="5">
        <s:f>Inputs!B10</s:f>
        <s:v>650</s:v>
      </s:c>
      <s:c r="C12" s="2" t="inlineStr">
        <s:is>
          <s:t>Decision; continuous; ratio; EUR excl. utilities</s:t>
        </s:is>
      </s:c>
    </s:row>
    <s:row r="13" ht="42" customHeight="1">
      <s:c r="A13" s="2" t="inlineStr">
        <s:is>
          <s:t>Academic dropout proxy</s:t>
        </s:is>
      </s:c>
      <s:c r="B13" s="6">
        <s:f>Inputs!B22</s:f>
        <s:v>0.16</s:v>
      </s:c>
      <s:c r="C13" s="2" t="inlineStr">
        <s:is>
          <s:t>Context; continuous; ratio; Flemish proxy, not VUB rate; S9</s:t>
        </s:is>
      </s:c>
    </s:row>
    <s:row r="14" ht="42" customHeight="1">
      <s:c r="A14" s="2" t="inlineStr">
        <s:is>
          <s:t>Annual rent / resources</s:t>
        </s:is>
      </s:c>
      <s:c r="B14" s="6">
        <s:f>Inputs!B10*12/Inputs!B21</s:f>
        <s:v>0.5571428571428572</s:v>
      </s:c>
      <s:c r="C14" s="2" t="inlineStr">
        <s:is>
          <s:t>Derived; continuous; ratio; excludes utilities</s:t>
        </s:is>
      </s:c>
    </s:row>
    <s:row r="15" ht="42" customHeight="1">
      <s:c r="A15" s="2" t="inlineStr">
        <s:is>
          <s:t>First operating year NOI</s:t>
        </s:is>
      </s:c>
      <s:c r="B15" s="5">
        <s:f>'Cash flow'!H5</s:f>
        <s:v>555750.0</s:v>
      </s:c>
      <s:c r="C15" s="2" t="inlineStr">
        <s:is>
          <s:t>Output; continuous; ratio; EUR/year</s:t>
        </s:is>
      </s:c>
    </s:row>
    <s:row r="16" ht="42" customHeight="1">
      <s:c r="A16" s="2" t="n"/>
      <s:c r="B16" s="2" t="n"/>
      <s:c r="C16" s="2" t="n"/>
    </s:row>
    <s:row r="17" ht="42" customHeight="1">
      <s:c r="A17" s="2" t="n"/>
      <s:c r="B17" s="2" t="n"/>
      <s:c r="C17" s="2" t="n"/>
    </s:row>
    <s:row r="18" ht="65" customHeight="1">
      <s:c r="A18" s="2" t="inlineStr">
        <s:is>
          <s:t>Investment interpretation</s:t>
        </s:is>
      </s:c>
      <s:c r="B18" s="2" t="inlineStr">
        <s:is>
          <s:t>Negative NPV at 7% implies the assumed rent, costs and exit value do not meet the required return.</s:t>
        </s:is>
      </s:c>
      <s:c r="C18" s="2" t="n"/>
    </s:row>
    <s:row r="19" ht="42" customHeight="1">
      <s:c r="A19" s="2" t="n"/>
      <s:c r="B19" s="2" t="n"/>
      <s:c r="C19" s="2" t="n"/>
    </s:row>
    <s:row r="20" ht="65" customHeight="1">
      <s:c r="A20" s="2" t="inlineStr">
        <s:is>
          <s:t>Scope</s:t>
        </s:is>
      </s:c>
      <s:c r="B20" s="2" t="inlineStr">
        <s:is>
          <s:t>100-room illustrative development. No secured land or construction quote. 30 operating years; terminal sale in year 31.</s:t>
        </s:is>
      </s:c>
      <s:c r="C20" s="2" t="n"/>
    </s:row>
    <s:row r="21" ht="65" customHeight="1">
      <s:c r="A21" s="2" t="inlineStr">
        <s:is>
          <s:t>Student income</s:t>
        </s:is>
      </s:c>
      <s:c r="B21" s="2" t="inlineStr">
        <s:is>
          <s:t>There is no universal minimum annual income for a student. Wages apply only to hours worked; family support, grants and earnings vary.</s:t>
        </s:is>
      </s:c>
      <s:c r="C21" s="2" t="n"/>
    </s:row>
    <s:row r="22" ht="65" customHeight="1">
      <s:c r="A22" s="2" t="inlineStr">
        <s:is>
          <s:t>Dropout versus departures</s:t>
        </s:is>
      </s:c>
      <s:c r="B22" s="2" t="inlineStr">
        <s:is>
          <s:t>16% dropout is a Flemish first-year cohort proxy, not VUB-specific. Price-driven departures below are hypothetical, not measured VUB behaviour; baseline vacancy already includes turnover.</s:t>
        </s:is>
      </s:c>
      <s:c r="C22" s="2" t="n"/>
    </s:row>
    <s:row r="23" ht="65" customHeight="1">
      <s:c r="A23" s="2" t="inlineStr">
        <s:is>
          <s:t>Payback convention</s:t>
        </s:is>
      </s:c>
      <s:c r="B23" s="2" t="inlineStr">
        <s:is>
          <s:t>Simple PBP includes sale if needed; the base case pays back before sale. Fractional years assume uniform within-year operating cash flow. Discounted payback uses the 7% required return.</s:t>
        </s:is>
      </s:c>
      <s:c r="C23" s="2" t="n"/>
    </s:row>
    <s:row r="24" ht="42" customHeight="1">
      <s:c r="A24" s="2" t="n"/>
      <s:c r="B24" s="2" t="n"/>
      <s:c r="C24" s="2" t="n"/>
    </s:row>
    <s:row r="25" ht="42" customHeight="1">
      <s:c r="A25" s="2" t="inlineStr">
        <s:is>
          <s:t>Operating-only payback (years)</s:t>
        </s:is>
      </s:c>
      <s:c r="B25" s="5">
        <s:f>IF(COUNTIF('Cash flow'!S3:S34,"&gt;0")=0,"Not reached",SUM('Cash flow'!S3:S34))</s:f>
        <s:v>18.24785717121529</s:v>
      </s:c>
      <s:c r="C25" s="2" t="inlineStr">
        <s:is>
          <s:t>Derived; continuous; ratio; excludes terminal sale</s:t>
        </s:is>
      </s:c>
    </s:row>
    <s:row r="26" ht="42" customHeight="1">
      <s:c r="A26" s="2" t="inlineStr">
        <s:is>
          <s:t>Discounted payback (years)</s:t>
        </s:is>
      </s:c>
      <s:c r="B26" s="5" t="str">
        <s:f>IF(COUNTIF('Cash flow'!T3:T34,"&gt;0")=0,"Not reached",SUM('Cash flow'!T3:T34))</s:f>
        <s:v>Not reached</s:v>
      </s:c>
      <s:c r="C26" s="2" t="inlineStr">
        <s:is>
          <s:t>Derived; continuous; ratio; includes sale</s:t>
        </s:is>
      </s:c>
    </s:row>
    <s:row r="27" ht="42" customHeight="1">
      <s:c r="A27" s="2" t="n"/>
      <s:c r="B27" s="2" t="n"/>
      <s:c r="C27" s="2" t="n"/>
    </s:row>
    <s:row r="28" ht="42" customHeight="1">
      <s:c r="A28" s="2" t="inlineStr">
        <s:is>
          <s:t>Minimum proof of means / year</s:t>
        </s:is>
      </s:c>
      <s:c r="B28" s="5">
        <s:f>'Student budget'!B5*12</s:f>
        <s:v>12744</s:v>
      </s:c>
      <s:c r="C28" s="2" t="inlineStr">
        <s:is>
          <s:t>Regulatory benchmark; continuous; ratio; EUR; certain non-EU students (S3)</s:t>
        </s:is>
      </s:c>
    </s:row>
    <s:row r="29" ht="42" customHeight="1">
      <s:c r="A29" s="2" t="inlineStr">
        <s:is>
          <s:t>Minimum student wage, age 21</s:t>
        </s:is>
      </s:c>
      <s:c r="B29" s="5">
        <s:f>'Student budget'!B12</s:f>
        <s:v>13.5644</s:v>
      </s:c>
      <s:c r="C29" s="2" t="inlineStr">
        <s:is>
          <s:t>Regulatory benchmark; continuous; ratio; EUR/hour; fallback absent sector CBA (S11)</s:t>
        </s:is>
      </s:c>
    </s:row>
    <s:row r="30" ht="42" customHeight="1">
      <s:c r="A30" s="2" t="inlineStr">
        <s:is>
          <s:t>Illustrative 650h gross pay, age 21</s:t>
        </s:is>
      </s:c>
      <s:c r="B30" s="5">
        <s:f>'Student budget'!C12</s:f>
        <s:v>8816.859999999999</s:v>
      </s:c>
      <s:c r="C30" s="2" t="inlineStr">
        <s:is>
          <s:t>Derived scenario; continuous; ratio; EUR/year; not VUB average</s:t>
        </s:is>
      </s:c>
    </s:row>
    <s:row r="31" ht="42" customHeight="1">
      <s:c r="A31" s="2" t="n"/>
      <s:c r="B31" s="2" t="n"/>
      <s:c r="C31" s="2" t="n"/>
    </s:row>
    <s:row r="32" ht="65" customHeight="1">
      <s:c r="A32" s="2" t="inlineStr">
        <s:is>
          <s:t>Model controls</s:t>
        </s:is>
      </s:c>
      <s:c r="B32" s="2" t="inlineStr">
        <s:is>
          <s:t>Blue cells are assumptions. Development duration and horizon are fixed to 2 and 30 years; rebuild the saved code for another schedule. No debt, grants, income tax or financing fees; costs gross of nonrecoverable tax.</s:t>
        </s:is>
      </s:c>
      <s:c r="C32" s="2" t="n"/>
    </s:row>
  </s:sheetData>
  <s:autoFilter ref="A1:C32"/>
  <s:mergeCells count="2">
    <s:mergeCell ref="A1:E1"/>
    <s:mergeCell ref="A2:C2"/>
  </s:mergeCells>
  <s:pageMargins left="0.75" right="0.75" top="1" bottom="1" header="0.5" footer="0.5"/>
  <s:pageSetup orientation="landscape" paperSize="8" fitToHeight="0" fitToWidth="1"/>
</s:worksheet>
</file>

<file path=xl/worksheets/sheet2.xml><?xml version="1.0" encoding="utf-8"?>
<s:worksheet xmlns:s="http://schemas.openxmlformats.org/spreadsheetml/2006/main">
  <s:sheetPr>
    <s:outlinePr summaryBelow="1" summaryRight="1"/>
    <s:pageSetUpPr fitToPage="1"/>
  </s:sheetPr>
  <s:dimension ref="A1:E34"/>
  <s:sheetViews>
    <s:sheetView showGridLines="0"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PROJECT INPUTS — blue cells editable</s:t>
        </s:is>
      </s:c>
    </s:row>
    <s:row r="2" ht="42" customHeight="1">
      <s:c r="A2" s="2" t="inlineStr">
        <s:is>
          <s:t>Nominal EUR; unlevered, before income tax. Costs assumed inclusive of nonrecoverable taxes.</s:t>
        </s:is>
      </s:c>
      <s:c r="B2" s="2" t="n"/>
      <s:c r="C2" s="2" t="n"/>
      <s:c r="D2" s="2" t="n"/>
      <s:c r="E2" s="2" t="n"/>
    </s:row>
    <s:row r="3" ht="42" customHeight="1">
      <s:c r="A3" s="3" t="inlineStr">
        <s:is>
          <s:t>Variable</s:t>
        </s:is>
      </s:c>
      <s:c r="B3" s="3" t="inlineStr">
        <s:is>
          <s:t>Value</s:t>
        </s:is>
      </s:c>
      <s:c r="C3" s="3" t="inlineStr">
        <s:is>
          <s:t>Unit</s:t>
        </s:is>
      </s:c>
      <s:c r="D3" s="3" t="inlineStr">
        <s:is>
          <s:t>Variable classification</s:t>
        </s:is>
      </s:c>
      <s:c r="E3" s="3" t="inlineStr">
        <s:is>
          <s:t>Definition / evidence</s:t>
        </s:is>
      </s:c>
    </s:row>
    <s:row r="4" ht="42" customHeight="1">
      <s:c r="A4" s="2" t="inlineStr">
        <s:is>
          <s:t>Rooms</s:t>
        </s:is>
      </s:c>
      <s:c r="B4" s="7" t="n">
        <s:v>100</s:v>
      </s:c>
      <s:c r="C4" s="2" t="inlineStr">
        <s:is>
          <s:t>rooms</s:t>
        </s:is>
      </s:c>
      <s:c r="D4" s="2" t="inlineStr">
        <s:is>
          <s:t>Decision; discrete; ratio</s:t>
        </s:is>
      </s:c>
      <s:c r="E4" s="2" t="inlineStr">
        <s:is>
          <s:t>Illustrative scale; no plot secured</s:t>
        </s:is>
      </s:c>
    </s:row>
    <s:row r="5" ht="42" customHeight="1">
      <s:c r="A5" s="2" t="inlineStr">
        <s:is>
          <s:t>Gross floor area per room</s:t>
        </s:is>
      </s:c>
      <s:c r="B5" s="7" t="n">
        <s:v>28</s:v>
      </s:c>
      <s:c r="C5" s="2" t="inlineStr">
        <s:is>
          <s:t>m²/room</s:t>
        </s:is>
      </s:c>
      <s:c r="D5" s="2" t="inlineStr">
        <s:is>
          <s:t>Assumption; continuous; ratio</s:t>
        </s:is>
      </s:c>
      <s:c r="E5" s="2" t="inlineStr">
        <s:is>
          <s:t>Includes share of circulation and common areas</s:t>
        </s:is>
      </s:c>
    </s:row>
    <s:row r="6" ht="42" customHeight="1">
      <s:c r="A6" s="2" t="inlineStr">
        <s:is>
          <s:t>Construction cost</s:t>
        </s:is>
      </s:c>
      <s:c r="B6" s="7" t="n">
        <s:v>2600</s:v>
      </s:c>
      <s:c r="C6" s="2" t="inlineStr">
        <s:is>
          <s:t>EUR/m²</s:t>
        </s:is>
      </s:c>
      <s:c r="D6" s="2" t="inlineStr">
        <s:is>
          <s:t>Assumption; continuous; ratio</s:t>
        </s:is>
      </s:c>
      <s:c r="E6" s="2" t="inlineStr">
        <s:is>
          <s:t>Concept estimate, gross of nonrecoverable VAT; obtain quotations</s:t>
        </s:is>
      </s:c>
    </s:row>
    <s:row r="7" ht="42" customHeight="1">
      <s:c r="A7" s="2" t="inlineStr">
        <s:is>
          <s:t>Land / acquisition</s:t>
        </s:is>
      </s:c>
      <s:c r="B7" s="7" t="n">
        <s:v>1800000</s:v>
      </s:c>
      <s:c r="C7" s="2" t="inlineStr">
        <s:is>
          <s:t>EUR</s:t>
        </s:is>
      </s:c>
      <s:c r="D7" s="2" t="inlineStr">
        <s:is>
          <s:t>Assumption; continuous; ratio</s:t>
        </s:is>
      </s:c>
      <s:c r="E7" s="2" t="inlineStr">
        <s:is>
          <s:t>No parcel or offer secured</s:t>
        </s:is>
      </s:c>
    </s:row>
    <s:row r="8" ht="42" customHeight="1">
      <s:c r="A8" s="2" t="inlineStr">
        <s:is>
          <s:t>Professional / permit fees</s:t>
        </s:is>
      </s:c>
      <s:c r="B8" s="8" t="n">
        <s:v>0.15</s:v>
      </s:c>
      <s:c r="C8" s="2" t="inlineStr">
        <s:is>
          <s:t>% of construction</s:t>
        </s:is>
      </s:c>
      <s:c r="D8" s="2" t="inlineStr">
        <s:is>
          <s:t>Assumption; continuous; ratio</s:t>
        </s:is>
      </s:c>
      <s:c r="E8" s="2" t="inlineStr">
        <s:is>
          <s:t>Architect, studies, permit; gross cost assumption</s:t>
        </s:is>
      </s:c>
    </s:row>
    <s:row r="9" ht="42" customHeight="1">
      <s:c r="A9" s="2" t="inlineStr">
        <s:is>
          <s:t>Contingency</s:t>
        </s:is>
      </s:c>
      <s:c r="B9" s="8" t="n">
        <s:v>0.1</s:v>
      </s:c>
      <s:c r="C9" s="2" t="inlineStr">
        <s:is>
          <s:t>% of construction + fees</s:t>
        </s:is>
      </s:c>
      <s:c r="D9" s="2" t="inlineStr">
        <s:is>
          <s:t>Assumption; continuous; ratio</s:t>
        </s:is>
      </s:c>
      <s:c r="E9" s="2" t="inlineStr">
        <s:is>
          <s:t>No double counting with operating reserve</s:t>
        </s:is>
      </s:c>
    </s:row>
    <s:row r="10" ht="42" customHeight="1">
      <s:c r="A10" s="2" t="inlineStr">
        <s:is>
          <s:t>Monthly room rent</s:t>
        </s:is>
      </s:c>
      <s:c r="B10" s="7" t="n">
        <s:v>650</s:v>
      </s:c>
      <s:c r="C10" s="2" t="inlineStr">
        <s:is>
          <s:t>EUR/room/month</s:t>
        </s:is>
      </s:c>
      <s:c r="D10" s="2" t="inlineStr">
        <s:is>
          <s:t>Decision; continuous; ratio</s:t>
        </s:is>
      </s:c>
      <s:c r="E10" s="2" t="inlineStr">
        <s:is>
          <s:t>EUR650 private new-build rent assumption, excluding utilities. S10: VUB standard room 2026–2027 EUR449.30 including listed costs; S2 historical private average EUR550. Premium and achievable rent require local comparables.</s:t>
        </s:is>
      </s:c>
    </s:row>
    <s:row r="11" ht="42" customHeight="1">
      <s:c r="A11" s="2" t="inlineStr">
        <s:is>
          <s:t>Annual rent growth</s:t>
        </s:is>
      </s:c>
      <s:c r="B11" s="8" t="n">
        <s:v>0.02</s:v>
      </s:c>
      <s:c r="C11" s="2" t="inlineStr">
        <s:is>
          <s:t>%/year</s:t>
        </s:is>
      </s:c>
      <s:c r="D11" s="2" t="inlineStr">
        <s:is>
          <s:t>Assumption; continuous; ratio</s:t>
        </s:is>
      </s:c>
      <s:c r="E11" s="2" t="inlineStr">
        <s:is>
          <s:t>Subject to lawful indexation and lease provisions</s:t>
        </s:is>
      </s:c>
    </s:row>
    <s:row r="12" ht="42" customHeight="1">
      <s:c r="A12" s="2" t="inlineStr">
        <s:is>
          <s:t>Stabilised occupancy</s:t>
        </s:is>
      </s:c>
      <s:c r="B12" s="8" t="n">
        <s:v>0.95</s:v>
      </s:c>
      <s:c r="C12" s="2" t="inlineStr">
        <s:is>
          <s:t>% of rooms</s:t>
        </s:is>
      </s:c>
      <s:c r="D12" s="2" t="inlineStr">
        <s:is>
          <s:t>Assumption; continuous; ratio</s:t>
        </s:is>
      </s:c>
      <s:c r="E12" s="2" t="inlineStr">
        <s:is>
          <s:t>Includes vacancy and replacement after departures</s:t>
        </s:is>
      </s:c>
    </s:row>
    <s:row r="13" ht="42" customHeight="1">
      <s:c r="A13" s="2" t="inlineStr">
        <s:is>
          <s:t>Operating expense share</s:t>
        </s:is>
      </s:c>
      <s:c r="B13" s="8" t="n">
        <s:v>0.25</s:v>
      </s:c>
      <s:c r="C13" s="2" t="inlineStr">
        <s:is>
          <s:t>% of collected rent</s:t>
        </s:is>
      </s:c>
      <s:c r="D13" s="2" t="inlineStr">
        <s:is>
          <s:t>Assumption; continuous; ratio</s:t>
        </s:is>
      </s:c>
      <s:c r="E13" s="2" t="inlineStr">
        <s:is>
          <s:t>Management, repairs, insurance, property tax, owner utilities; excludes debt and income tax</s:t>
        </s:is>
      </s:c>
    </s:row>
    <s:row r="14" ht="42" customHeight="1">
      <s:c r="A14" s="2" t="inlineStr">
        <s:is>
          <s:t>Annual capital reserve</s:t>
        </s:is>
      </s:c>
      <s:c r="B14" s="7" t="n">
        <s:v>150</s:v>
      </s:c>
      <s:c r="C14" s="2" t="inlineStr">
        <s:is>
          <s:t>EUR/room/year</s:t>
        </s:is>
      </s:c>
      <s:c r="D14" s="2" t="inlineStr">
        <s:is>
          <s:t>Assumption; continuous; ratio</s:t>
        </s:is>
      </s:c>
      <s:c r="E14" s="2" t="inlineStr">
        <s:is>
          <s:t>Inflates at annual rent growth</s:t>
        </s:is>
      </s:c>
    </s:row>
    <s:row r="15" ht="42" customHeight="1">
      <s:c r="A15" s="2" t="inlineStr">
        <s:is>
          <s:t>Discount rate</s:t>
        </s:is>
      </s:c>
      <s:c r="B15" s="8" t="n">
        <s:v>0.07000000000000001</s:v>
      </s:c>
      <s:c r="C15" s="2" t="inlineStr">
        <s:is>
          <s:t>%/year</s:t>
        </s:is>
      </s:c>
      <s:c r="D15" s="2" t="inlineStr">
        <s:is>
          <s:t>Assumption; continuous; ratio</s:t>
        </s:is>
      </s:c>
      <s:c r="E15" s="2" t="inlineStr">
        <s:is>
          <s:t>Nominal unlevered required return</s:t>
        </s:is>
      </s:c>
    </s:row>
    <s:row r="16" ht="42" customHeight="1">
      <s:c r="A16" s="2" t="inlineStr">
        <s:is>
          <s:t>Exit capitalisation rate</s:t>
        </s:is>
      </s:c>
      <s:c r="B16" s="8" t="n">
        <s:v>0.055</s:v>
      </s:c>
      <s:c r="C16" s="2" t="inlineStr">
        <s:is>
          <s:t>%</s:t>
        </s:is>
      </s:c>
      <s:c r="D16" s="2" t="inlineStr">
        <s:is>
          <s:t>Assumption; continuous; ratio</s:t>
        </s:is>
      </s:c>
      <s:c r="E16" s="2" t="inlineStr">
        <s:is>
          <s:t>Applied to next-year NOI before reserve</s:t>
        </s:is>
      </s:c>
    </s:row>
    <s:row r="17" ht="42" customHeight="1">
      <s:c r="A17" s="2" t="inlineStr">
        <s:is>
          <s:t>Exit selling costs</s:t>
        </s:is>
      </s:c>
      <s:c r="B17" s="8" t="n">
        <s:v>0.02</s:v>
      </s:c>
      <s:c r="C17" s="2" t="inlineStr">
        <s:is>
          <s:t>% of terminal value</s:t>
        </s:is>
      </s:c>
      <s:c r="D17" s="2" t="inlineStr">
        <s:is>
          <s:t>Assumption; continuous; ratio</s:t>
        </s:is>
      </s:c>
      <s:c r="E17" s="2" t="inlineStr">
        <s:is>
          <s:t>Illustrative transaction costs</s:t>
        </s:is>
      </s:c>
    </s:row>
    <s:row r="18" ht="42" customHeight="1">
      <s:c r="A18" s="2" t="inlineStr">
        <s:is>
          <s:t>Construction / approvals duration</s:t>
        </s:is>
      </s:c>
      <s:c r="B18" s="9" t="n">
        <s:v>2</s:v>
      </s:c>
      <s:c r="C18" s="2" t="inlineStr">
        <s:is>
          <s:t>years</s:t>
        </s:is>
      </s:c>
      <s:c r="D18" s="2" t="inlineStr">
        <s:is>
          <s:t>Assumption; discrete; ratio</s:t>
        </s:is>
      </s:c>
      <s:c r="E18" s="2" t="inlineStr">
        <s:is>
          <s:t>Fixed 2-year schedule incl. approvals; change code and rebuild for alternative timing.</s:t>
        </s:is>
      </s:c>
    </s:row>
    <s:row r="19" ht="42" customHeight="1">
      <s:c r="A19" s="2" t="inlineStr">
        <s:is>
          <s:t>Operating horizon</s:t>
        </s:is>
      </s:c>
      <s:c r="B19" s="9" t="n">
        <s:v>30</s:v>
      </s:c>
      <s:c r="C19" s="2" t="inlineStr">
        <s:is>
          <s:t>years</s:t>
        </s:is>
      </s:c>
      <s:c r="D19" s="2" t="inlineStr">
        <s:is>
          <s:t>Assumption; discrete; ratio</s:t>
        </s:is>
      </s:c>
      <s:c r="E19" s="2" t="inlineStr">
        <s:is>
          <s:t>Fixed 30-row operating model; changing this requires rebuilding schedule</s:t>
        </s:is>
      </s:c>
    </s:row>
    <s:row r="20" ht="42" customHeight="1">
      <s:c r="A20" s="2" t="inlineStr">
        <s:is>
          <s:t>International student share</s:t>
        </s:is>
      </s:c>
      <s:c r="B20" s="8" t="n">
        <s:v>0.2438</s:v>
      </s:c>
      <s:c r="C20" s="2" t="inlineStr">
        <s:is>
          <s:t>% of VUB students</s:t>
        </s:is>
      </s:c>
      <s:c r="D20" s="2" t="inlineStr">
        <s:is>
          <s:t>Context; continuous; ratio</s:t>
        </s:is>
      </s:c>
      <s:c r="E20" s="2" t="inlineStr">
        <s:is>
          <s:t>S1: VUB Facts &amp; Figures 2024–2025: 24.38% from abroad, 24,199 students; university-wide, not housing demand or this site's catchment.</s:t>
        </s:is>
      </s:c>
    </s:row>
    <s:row r="21" ht="42" customHeight="1">
      <s:c r="A21" s="2" t="inlineStr">
        <s:is>
          <s:t>Annual student resources</s:t>
        </s:is>
      </s:c>
      <s:c r="B21" s="7" t="n">
        <s:v>14000</s:v>
      </s:c>
      <s:c r="C21" s="2" t="inlineStr">
        <s:is>
          <s:t>EUR/student/year</s:t>
        </s:is>
      </s:c>
      <s:c r="D21" s="2" t="inlineStr">
        <s:is>
          <s:t>Scenario; continuous; ratio</s:t>
        </s:is>
      </s:c>
      <s:c r="E21" s="2" t="inlineStr">
        <s:is>
          <s:t>Illustrative annual total resources, NOT observed average earnings. S3: certain non-EU students must prove EUR1,062/month in 2026–2027 (=EUR12,744/year); visa benchmark is not wages.</s:t>
        </s:is>
      </s:c>
    </s:row>
    <s:row r="22" ht="42" customHeight="1">
      <s:c r="A22" s="2" t="inlineStr">
        <s:is>
          <s:t>Academic dropout proxy</s:t>
        </s:is>
      </s:c>
      <s:c r="B22" s="8" t="n">
        <s:v>0.16</s:v>
      </s:c>
      <s:c r="C22" s="2" t="inlineStr">
        <s:is>
          <s:t>% of entrant cohort</s:t>
        </s:is>
      </s:c>
      <s:c r="D22" s="2" t="inlineStr">
        <s:is>
          <s:t>Context assumption; continuous; ratio</s:t>
        </s:is>
      </s:c>
      <s:c r="E22" s="2" t="inlineStr">
        <s:is>
          <s:t>S9: contextual proxy ONLY, not VUB-specific: 16% first-year bachelor dropout among Flemish 2023–2024 starters; published 2026-03-31, provisional. No direct link to housing vacancy.</s:t>
        </s:is>
      </s:c>
    </s:row>
    <s:row r="23" ht="42" customHeight="1">
      <s:c r="A23" s="2" t="inlineStr">
        <s:is>
          <s:t>Baseline annual housing departures</s:t>
        </s:is>
      </s:c>
      <s:c r="B23" s="8" t="n">
        <s:v>0.08</s:v>
      </s:c>
      <s:c r="C23" s="2" t="inlineStr">
        <s:is>
          <s:t>% of residents/year</s:t>
        </s:is>
      </s:c>
      <s:c r="D23" s="2" t="inlineStr">
        <s:is>
          <s:t>Assumption; continuous; ratio</s:t>
        </s:is>
      </s:c>
      <s:c r="E23" s="2" t="inlineStr">
        <s:is>
          <s:t>Illustrative; no causal estimate from academic dropout</s:t>
        </s:is>
      </s:c>
    </s:row>
    <s:row r="24" ht="42" customHeight="1">
      <s:c r="A24" s="2" t="inlineStr">
        <s:is>
          <s:t>Departure response to rent rise</s:t>
        </s:is>
      </s:c>
      <s:c r="B24" s="8" t="n">
        <s:v>0.15</s:v>
      </s:c>
      <s:c r="C24" s="2" t="inlineStr">
        <s:is>
          <s:t>fraction/fraction</s:t>
        </s:is>
      </s:c>
      <s:c r="D24" s="2" t="inlineStr">
        <s:is>
          <s:t>Assumption; continuous; ratio</s:t>
        </s:is>
      </s:c>
      <s:c r="E24" s="2" t="inlineStr">
        <s:is>
          <s:t>A 10% rent increase adds 1.5 percentage points of departures; unvalidated</s:t>
        </s:is>
      </s:c>
    </s:row>
    <s:row r="25" ht="42" customHeight="1">
      <s:c r="A25" s="2" t="n"/>
      <s:c r="B25" s="2" t="n"/>
      <s:c r="C25" s="2" t="n"/>
      <s:c r="D25" s="2" t="n"/>
      <s:c r="E25" s="2" t="n"/>
    </s:row>
    <s:row r="26" ht="42" customHeight="1">
      <s:c r="A26" s="2" t="n"/>
      <s:c r="B26" s="2" t="n"/>
      <s:c r="C26" s="2" t="n"/>
      <s:c r="D26" s="2" t="n"/>
      <s:c r="E26" s="2" t="n"/>
    </s:row>
    <s:row r="27" ht="42" customHeight="1">
      <s:c r="A27" s="2" t="inlineStr">
        <s:is>
          <s:t>Gross area</s:t>
        </s:is>
      </s:c>
      <s:c r="B27" s="5">
        <s:f>B4*B5</s:f>
        <s:v>2800</s:v>
      </s:c>
      <s:c r="C27" s="2" t="n"/>
      <s:c r="D27" s="2" t="n"/>
      <s:c r="E27" s="2" t="n"/>
    </s:row>
    <s:row r="28" ht="42" customHeight="1">
      <s:c r="A28" s="2" t="inlineStr">
        <s:is>
          <s:t>Construction subtotal</s:t>
        </s:is>
      </s:c>
      <s:c r="B28" s="5">
        <s:f>B27*B6</s:f>
        <s:v>7280000</s:v>
      </s:c>
      <s:c r="C28" s="2" t="n"/>
      <s:c r="D28" s="2" t="n"/>
      <s:c r="E28" s="2" t="n"/>
    </s:row>
    <s:row r="29" ht="42" customHeight="1">
      <s:c r="A29" s="2" t="inlineStr">
        <s:is>
          <s:t>Fees</s:t>
        </s:is>
      </s:c>
      <s:c r="B29" s="5">
        <s:f>B28*B8</s:f>
        <s:v>1092000.0</s:v>
      </s:c>
      <s:c r="C29" s="2" t="n"/>
      <s:c r="D29" s="2" t="n"/>
      <s:c r="E29" s="2" t="n"/>
    </s:row>
    <s:row r="30" ht="42" customHeight="1">
      <s:c r="A30" s="2" t="inlineStr">
        <s:is>
          <s:t>Contingency</s:t>
        </s:is>
      </s:c>
      <s:c r="B30" s="5">
        <s:f>(B28+B29)*B9</s:f>
        <s:v>837200.0</s:v>
      </s:c>
      <s:c r="C30" s="2" t="n"/>
      <s:c r="D30" s="2" t="n"/>
      <s:c r="E30" s="2" t="n"/>
    </s:row>
    <s:row r="31" ht="42" customHeight="1">
      <s:c r="A31" s="2" t="inlineStr">
        <s:is>
          <s:t>Total investment</s:t>
        </s:is>
      </s:c>
      <s:c r="B31" s="10">
        <s:f>B7+SUM(B28:B30)</s:f>
        <s:v>11009200.0</s:v>
      </s:c>
      <s:c r="C31" s="2" t="n"/>
      <s:c r="D31" s="2" t="n"/>
      <s:c r="E31" s="2" t="n"/>
    </s:row>
    <s:row r="32" ht="42" customHeight="1">
      <s:c r="A32" s="2" t="n"/>
      <s:c r="B32" s="2" t="n"/>
      <s:c r="C32" s="2" t="n"/>
      <s:c r="D32" s="2" t="n"/>
      <s:c r="E32" s="2" t="n"/>
    </s:row>
    <s:row r="33" ht="42" customHeight="1">
      <s:c r="A33" s="2" t="inlineStr">
        <s:is>
          <s:t>Location</s:t>
        </s:is>
      </s:c>
      <s:c r="B33" s="2" t="inlineStr">
        <s:is>
          <s:t>Etterbeek / Ixelles, near VUB Main Campus, Pleinlaan / Boulevard de la Plaine</s:t>
        </s:is>
      </s:c>
      <s:c r="C33" s="2" t="n"/>
      <s:c r="D33" s="2" t="n"/>
      <s:c r="E33" s="2" t="n"/>
    </s:row>
    <s:row r="34" ht="42" customHeight="1">
      <s:c r="A34" s="2" t="inlineStr">
        <s:is>
          <s:t>Site status</s:t>
        </s:is>
      </s:c>
      <s:c r="B34" s="2" t="inlineStr">
        <s:is>
          <s:t>Search area only: no identified parcel, zoning clearance or buildability confirmation.</s:t>
        </s:is>
      </s:c>
      <s:c r="C34" s="2" t="n"/>
      <s:c r="D34" s="2" t="n"/>
      <s:c r="E34" s="2" t="n"/>
    </s:row>
  </s:sheetData>
  <s:autoFilter ref="A1:E34"/>
  <s:mergeCells count="1">
    <s:mergeCell ref="A1:E1"/>
  </s:mergeCells>
  <s:dataValidations count="4">
    <s:dataValidation sqref="B18" showDropDown="0" showInputMessage="0" showErrorMessage="1" allowBlank="0" errorTitle="Fixed schedule" error="Rebuild build_model.py to change this schedule assumption." type="whole" errorStyle="stop" operator="equal">
      <s:formula1>2</s:formula1>
    </s:dataValidation>
    <s:dataValidation sqref="B19" showDropDown="0" showInputMessage="0" showErrorMessage="1" allowBlank="0" errorTitle="Fixed schedule" error="Rebuild build_model.py to change this schedule assumption." type="whole" errorStyle="stop" operator="equal">
      <s:formula1>30</s:formula1>
    </s:dataValidation>
    <s:dataValidation sqref="B4 B5 B6 B7 B10 B14 B15 B16 B21" showDropDown="0" showInputMessage="0" showErrorMessage="1" allowBlank="0" error="Enter a positive number." type="decimal" operator="greaterThan">
      <s:formula1>0</s:formula1>
    </s:dataValidation>
    <s:dataValidation sqref="B8 B9 B11 B12 B13 B17 B20 B22 B23 B24" showDropDown="0" showInputMessage="0" showErrorMessage="1" allowBlank="0" error="Enter a fraction from 0 to 1." type="decimal" operator="between">
      <s:formula1>0</s:formula1>
      <s:formula2>1</s:formula2>
    </s:dataValidation>
  </s:dataValidations>
  <s:pageMargins left="0.75" right="0.75" top="1" bottom="1" header="0.5" footer="0.5"/>
  <s:pageSetup orientation="landscape" paperSize="8" fitToHeight="0" fitToWidth="1"/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1"/>
  </s:sheetPr>
  <s:dimension ref="A1:T34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2" customWidth="1" min="1" max="1"/>
    <s:col width="22" customWidth="1" min="2" max="2"/>
    <s:col width="22" customWidth="1" min="3" max="3"/>
    <s:col width="22" customWidth="1" min="4" max="4"/>
    <s:col width="22" customWidth="1" min="5" max="5"/>
    <s:col width="22" customWidth="1" min="6" max="6"/>
    <s:col width="22" customWidth="1" min="7" max="7"/>
    <s:col width="22" customWidth="1" min="8" max="8"/>
    <s:col width="22" customWidth="1" min="9" max="9"/>
    <s:col width="22" customWidth="1" min="10" max="10"/>
    <s:col width="22" customWidth="1" min="11" max="11"/>
    <s:col width="22" customWidth="1" min="12" max="12"/>
    <s:col width="22" customWidth="1" min="13" max="13"/>
    <s:col width="22" customWidth="1" min="14" max="14"/>
    <s:col width="22" customWidth="1" min="15" max="15"/>
    <s:col width="22" customWidth="1" min="16" max="16"/>
    <s:col width="22" customWidth="1" min="17" max="17"/>
    <s:col width="22" customWidth="1" min="18" max="18"/>
    <s:col width="22" customWidth="1" min="19" max="19"/>
    <s:col width="22" customWidth="1" min="20" max="20"/>
  </s:cols>
  <s:sheetData>
    <s:row r="1" ht="31" customHeight="1">
      <s:c r="A1" s="1" t="inlineStr">
        <s:is>
          <s:t>UNLEVERED ANNUAL CASH FLOW — end-of-year convention</s:t>
        </s:is>
      </s:c>
    </s:row>
    <s:row r="2" ht="23" customHeight="1">
      <s:c r="A2" s="3" t="inlineStr">
        <s:is>
          <s:t>Year</s:t>
        </s:is>
      </s:c>
      <s:c r="B2" s="3" t="inlineStr">
        <s:is>
          <s:t>Stage</s:t>
        </s:is>
      </s:c>
      <s:c r="C2" s="3" t="inlineStr">
        <s:is>
          <s:t>Capex</s:t>
        </s:is>
      </s:c>
      <s:c r="D2" s="3" t="inlineStr">
        <s:is>
          <s:t>Gross rent</s:t>
        </s:is>
      </s:c>
      <s:c r="E2" s="3" t="inlineStr">
        <s:is>
          <s:t>Occupancy</s:t>
        </s:is>
      </s:c>
      <s:c r="F2" s="3" t="inlineStr">
        <s:is>
          <s:t>Collected rent</s:t>
        </s:is>
      </s:c>
      <s:c r="G2" s="3" t="inlineStr">
        <s:is>
          <s:t>Operating costs</s:t>
        </s:is>
      </s:c>
      <s:c r="H2" s="3" t="inlineStr">
        <s:is>
          <s:t>NOI</s:t>
        </s:is>
      </s:c>
      <s:c r="I2" s="3" t="inlineStr">
        <s:is>
          <s:t>Capital reserve</s:t>
        </s:is>
      </s:c>
      <s:c r="J2" s="3" t="inlineStr">
        <s:is>
          <s:t>Net operating CF</s:t>
        </s:is>
      </s:c>
      <s:c r="K2" s="3" t="inlineStr">
        <s:is>
          <s:t>Net sale proceeds</s:t>
        </s:is>
      </s:c>
      <s:c r="L2" s="3" t="inlineStr">
        <s:is>
          <s:t>Total CF</s:t>
        </s:is>
      </s:c>
      <s:c r="M2" s="3" t="inlineStr">
        <s:is>
          <s:t>Discount factor</s:t>
        </s:is>
      </s:c>
      <s:c r="N2" s="3" t="inlineStr">
        <s:is>
          <s:t>PV</s:t>
        </s:is>
      </s:c>
      <s:c r="O2" s="3" t="inlineStr">
        <s:is>
          <s:t>Cumulative CF</s:t>
        </s:is>
      </s:c>
      <s:c r="P2" s="3" t="inlineStr">
        <s:is>
          <s:t>Cumulative CF excl. exit</s:t>
        </s:is>
      </s:c>
      <s:c r="Q2" s="3" t="inlineStr">
        <s:is>
          <s:t>Cumulative discounted CF</s:t>
        </s:is>
      </s:c>
      <s:c r="R2" s="3" t="inlineStr">
        <s:is>
          <s:t>PBP crossing</s:t>
        </s:is>
      </s:c>
      <s:c r="S2" s="3" t="inlineStr">
        <s:is>
          <s:t>Operating PBP crossing</s:t>
        </s:is>
      </s:c>
      <s:c r="T2" s="3" t="inlineStr">
        <s:is>
          <s:t>Discounted PBP crossing</s:t>
        </s:is>
      </s:c>
    </s:row>
    <s:row r="3" ht="23" customHeight="1">
      <s:c r="A3" s="5" t="n">
        <s:v>0</s:v>
      </s:c>
      <s:c r="B3" s="2" t="inlineStr">
        <s:is>
          <s:t>Construction</s:t>
        </s:is>
      </s:c>
      <s:c r="C3" s="5">
        <s:f>-Inputs!B7-(Inputs!B31-Inputs!B7)/2</s:f>
        <s:v>-6404600.0</s:v>
      </s:c>
      <s:c r="D3" s="5">
        <s:f>0</s:f>
        <s:v>0</s:v>
      </s:c>
      <s:c r="E3" s="6">
        <s:f>0</s:f>
        <s:v>0</s:v>
      </s:c>
      <s:c r="F3" s="5">
        <s:f>D3*E3</s:f>
        <s:v>0.0</s:v>
      </s:c>
      <s:c r="G3" s="5">
        <s:f>F3*Inputs!B13</s:f>
        <s:v>0.0</s:v>
      </s:c>
      <s:c r="H3" s="5">
        <s:f>F3-G3</s:f>
        <s:v>0.0</s:v>
      </s:c>
      <s:c r="I3" s="5">
        <s:f>0</s:f>
        <s:v>0</s:v>
      </s:c>
      <s:c r="J3" s="5">
        <s:f>H3-I3</s:f>
        <s:v>0.0</s:v>
      </s:c>
      <s:c r="K3" s="5">
        <s:f>0</s:f>
        <s:v>0</s:v>
      </s:c>
      <s:c r="L3" s="5">
        <s:f>C3+J3+K3</s:f>
        <s:v>-6404600.0</s:v>
      </s:c>
      <s:c r="M3" s="5">
        <s:f>1/(1+Inputs!B15)^A3</s:f>
        <s:v>1.0</s:v>
      </s:c>
      <s:c r="N3" s="5">
        <s:f>L3*M3</s:f>
        <s:v>-6404600.0</s:v>
      </s:c>
      <s:c r="O3" s="5">
        <s:f>SUM(L$3:L3)</s:f>
        <s:v>-6404600.0</s:v>
      </s:c>
      <s:c r="P3" s="5">
        <s:f>SUM(L$3:L3)-SUM(K$3:K3)</s:f>
        <s:v>-6404600.0</s:v>
      </s:c>
      <s:c r="Q3" s="5">
        <s:f>SUM(N$3:N3)</s:f>
        <s:v>-6404600.0</s:v>
      </s:c>
      <s:c r="R3" s="5">
        <s:f>0</s:f>
        <s:v>0</s:v>
      </s:c>
      <s:c r="S3" s="5">
        <s:f>0</s:f>
        <s:v>0</s:v>
      </s:c>
      <s:c r="T3" s="5">
        <s:f>0</s:f>
        <s:v>0</s:v>
      </s:c>
    </s:row>
    <s:row r="4" ht="23" customHeight="1">
      <s:c r="A4" s="5" t="n">
        <s:v>1</s:v>
      </s:c>
      <s:c r="B4" s="2" t="inlineStr">
        <s:is>
          <s:t>Construction</s:t>
        </s:is>
      </s:c>
      <s:c r="C4" s="5">
        <s:f>-(Inputs!B31-Inputs!B7)/2</s:f>
        <s:v>-4604600.0</s:v>
      </s:c>
      <s:c r="D4" s="5">
        <s:f>0</s:f>
        <s:v>0</s:v>
      </s:c>
      <s:c r="E4" s="6">
        <s:f>0</s:f>
        <s:v>0</s:v>
      </s:c>
      <s:c r="F4" s="5">
        <s:f>D4*E4</s:f>
        <s:v>0.0</s:v>
      </s:c>
      <s:c r="G4" s="5">
        <s:f>F4*Inputs!B13</s:f>
        <s:v>0.0</s:v>
      </s:c>
      <s:c r="H4" s="5">
        <s:f>F4-G4</s:f>
        <s:v>0.0</s:v>
      </s:c>
      <s:c r="I4" s="5">
        <s:f>0</s:f>
        <s:v>0</s:v>
      </s:c>
      <s:c r="J4" s="5">
        <s:f>H4-I4</s:f>
        <s:v>0.0</s:v>
      </s:c>
      <s:c r="K4" s="5">
        <s:f>0</s:f>
        <s:v>0</s:v>
      </s:c>
      <s:c r="L4" s="5">
        <s:f>C4+J4+K4</s:f>
        <s:v>-4604600.0</s:v>
      </s:c>
      <s:c r="M4" s="5">
        <s:f>1/(1+Inputs!B15)^A4</s:f>
        <s:v>0.9345794392523364</s:v>
      </s:c>
      <s:c r="N4" s="5">
        <s:f>L4*M4</s:f>
        <s:v>-4303364.485981308</s:v>
      </s:c>
      <s:c r="O4" s="5">
        <s:f>SUM(L$3:L4)</s:f>
        <s:v>-11009200.0</s:v>
      </s:c>
      <s:c r="P4" s="5">
        <s:f>SUM(L$3:L4)-SUM(K$3:K4)</s:f>
        <s:v>-11009200.0</s:v>
      </s:c>
      <s:c r="Q4" s="5">
        <s:f>SUM(N$3:N4)</s:f>
        <s:v>-10707964.485981308</s:v>
      </s:c>
      <s:c r="R4" s="5">
        <s:f>IF(AND(O4&gt;=0,O3&lt;0),A4-1-O3/L4,0)</s:f>
        <s:v>0</s:v>
      </s:c>
      <s:c r="S4" s="5">
        <s:f>IF(AND(P4&gt;=0,P3&lt;0),A4-1-P3/J4,0)</s:f>
        <s:v>0</s:v>
      </s:c>
      <s:c r="T4" s="5">
        <s:f>IF(AND(Q4&gt;=0,Q3&lt;0),A4-1-Q3/N4,0)</s:f>
        <s:v>0</s:v>
      </s:c>
    </s:row>
    <s:row r="5" ht="23" customHeight="1">
      <s:c r="A5" s="5" t="n">
        <s:v>2</s:v>
      </s:c>
      <s:c r="B5" s="2" t="inlineStr">
        <s:is>
          <s:t>Operating</s:t>
        </s:is>
      </s:c>
      <s:c r="C5" s="5">
        <s:f>0</s:f>
        <s:v>0</s:v>
      </s:c>
      <s:c r="D5" s="5">
        <s:f>Inputs!B4*Inputs!B10*12*(1+Inputs!B11)^(A5-Inputs!B18)</s:f>
        <s:v>780000.0</s:v>
      </s:c>
      <s:c r="E5" s="6">
        <s:f>Inputs!B12</s:f>
        <s:v>0.95</s:v>
      </s:c>
      <s:c r="F5" s="5">
        <s:f>D5*E5</s:f>
        <s:v>741000.0</s:v>
      </s:c>
      <s:c r="G5" s="5">
        <s:f>F5*Inputs!B13</s:f>
        <s:v>185250.0</s:v>
      </s:c>
      <s:c r="H5" s="5">
        <s:f>F5-G5</s:f>
        <s:v>555750.0</s:v>
      </s:c>
      <s:c r="I5" s="5">
        <s:f>Inputs!B4*Inputs!B14*(1+Inputs!B11)^(A5-Inputs!B18)</s:f>
        <s:v>15000.0</s:v>
      </s:c>
      <s:c r="J5" s="5">
        <s:f>H5-I5</s:f>
        <s:v>540750.0</s:v>
      </s:c>
      <s:c r="K5" s="5">
        <s:f>0</s:f>
        <s:v>0</s:v>
      </s:c>
      <s:c r="L5" s="5">
        <s:f>C5+J5+K5</s:f>
        <s:v>540750.0</s:v>
      </s:c>
      <s:c r="M5" s="5">
        <s:f>1/(1+Inputs!B15)^A5</s:f>
        <s:v>0.8734387282732116</s:v>
      </s:c>
      <s:c r="N5" s="5">
        <s:f>L5*M5</s:f>
        <s:v>472311.9923137392</s:v>
      </s:c>
      <s:c r="O5" s="5">
        <s:f>SUM(L$3:L5)</s:f>
        <s:v>-10468450.0</s:v>
      </s:c>
      <s:c r="P5" s="5">
        <s:f>SUM(L$3:L5)-SUM(K$3:K5)</s:f>
        <s:v>-10468450.0</s:v>
      </s:c>
      <s:c r="Q5" s="5">
        <s:f>SUM(N$3:N5)</s:f>
        <s:v>-10235652.493667569</s:v>
      </s:c>
      <s:c r="R5" s="5">
        <s:f>IF(AND(O5&gt;=0,O4&lt;0),A5-1-O4/L5,0)</s:f>
        <s:v>0</s:v>
      </s:c>
      <s:c r="S5" s="5">
        <s:f>IF(AND(P5&gt;=0,P4&lt;0),A5-1-P4/J5,0)</s:f>
        <s:v>0</s:v>
      </s:c>
      <s:c r="T5" s="5">
        <s:f>IF(AND(Q5&gt;=0,Q4&lt;0),A5-1-Q4/N5,0)</s:f>
        <s:v>0</s:v>
      </s:c>
    </s:row>
    <s:row r="6" ht="23" customHeight="1">
      <s:c r="A6" s="5" t="n">
        <s:v>3</s:v>
      </s:c>
      <s:c r="B6" s="2" t="inlineStr">
        <s:is>
          <s:t>Operating</s:t>
        </s:is>
      </s:c>
      <s:c r="C6" s="5">
        <s:f>0</s:f>
        <s:v>0</s:v>
      </s:c>
      <s:c r="D6" s="5">
        <s:f>Inputs!B4*Inputs!B10*12*(1+Inputs!B11)^(A6-Inputs!B18)</s:f>
        <s:v>795600.0</s:v>
      </s:c>
      <s:c r="E6" s="6">
        <s:f>Inputs!B12</s:f>
        <s:v>0.95</s:v>
      </s:c>
      <s:c r="F6" s="5">
        <s:f>D6*E6</s:f>
        <s:v>755820.0</s:v>
      </s:c>
      <s:c r="G6" s="5">
        <s:f>F6*Inputs!B13</s:f>
        <s:v>188955.0</s:v>
      </s:c>
      <s:c r="H6" s="5">
        <s:f>F6-G6</s:f>
        <s:v>566865.0</s:v>
      </s:c>
      <s:c r="I6" s="5">
        <s:f>Inputs!B4*Inputs!B14*(1+Inputs!B11)^(A6-Inputs!B18)</s:f>
        <s:v>15300.0</s:v>
      </s:c>
      <s:c r="J6" s="5">
        <s:f>H6-I6</s:f>
        <s:v>551565.0</s:v>
      </s:c>
      <s:c r="K6" s="5">
        <s:f>0</s:f>
        <s:v>0</s:v>
      </s:c>
      <s:c r="L6" s="5">
        <s:f>C6+J6+K6</s:f>
        <s:v>551565.0</s:v>
      </s:c>
      <s:c r="M6" s="5">
        <s:f>1/(1+Inputs!B15)^A6</s:f>
        <s:v>0.8162978768908519</s:v>
      </s:c>
      <s:c r="N6" s="5">
        <s:f>L6*M6</s:f>
        <s:v>450241.33846730273</s:v>
      </s:c>
      <s:c r="O6" s="5">
        <s:f>SUM(L$3:L6)</s:f>
        <s:v>-9916885.0</s:v>
      </s:c>
      <s:c r="P6" s="5">
        <s:f>SUM(L$3:L6)-SUM(K$3:K6)</s:f>
        <s:v>-9916885.0</s:v>
      </s:c>
      <s:c r="Q6" s="5">
        <s:f>SUM(N$3:N6)</s:f>
        <s:v>-9785411.155200265</s:v>
      </s:c>
      <s:c r="R6" s="5">
        <s:f>IF(AND(O6&gt;=0,O5&lt;0),A6-1-O5/L6,0)</s:f>
        <s:v>0</s:v>
      </s:c>
      <s:c r="S6" s="5">
        <s:f>IF(AND(P6&gt;=0,P5&lt;0),A6-1-P5/J6,0)</s:f>
        <s:v>0</s:v>
      </s:c>
      <s:c r="T6" s="5">
        <s:f>IF(AND(Q6&gt;=0,Q5&lt;0),A6-1-Q5/N6,0)</s:f>
        <s:v>0</s:v>
      </s:c>
    </s:row>
    <s:row r="7" ht="23" customHeight="1">
      <s:c r="A7" s="5" t="n">
        <s:v>4</s:v>
      </s:c>
      <s:c r="B7" s="2" t="inlineStr">
        <s:is>
          <s:t>Operating</s:t>
        </s:is>
      </s:c>
      <s:c r="C7" s="5">
        <s:f>0</s:f>
        <s:v>0</s:v>
      </s:c>
      <s:c r="D7" s="5">
        <s:f>Inputs!B4*Inputs!B10*12*(1+Inputs!B11)^(A7-Inputs!B18)</s:f>
        <s:v>811512.0</s:v>
      </s:c>
      <s:c r="E7" s="6">
        <s:f>Inputs!B12</s:f>
        <s:v>0.95</s:v>
      </s:c>
      <s:c r="F7" s="5">
        <s:f>D7*E7</s:f>
        <s:v>770936.3999999999</s:v>
      </s:c>
      <s:c r="G7" s="5">
        <s:f>F7*Inputs!B13</s:f>
        <s:v>192734.09999999998</s:v>
      </s:c>
      <s:c r="H7" s="5">
        <s:f>F7-G7</s:f>
        <s:v>578202.2999999999</s:v>
      </s:c>
      <s:c r="I7" s="5">
        <s:f>Inputs!B4*Inputs!B14*(1+Inputs!B11)^(A7-Inputs!B18)</s:f>
        <s:v>15606.0</s:v>
      </s:c>
      <s:c r="J7" s="5">
        <s:f>H7-I7</s:f>
        <s:v>562596.2999999999</s:v>
      </s:c>
      <s:c r="K7" s="5">
        <s:f>0</s:f>
        <s:v>0</s:v>
      </s:c>
      <s:c r="L7" s="5">
        <s:f>C7+J7+K7</s:f>
        <s:v>562596.2999999999</s:v>
      </s:c>
      <s:c r="M7" s="5">
        <s:f>1/(1+Inputs!B15)^A7</s:f>
        <s:v>0.7628952120475251</s:v>
      </s:c>
      <s:c r="N7" s="5">
        <s:f>L7*M7</s:f>
        <s:v>429202.023585653</s:v>
      </s:c>
      <s:c r="O7" s="5">
        <s:f>SUM(L$3:L7)</s:f>
        <s:v>-9354288.7</s:v>
      </s:c>
      <s:c r="P7" s="5">
        <s:f>SUM(L$3:L7)-SUM(K$3:K7)</s:f>
        <s:v>-9354288.7</s:v>
      </s:c>
      <s:c r="Q7" s="5">
        <s:f>SUM(N$3:N7)</s:f>
        <s:v>-9356209.131614612</s:v>
      </s:c>
      <s:c r="R7" s="5">
        <s:f>IF(AND(O7&gt;=0,O6&lt;0),A7-1-O6/L7,0)</s:f>
        <s:v>0</s:v>
      </s:c>
      <s:c r="S7" s="5">
        <s:f>IF(AND(P7&gt;=0,P6&lt;0),A7-1-P6/J7,0)</s:f>
        <s:v>0</s:v>
      </s:c>
      <s:c r="T7" s="5">
        <s:f>IF(AND(Q7&gt;=0,Q6&lt;0),A7-1-Q6/N7,0)</s:f>
        <s:v>0</s:v>
      </s:c>
    </s:row>
    <s:row r="8" ht="23" customHeight="1">
      <s:c r="A8" s="5" t="n">
        <s:v>5</s:v>
      </s:c>
      <s:c r="B8" s="2" t="inlineStr">
        <s:is>
          <s:t>Operating</s:t>
        </s:is>
      </s:c>
      <s:c r="C8" s="5">
        <s:f>0</s:f>
        <s:v>0</s:v>
      </s:c>
      <s:c r="D8" s="5">
        <s:f>Inputs!B4*Inputs!B10*12*(1+Inputs!B11)^(A8-Inputs!B18)</s:f>
        <s:v>827742.2400000001</s:v>
      </s:c>
      <s:c r="E8" s="6">
        <s:f>Inputs!B12</s:f>
        <s:v>0.95</s:v>
      </s:c>
      <s:c r="F8" s="5">
        <s:f>D8*E8</s:f>
        <s:v>786355.128</s:v>
      </s:c>
      <s:c r="G8" s="5">
        <s:f>F8*Inputs!B13</s:f>
        <s:v>196588.782</s:v>
      </s:c>
      <s:c r="H8" s="5">
        <s:f>F8-G8</s:f>
        <s:v>589766.346</s:v>
      </s:c>
      <s:c r="I8" s="5">
        <s:f>Inputs!B4*Inputs!B14*(1+Inputs!B11)^(A8-Inputs!B18)</s:f>
        <s:v>15918.120000000003</s:v>
      </s:c>
      <s:c r="J8" s="5">
        <s:f>H8-I8</s:f>
        <s:v>573848.226</s:v>
      </s:c>
      <s:c r="K8" s="5">
        <s:f>0</s:f>
        <s:v>0</s:v>
      </s:c>
      <s:c r="L8" s="5">
        <s:f>C8+J8+K8</s:f>
        <s:v>573848.226</s:v>
      </s:c>
      <s:c r="M8" s="5">
        <s:f>1/(1+Inputs!B15)^A8</s:f>
        <s:v>0.7129861794836683</s:v>
      </s:c>
      <s:c r="N8" s="5">
        <s:f>L8*M8</s:f>
        <s:v>409145.85425922065</s:v>
      </s:c>
      <s:c r="O8" s="5">
        <s:f>SUM(L$3:L8)</s:f>
        <s:v>-8780440.474</s:v>
      </s:c>
      <s:c r="P8" s="5">
        <s:f>SUM(L$3:L8)-SUM(K$3:K8)</s:f>
        <s:v>-8780440.474</s:v>
      </s:c>
      <s:c r="Q8" s="5">
        <s:f>SUM(N$3:N8)</s:f>
        <s:v>-8947063.277355392</s:v>
      </s:c>
      <s:c r="R8" s="5">
        <s:f>IF(AND(O8&gt;=0,O7&lt;0),A8-1-O7/L8,0)</s:f>
        <s:v>0</s:v>
      </s:c>
      <s:c r="S8" s="5">
        <s:f>IF(AND(P8&gt;=0,P7&lt;0),A8-1-P7/J8,0)</s:f>
        <s:v>0</s:v>
      </s:c>
      <s:c r="T8" s="5">
        <s:f>IF(AND(Q8&gt;=0,Q7&lt;0),A8-1-Q7/N8,0)</s:f>
        <s:v>0</s:v>
      </s:c>
    </s:row>
    <s:row r="9" ht="23" customHeight="1">
      <s:c r="A9" s="5" t="n">
        <s:v>6</s:v>
      </s:c>
      <s:c r="B9" s="2" t="inlineStr">
        <s:is>
          <s:t>Operating</s:t>
        </s:is>
      </s:c>
      <s:c r="C9" s="5">
        <s:f>0</s:f>
        <s:v>0</s:v>
      </s:c>
      <s:c r="D9" s="5">
        <s:f>Inputs!B4*Inputs!B10*12*(1+Inputs!B11)^(A9-Inputs!B18)</s:f>
        <s:v>844297.0848</s:v>
      </s:c>
      <s:c r="E9" s="6">
        <s:f>Inputs!B12</s:f>
        <s:v>0.95</s:v>
      </s:c>
      <s:c r="F9" s="5">
        <s:f>D9*E9</s:f>
        <s:v>802082.2305599999</s:v>
      </s:c>
      <s:c r="G9" s="5">
        <s:f>F9*Inputs!B13</s:f>
        <s:v>200520.55763999998</s:v>
      </s:c>
      <s:c r="H9" s="5">
        <s:f>F9-G9</s:f>
        <s:v>601561.6729199999</s:v>
      </s:c>
      <s:c r="I9" s="5">
        <s:f>Inputs!B4*Inputs!B14*(1+Inputs!B11)^(A9-Inputs!B18)</s:f>
        <s:v>16236.482399999999</s:v>
      </s:c>
      <s:c r="J9" s="5">
        <s:f>H9-I9</s:f>
        <s:v>585325.19052</s:v>
      </s:c>
      <s:c r="K9" s="5">
        <s:f>0</s:f>
        <s:v>0</s:v>
      </s:c>
      <s:c r="L9" s="5">
        <s:f>C9+J9+K9</s:f>
        <s:v>585325.19052</s:v>
      </s:c>
      <s:c r="M9" s="5">
        <s:f>1/(1+Inputs!B15)^A9</s:f>
        <s:v>0.6663422238165123</s:v>
      </s:c>
      <s:c r="N9" s="5">
        <s:f>L9*M9</s:f>
        <s:v>390026.8891069205</s:v>
      </s:c>
      <s:c r="O9" s="5">
        <s:f>SUM(L$3:L9)</s:f>
        <s:v>-8195115.28348</s:v>
      </s:c>
      <s:c r="P9" s="5">
        <s:f>SUM(L$3:L9)-SUM(K$3:K9)</s:f>
        <s:v>-8195115.28348</s:v>
      </s:c>
      <s:c r="Q9" s="5">
        <s:f>SUM(N$3:N9)</s:f>
        <s:v>-8557036.388248472</s:v>
      </s:c>
      <s:c r="R9" s="5">
        <s:f>IF(AND(O9&gt;=0,O8&lt;0),A9-1-O8/L9,0)</s:f>
        <s:v>0</s:v>
      </s:c>
      <s:c r="S9" s="5">
        <s:f>IF(AND(P9&gt;=0,P8&lt;0),A9-1-P8/J9,0)</s:f>
        <s:v>0</s:v>
      </s:c>
      <s:c r="T9" s="5">
        <s:f>IF(AND(Q9&gt;=0,Q8&lt;0),A9-1-Q8/N9,0)</s:f>
        <s:v>0</s:v>
      </s:c>
    </s:row>
    <s:row r="10" ht="23" customHeight="1">
      <s:c r="A10" s="5" t="n">
        <s:v>7</s:v>
      </s:c>
      <s:c r="B10" s="2" t="inlineStr">
        <s:is>
          <s:t>Operating</s:t>
        </s:is>
      </s:c>
      <s:c r="C10" s="5">
        <s:f>0</s:f>
        <s:v>0</s:v>
      </s:c>
      <s:c r="D10" s="5">
        <s:f>Inputs!B4*Inputs!B10*12*(1+Inputs!B11)^(A10-Inputs!B18)</s:f>
        <s:v>861183.026496</s:v>
      </s:c>
      <s:c r="E10" s="6">
        <s:f>Inputs!B12</s:f>
        <s:v>0.95</s:v>
      </s:c>
      <s:c r="F10" s="5">
        <s:f>D10*E10</s:f>
        <s:v>818123.8751712</s:v>
      </s:c>
      <s:c r="G10" s="5">
        <s:f>F10*Inputs!B13</s:f>
        <s:v>204530.9687928</s:v>
      </s:c>
      <s:c r="H10" s="5">
        <s:f>F10-G10</s:f>
        <s:v>613592.9063784</s:v>
      </s:c>
      <s:c r="I10" s="5">
        <s:f>Inputs!B4*Inputs!B14*(1+Inputs!B11)^(A10-Inputs!B18)</s:f>
        <s:v>16561.212048</s:v>
      </s:c>
      <s:c r="J10" s="5">
        <s:f>H10-I10</s:f>
        <s:v>597031.6943304001</s:v>
      </s:c>
      <s:c r="K10" s="5">
        <s:f>0</s:f>
        <s:v>0</s:v>
      </s:c>
      <s:c r="L10" s="5">
        <s:f>C10+J10+K10</s:f>
        <s:v>597031.6943304001</s:v>
      </s:c>
      <s:c r="M10" s="5">
        <s:f>1/(1+Inputs!B15)^A10</s:f>
        <s:v>0.622749741884591</s:v>
      </s:c>
      <s:c r="N10" s="5">
        <s:f>L10*M10</s:f>
        <s:v>371801.33354117663</s:v>
      </s:c>
      <s:c r="O10" s="5">
        <s:f>SUM(L$3:L10)</s:f>
        <s:v>-7598083.5891496</s:v>
      </s:c>
      <s:c r="P10" s="5">
        <s:f>SUM(L$3:L10)-SUM(K$3:K10)</s:f>
        <s:v>-7598083.5891496</s:v>
      </s:c>
      <s:c r="Q10" s="5">
        <s:f>SUM(N$3:N10)</s:f>
        <s:v>-8185235.054707295</s:v>
      </s:c>
      <s:c r="R10" s="5">
        <s:f>IF(AND(O10&gt;=0,O9&lt;0),A10-1-O9/L10,0)</s:f>
        <s:v>0</s:v>
      </s:c>
      <s:c r="S10" s="5">
        <s:f>IF(AND(P10&gt;=0,P9&lt;0),A10-1-P9/J10,0)</s:f>
        <s:v>0</s:v>
      </s:c>
      <s:c r="T10" s="5">
        <s:f>IF(AND(Q10&gt;=0,Q9&lt;0),A10-1-Q9/N10,0)</s:f>
        <s:v>0</s:v>
      </s:c>
    </s:row>
    <s:row r="11" ht="23" customHeight="1">
      <s:c r="A11" s="5" t="n">
        <s:v>8</s:v>
      </s:c>
      <s:c r="B11" s="2" t="inlineStr">
        <s:is>
          <s:t>Operating</s:t>
        </s:is>
      </s:c>
      <s:c r="C11" s="5">
        <s:f>0</s:f>
        <s:v>0</s:v>
      </s:c>
      <s:c r="D11" s="5">
        <s:f>Inputs!B4*Inputs!B10*12*(1+Inputs!B11)^(A11-Inputs!B18)</s:f>
        <s:v>878406.68702592</s:v>
      </s:c>
      <s:c r="E11" s="6">
        <s:f>Inputs!B12</s:f>
        <s:v>0.95</s:v>
      </s:c>
      <s:c r="F11" s="5">
        <s:f>D11*E11</s:f>
        <s:v>834486.352674624</s:v>
      </s:c>
      <s:c r="G11" s="5">
        <s:f>F11*Inputs!B13</s:f>
        <s:v>208621.588168656</s:v>
      </s:c>
      <s:c r="H11" s="5">
        <s:f>F11-G11</s:f>
        <s:v>625864.764505968</s:v>
      </s:c>
      <s:c r="I11" s="5">
        <s:f>Inputs!B4*Inputs!B14*(1+Inputs!B11)^(A11-Inputs!B18)</s:f>
        <s:v>16892.43628896</s:v>
      </s:c>
      <s:c r="J11" s="5">
        <s:f>H11-I11</s:f>
        <s:v>608972.3282170079</s:v>
      </s:c>
      <s:c r="K11" s="5">
        <s:f>0</s:f>
        <s:v>0</s:v>
      </s:c>
      <s:c r="L11" s="5">
        <s:f>C11+J11+K11</s:f>
        <s:v>608972.3282170079</s:v>
      </s:c>
      <s:c r="M11" s="5">
        <s:f>1/(1+Inputs!B15)^A11</s:f>
        <s:v>0.5820091045650382</s:v>
      </s:c>
      <s:c r="N11" s="5">
        <s:f>L11*M11</s:f>
        <s:v>354427.43945046735</s:v>
      </s:c>
      <s:c r="O11" s="5">
        <s:f>SUM(L$3:L11)</s:f>
        <s:v>-6989111.260932592</s:v>
      </s:c>
      <s:c r="P11" s="5">
        <s:f>SUM(L$3:L11)-SUM(K$3:K11)</s:f>
        <s:v>-6989111.260932592</s:v>
      </s:c>
      <s:c r="Q11" s="5">
        <s:f>SUM(N$3:N11)</s:f>
        <s:v>-7830807.615256828</s:v>
      </s:c>
      <s:c r="R11" s="5">
        <s:f>IF(AND(O11&gt;=0,O10&lt;0),A11-1-O10/L11,0)</s:f>
        <s:v>0</s:v>
      </s:c>
      <s:c r="S11" s="5">
        <s:f>IF(AND(P11&gt;=0,P10&lt;0),A11-1-P10/J11,0)</s:f>
        <s:v>0</s:v>
      </s:c>
      <s:c r="T11" s="5">
        <s:f>IF(AND(Q11&gt;=0,Q10&lt;0),A11-1-Q10/N11,0)</s:f>
        <s:v>0</s:v>
      </s:c>
    </s:row>
    <s:row r="12" ht="23" customHeight="1">
      <s:c r="A12" s="5" t="n">
        <s:v>9</s:v>
      </s:c>
      <s:c r="B12" s="2" t="inlineStr">
        <s:is>
          <s:t>Operating</s:t>
        </s:is>
      </s:c>
      <s:c r="C12" s="5">
        <s:f>0</s:f>
        <s:v>0</s:v>
      </s:c>
      <s:c r="D12" s="5">
        <s:f>Inputs!B4*Inputs!B10*12*(1+Inputs!B11)^(A12-Inputs!B18)</s:f>
        <s:v>895974.8207664384</s:v>
      </s:c>
      <s:c r="E12" s="6">
        <s:f>Inputs!B12</s:f>
        <s:v>0.95</s:v>
      </s:c>
      <s:c r="F12" s="5">
        <s:f>D12*E12</s:f>
        <s:v>851176.0797281164</s:v>
      </s:c>
      <s:c r="G12" s="5">
        <s:f>F12*Inputs!B13</s:f>
        <s:v>212794.0199320291</s:v>
      </s:c>
      <s:c r="H12" s="5">
        <s:f>F12-G12</s:f>
        <s:v>638382.0597960873</s:v>
      </s:c>
      <s:c r="I12" s="5">
        <s:f>Inputs!B4*Inputs!B14*(1+Inputs!B11)^(A12-Inputs!B18)</s:f>
        <s:v>17230.285014739202</s:v>
      </s:c>
      <s:c r="J12" s="5">
        <s:f>H12-I12</s:f>
        <s:v>621151.7747813482</s:v>
      </s:c>
      <s:c r="K12" s="5">
        <s:f>0</s:f>
        <s:v>0</s:v>
      </s:c>
      <s:c r="L12" s="5">
        <s:f>C12+J12+K12</s:f>
        <s:v>621151.7747813482</s:v>
      </s:c>
      <s:c r="M12" s="5">
        <s:f>1/(1+Inputs!B15)^A12</s:f>
        <s:v>0.5439337425841478</s:v>
      </s:c>
      <s:c r="N12" s="5">
        <s:f>L12*M12</s:f>
        <s:v>337865.4095696044</s:v>
      </s:c>
      <s:c r="O12" s="5">
        <s:f>SUM(L$3:L12)</s:f>
        <s:v>-6367959.486151244</s:v>
      </s:c>
      <s:c r="P12" s="5">
        <s:f>SUM(L$3:L12)-SUM(K$3:K12)</s:f>
        <s:v>-6367959.486151244</s:v>
      </s:c>
      <s:c r="Q12" s="5">
        <s:f>SUM(N$3:N12)</s:f>
        <s:v>-7492942.205687224</s:v>
      </s:c>
      <s:c r="R12" s="5">
        <s:f>IF(AND(O12&gt;=0,O11&lt;0),A12-1-O11/L12,0)</s:f>
        <s:v>0</s:v>
      </s:c>
      <s:c r="S12" s="5">
        <s:f>IF(AND(P12&gt;=0,P11&lt;0),A12-1-P11/J12,0)</s:f>
        <s:v>0</s:v>
      </s:c>
      <s:c r="T12" s="5">
        <s:f>IF(AND(Q12&gt;=0,Q11&lt;0),A12-1-Q11/N12,0)</s:f>
        <s:v>0</s:v>
      </s:c>
    </s:row>
    <s:row r="13" ht="23" customHeight="1">
      <s:c r="A13" s="5" t="n">
        <s:v>10</s:v>
      </s:c>
      <s:c r="B13" s="2" t="inlineStr">
        <s:is>
          <s:t>Operating</s:t>
        </s:is>
      </s:c>
      <s:c r="C13" s="5">
        <s:f>0</s:f>
        <s:v>0</s:v>
      </s:c>
      <s:c r="D13" s="5">
        <s:f>Inputs!B4*Inputs!B10*12*(1+Inputs!B11)^(A13-Inputs!B18)</s:f>
        <s:v>913894.3171817673</s:v>
      </s:c>
      <s:c r="E13" s="6">
        <s:f>Inputs!B12</s:f>
        <s:v>0.95</s:v>
      </s:c>
      <s:c r="F13" s="5">
        <s:f>D13*E13</s:f>
        <s:v>868199.601322679</s:v>
      </s:c>
      <s:c r="G13" s="5">
        <s:f>F13*Inputs!B13</s:f>
        <s:v>217049.90033066974</s:v>
      </s:c>
      <s:c r="H13" s="5">
        <s:f>F13-G13</s:f>
        <s:v>651149.7009920093</s:v>
      </s:c>
      <s:c r="I13" s="5">
        <s:f>Inputs!B4*Inputs!B14*(1+Inputs!B11)^(A13-Inputs!B18)</s:f>
        <s:v>17574.890715033987</s:v>
      </s:c>
      <s:c r="J13" s="5">
        <s:f>H13-I13</s:f>
        <s:v>633574.8102769753</s:v>
      </s:c>
      <s:c r="K13" s="5">
        <s:f>0</s:f>
        <s:v>0</s:v>
      </s:c>
      <s:c r="L13" s="5">
        <s:f>C13+J13+K13</s:f>
        <s:v>633574.8102769753</s:v>
      </s:c>
      <s:c r="M13" s="5">
        <s:f>1/(1+Inputs!B15)^A13</s:f>
        <s:v>0.5083492921347176</s:v>
      </s:c>
      <s:c r="N13" s="5">
        <s:f>L13*M13</s:f>
        <s:v>322077.3063186884</s:v>
      </s:c>
      <s:c r="O13" s="5">
        <s:f>SUM(L$3:L13)</s:f>
        <s:v>-5734384.675874269</s:v>
      </s:c>
      <s:c r="P13" s="5">
        <s:f>SUM(L$3:L13)-SUM(K$3:K13)</s:f>
        <s:v>-5734384.675874269</s:v>
      </s:c>
      <s:c r="Q13" s="5">
        <s:f>SUM(N$3:N13)</s:f>
        <s:v>-7170864.899368536</s:v>
      </s:c>
      <s:c r="R13" s="5">
        <s:f>IF(AND(O13&gt;=0,O12&lt;0),A13-1-O12/L13,0)</s:f>
        <s:v>0</s:v>
      </s:c>
      <s:c r="S13" s="5">
        <s:f>IF(AND(P13&gt;=0,P12&lt;0),A13-1-P12/J13,0)</s:f>
        <s:v>0</s:v>
      </s:c>
      <s:c r="T13" s="5">
        <s:f>IF(AND(Q13&gt;=0,Q12&lt;0),A13-1-Q12/N13,0)</s:f>
        <s:v>0</s:v>
      </s:c>
    </s:row>
    <s:row r="14" ht="23" customHeight="1">
      <s:c r="A14" s="5" t="n">
        <s:v>11</s:v>
      </s:c>
      <s:c r="B14" s="2" t="inlineStr">
        <s:is>
          <s:t>Operating</s:t>
        </s:is>
      </s:c>
      <s:c r="C14" s="5">
        <s:f>0</s:f>
        <s:v>0</s:v>
      </s:c>
      <s:c r="D14" s="5">
        <s:f>Inputs!B4*Inputs!B10*12*(1+Inputs!B11)^(A14-Inputs!B18)</s:f>
        <s:v>932172.2035254026</s:v>
      </s:c>
      <s:c r="E14" s="6">
        <s:f>Inputs!B12</s:f>
        <s:v>0.95</s:v>
      </s:c>
      <s:c r="F14" s="5">
        <s:f>D14*E14</s:f>
        <s:v>885563.5933491325</s:v>
      </s:c>
      <s:c r="G14" s="5">
        <s:f>F14*Inputs!B13</s:f>
        <s:v>221390.8983372831</s:v>
      </s:c>
      <s:c r="H14" s="5">
        <s:f>F14-G14</s:f>
        <s:v>664172.6950118493</s:v>
      </s:c>
      <s:c r="I14" s="5">
        <s:f>Inputs!B4*Inputs!B14*(1+Inputs!B11)^(A14-Inputs!B18)</s:f>
        <s:v>17926.388529334665</s:v>
      </s:c>
      <s:c r="J14" s="5">
        <s:f>H14-I14</s:f>
        <s:v>646246.3064825146</s:v>
      </s:c>
      <s:c r="K14" s="5">
        <s:f>0</s:f>
        <s:v>0</s:v>
      </s:c>
      <s:c r="L14" s="5">
        <s:f>C14+J14+K14</s:f>
        <s:v>646246.3064825146</s:v>
      </s:c>
      <s:c r="M14" s="5">
        <s:f>1/(1+Inputs!B15)^A14</s:f>
        <s:v>0.47509279638758645</s:v>
      </s:c>
      <s:c r="N14" s="5">
        <s:f>L14*M14</s:f>
        <s:v>307026.9649019271</s:v>
      </s:c>
      <s:c r="O14" s="5">
        <s:f>SUM(L$3:L14)</s:f>
        <s:v>-5088138.369391754</s:v>
      </s:c>
      <s:c r="P14" s="5">
        <s:f>SUM(L$3:L14)-SUM(K$3:K14)</s:f>
        <s:v>-5088138.369391754</s:v>
      </s:c>
      <s:c r="Q14" s="5">
        <s:f>SUM(N$3:N14)</s:f>
        <s:v>-6863837.934466609</s:v>
      </s:c>
      <s:c r="R14" s="5">
        <s:f>IF(AND(O14&gt;=0,O13&lt;0),A14-1-O13/L14,0)</s:f>
        <s:v>0</s:v>
      </s:c>
      <s:c r="S14" s="5">
        <s:f>IF(AND(P14&gt;=0,P13&lt;0),A14-1-P13/J14,0)</s:f>
        <s:v>0</s:v>
      </s:c>
      <s:c r="T14" s="5">
        <s:f>IF(AND(Q14&gt;=0,Q13&lt;0),A14-1-Q13/N14,0)</s:f>
        <s:v>0</s:v>
      </s:c>
    </s:row>
    <s:row r="15" ht="23" customHeight="1">
      <s:c r="A15" s="5" t="n">
        <s:v>12</s:v>
      </s:c>
      <s:c r="B15" s="2" t="inlineStr">
        <s:is>
          <s:t>Operating</s:t>
        </s:is>
      </s:c>
      <s:c r="C15" s="5">
        <s:f>0</s:f>
        <s:v>0</s:v>
      </s:c>
      <s:c r="D15" s="5">
        <s:f>Inputs!B4*Inputs!B10*12*(1+Inputs!B11)^(A15-Inputs!B18)</s:f>
        <s:v>950815.6475959107</s:v>
      </s:c>
      <s:c r="E15" s="6">
        <s:f>Inputs!B12</s:f>
        <s:v>0.95</s:v>
      </s:c>
      <s:c r="F15" s="5">
        <s:f>D15*E15</s:f>
        <s:v>903274.8652161151</s:v>
      </s:c>
      <s:c r="G15" s="5">
        <s:f>F15*Inputs!B13</s:f>
        <s:v>225818.71630402879</s:v>
      </s:c>
      <s:c r="H15" s="5">
        <s:f>F15-G15</s:f>
        <s:v>677456.1489120864</s:v>
      </s:c>
      <s:c r="I15" s="5">
        <s:f>Inputs!B4*Inputs!B14*(1+Inputs!B11)^(A15-Inputs!B18)</s:f>
        <s:v>18284.91629992136</s:v>
      </s:c>
      <s:c r="J15" s="5">
        <s:f>H15-I15</s:f>
        <s:v>659171.232612165</s:v>
      </s:c>
      <s:c r="K15" s="5">
        <s:f>0</s:f>
        <s:v>0</s:v>
      </s:c>
      <s:c r="L15" s="5">
        <s:f>C15+J15+K15</s:f>
        <s:v>659171.232612165</s:v>
      </s:c>
      <s:c r="M15" s="5">
        <s:f>1/(1+Inputs!B15)^A15</s:f>
        <s:v>0.444011959240735</s:v>
      </s:c>
      <s:c r="N15" s="5">
        <s:f>L15*M15</s:f>
        <s:v>292679.91046725767</s:v>
      </s:c>
      <s:c r="O15" s="5">
        <s:f>SUM(L$3:L15)</s:f>
        <s:v>-4428967.13677959</s:v>
      </s:c>
      <s:c r="P15" s="5">
        <s:f>SUM(L$3:L15)-SUM(K$3:K15)</s:f>
        <s:v>-4428967.13677959</s:v>
      </s:c>
      <s:c r="Q15" s="5">
        <s:f>SUM(N$3:N15)</s:f>
        <s:v>-6571158.023999351</s:v>
      </s:c>
      <s:c r="R15" s="5">
        <s:f>IF(AND(O15&gt;=0,O14&lt;0),A15-1-O14/L15,0)</s:f>
        <s:v>0</s:v>
      </s:c>
      <s:c r="S15" s="5">
        <s:f>IF(AND(P15&gt;=0,P14&lt;0),A15-1-P14/J15,0)</s:f>
        <s:v>0</s:v>
      </s:c>
      <s:c r="T15" s="5">
        <s:f>IF(AND(Q15&gt;=0,Q14&lt;0),A15-1-Q14/N15,0)</s:f>
        <s:v>0</s:v>
      </s:c>
    </s:row>
    <s:row r="16" ht="23" customHeight="1">
      <s:c r="A16" s="5" t="n">
        <s:v>13</s:v>
      </s:c>
      <s:c r="B16" s="2" t="inlineStr">
        <s:is>
          <s:t>Operating</s:t>
        </s:is>
      </s:c>
      <s:c r="C16" s="5">
        <s:f>0</s:f>
        <s:v>0</s:v>
      </s:c>
      <s:c r="D16" s="5">
        <s:f>Inputs!B4*Inputs!B10*12*(1+Inputs!B11)^(A16-Inputs!B18)</s:f>
        <s:v>969831.9605478289</s:v>
      </s:c>
      <s:c r="E16" s="6">
        <s:f>Inputs!B12</s:f>
        <s:v>0.95</s:v>
      </s:c>
      <s:c r="F16" s="5">
        <s:f>D16*E16</s:f>
        <s:v>921340.3625204375</s:v>
      </s:c>
      <s:c r="G16" s="5">
        <s:f>F16*Inputs!B13</s:f>
        <s:v>230335.09063010936</s:v>
      </s:c>
      <s:c r="H16" s="5">
        <s:f>F16-G16</s:f>
        <s:v>691005.271890328</s:v>
      </s:c>
      <s:c r="I16" s="5">
        <s:f>Inputs!B4*Inputs!B14*(1+Inputs!B11)^(A16-Inputs!B18)</s:f>
        <s:v>18650.61462591979</s:v>
      </s:c>
      <s:c r="J16" s="5">
        <s:f>H16-I16</s:f>
        <s:v>672354.6572644082</s:v>
      </s:c>
      <s:c r="K16" s="5">
        <s:f>0</s:f>
        <s:v>0</s:v>
      </s:c>
      <s:c r="L16" s="5">
        <s:f>C16+J16+K16</s:f>
        <s:v>672354.6572644082</s:v>
      </s:c>
      <s:c r="M16" s="5">
        <s:f>1/(1+Inputs!B15)^A16</s:f>
        <s:v>0.41496444788853737</s:v>
      </s:c>
      <s:c r="N16" s="5">
        <s:f>L16*M16</s:f>
        <s:v>279003.2791370119</s:v>
      </s:c>
      <s:c r="O16" s="5">
        <s:f>SUM(L$3:L16)</s:f>
        <s:v>-3756612.4795151814</s:v>
      </s:c>
      <s:c r="P16" s="5">
        <s:f>SUM(L$3:L16)-SUM(K$3:K16)</s:f>
        <s:v>-3756612.4795151814</s:v>
      </s:c>
      <s:c r="Q16" s="5">
        <s:f>SUM(N$3:N16)</s:f>
        <s:v>-6292154.744862339</s:v>
      </s:c>
      <s:c r="R16" s="5">
        <s:f>IF(AND(O16&gt;=0,O15&lt;0),A16-1-O15/L16,0)</s:f>
        <s:v>0</s:v>
      </s:c>
      <s:c r="S16" s="5">
        <s:f>IF(AND(P16&gt;=0,P15&lt;0),A16-1-P15/J16,0)</s:f>
        <s:v>0</s:v>
      </s:c>
      <s:c r="T16" s="5">
        <s:f>IF(AND(Q16&gt;=0,Q15&lt;0),A16-1-Q15/N16,0)</s:f>
        <s:v>0</s:v>
      </s:c>
    </s:row>
    <s:row r="17" ht="23" customHeight="1">
      <s:c r="A17" s="5" t="n">
        <s:v>14</s:v>
      </s:c>
      <s:c r="B17" s="2" t="inlineStr">
        <s:is>
          <s:t>Operating</s:t>
        </s:is>
      </s:c>
      <s:c r="C17" s="5">
        <s:f>0</s:f>
        <s:v>0</s:v>
      </s:c>
      <s:c r="D17" s="5">
        <s:f>Inputs!B4*Inputs!B10*12*(1+Inputs!B11)^(A17-Inputs!B18)</s:f>
        <s:v>989228.5997587855</s:v>
      </s:c>
      <s:c r="E17" s="6">
        <s:f>Inputs!B12</s:f>
        <s:v>0.95</s:v>
      </s:c>
      <s:c r="F17" s="5">
        <s:f>D17*E17</s:f>
        <s:v>939767.1697708461</s:v>
      </s:c>
      <s:c r="G17" s="5">
        <s:f>F17*Inputs!B13</s:f>
        <s:v>234941.79244271154</s:v>
      </s:c>
      <s:c r="H17" s="5">
        <s:f>F17-G17</s:f>
        <s:v>704825.3773281346</s:v>
      </s:c>
      <s:c r="I17" s="5">
        <s:f>Inputs!B4*Inputs!B14*(1+Inputs!B11)^(A17-Inputs!B18)</s:f>
        <s:v>19023.62691843818</s:v>
      </s:c>
      <s:c r="J17" s="5">
        <s:f>H17-I17</s:f>
        <s:v>685801.7504096965</s:v>
      </s:c>
      <s:c r="K17" s="5">
        <s:f>0</s:f>
        <s:v>0</s:v>
      </s:c>
      <s:c r="L17" s="5">
        <s:f>C17+J17+K17</s:f>
        <s:v>685801.7504096965</s:v>
      </s:c>
      <s:c r="M17" s="5">
        <s:f>1/(1+Inputs!B15)^A17</s:f>
        <s:v>0.3878172410173246</s:v>
      </s:c>
      <s:c r="N17" s="5">
        <s:f>L17*M17</s:f>
        <s:v>265965.7427287404</s:v>
      </s:c>
      <s:c r="O17" s="5">
        <s:f>SUM(L$3:L17)</s:f>
        <s:v>-3070810.7291054847</s:v>
      </s:c>
      <s:c r="P17" s="5">
        <s:f>SUM(L$3:L17)-SUM(K$3:K17)</s:f>
        <s:v>-3070810.7291054847</s:v>
      </s:c>
      <s:c r="Q17" s="5">
        <s:f>SUM(N$3:N17)</s:f>
        <s:v>-6026189.0021335995</s:v>
      </s:c>
      <s:c r="R17" s="5">
        <s:f>IF(AND(O17&gt;=0,O16&lt;0),A17-1-O16/L17,0)</s:f>
        <s:v>0</s:v>
      </s:c>
      <s:c r="S17" s="5">
        <s:f>IF(AND(P17&gt;=0,P16&lt;0),A17-1-P16/J17,0)</s:f>
        <s:v>0</s:v>
      </s:c>
      <s:c r="T17" s="5">
        <s:f>IF(AND(Q17&gt;=0,Q16&lt;0),A17-1-Q16/N17,0)</s:f>
        <s:v>0</s:v>
      </s:c>
    </s:row>
    <s:row r="18" ht="23" customHeight="1">
      <s:c r="A18" s="5" t="n">
        <s:v>15</s:v>
      </s:c>
      <s:c r="B18" s="2" t="inlineStr">
        <s:is>
          <s:t>Operating</s:t>
        </s:is>
      </s:c>
      <s:c r="C18" s="5">
        <s:f>0</s:f>
        <s:v>0</s:v>
      </s:c>
      <s:c r="D18" s="5">
        <s:f>Inputs!B4*Inputs!B10*12*(1+Inputs!B11)^(A18-Inputs!B18)</s:f>
        <s:v>1009013.1717539612</s:v>
      </s:c>
      <s:c r="E18" s="6">
        <s:f>Inputs!B12</s:f>
        <s:v>0.95</s:v>
      </s:c>
      <s:c r="F18" s="5">
        <s:f>D18*E18</s:f>
        <s:v>958562.5131662631</s:v>
      </s:c>
      <s:c r="G18" s="5">
        <s:f>F18*Inputs!B13</s:f>
        <s:v>239640.62829156578</s:v>
      </s:c>
      <s:c r="H18" s="5">
        <s:f>F18-G18</s:f>
        <s:v>718921.8848746973</s:v>
      </s:c>
      <s:c r="I18" s="5">
        <s:f>Inputs!B4*Inputs!B14*(1+Inputs!B11)^(A18-Inputs!B18)</s:f>
        <s:v>19404.099456806947</s:v>
      </s:c>
      <s:c r="J18" s="5">
        <s:f>H18-I18</s:f>
        <s:v>699517.7854178904</s:v>
      </s:c>
      <s:c r="K18" s="5">
        <s:f>0</s:f>
        <s:v>0</s:v>
      </s:c>
      <s:c r="L18" s="5">
        <s:f>C18+J18+K18</s:f>
        <s:v>699517.7854178904</s:v>
      </s:c>
      <s:c r="M18" s="5">
        <s:f>1/(1+Inputs!B15)^A18</s:f>
        <s:v>0.36244601964235945</s:v>
      </s:c>
      <s:c r="N18" s="5">
        <s:f>L18*M18</s:f>
        <s:v>253537.4369937525</s:v>
      </s:c>
      <s:c r="O18" s="5">
        <s:f>SUM(L$3:L18)</s:f>
        <s:v>-2371292.9436875945</s:v>
      </s:c>
      <s:c r="P18" s="5">
        <s:f>SUM(L$3:L18)-SUM(K$3:K18)</s:f>
        <s:v>-2371292.9436875945</s:v>
      </s:c>
      <s:c r="Q18" s="5">
        <s:f>SUM(N$3:N18)</s:f>
        <s:v>-5772651.565139847</s:v>
      </s:c>
      <s:c r="R18" s="5">
        <s:f>IF(AND(O18&gt;=0,O17&lt;0),A18-1-O17/L18,0)</s:f>
        <s:v>0</s:v>
      </s:c>
      <s:c r="S18" s="5">
        <s:f>IF(AND(P18&gt;=0,P17&lt;0),A18-1-P17/J18,0)</s:f>
        <s:v>0</s:v>
      </s:c>
      <s:c r="T18" s="5">
        <s:f>IF(AND(Q18&gt;=0,Q17&lt;0),A18-1-Q17/N18,0)</s:f>
        <s:v>0</s:v>
      </s:c>
    </s:row>
    <s:row r="19" ht="23" customHeight="1">
      <s:c r="A19" s="5" t="n">
        <s:v>16</s:v>
      </s:c>
      <s:c r="B19" s="2" t="inlineStr">
        <s:is>
          <s:t>Operating</s:t>
        </s:is>
      </s:c>
      <s:c r="C19" s="5">
        <s:f>0</s:f>
        <s:v>0</s:v>
      </s:c>
      <s:c r="D19" s="5">
        <s:f>Inputs!B4*Inputs!B10*12*(1+Inputs!B11)^(A19-Inputs!B18)</s:f>
        <s:v>1029193.4351890405</s:v>
      </s:c>
      <s:c r="E19" s="6">
        <s:f>Inputs!B12</s:f>
        <s:v>0.95</s:v>
      </s:c>
      <s:c r="F19" s="5">
        <s:f>D19*E19</s:f>
        <s:v>977733.7634295884</s:v>
      </s:c>
      <s:c r="G19" s="5">
        <s:f>F19*Inputs!B13</s:f>
        <s:v>244433.4408573971</s:v>
      </s:c>
      <s:c r="H19" s="5">
        <s:f>F19-G19</s:f>
        <s:v>733300.3225721912</s:v>
      </s:c>
      <s:c r="I19" s="5">
        <s:f>Inputs!B4*Inputs!B14*(1+Inputs!B11)^(A19-Inputs!B18)</s:f>
        <s:v>19792.181445943086</s:v>
      </s:c>
      <s:c r="J19" s="5">
        <s:f>H19-I19</s:f>
        <s:v>713508.1411262482</s:v>
      </s:c>
      <s:c r="K19" s="5">
        <s:f>0</s:f>
        <s:v>0</s:v>
      </s:c>
      <s:c r="L19" s="5">
        <s:f>C19+J19+K19</s:f>
        <s:v>713508.1411262482</s:v>
      </s:c>
      <s:c r="M19" s="5">
        <s:f>1/(1+Inputs!B15)^A19</s:f>
        <s:v>0.33873459779659754</s:v>
      </s:c>
      <s:c r="N19" s="5">
        <s:f>L19*M19</s:f>
        <s:v>241689.89320899764</s:v>
      </s:c>
      <s:c r="O19" s="5">
        <s:f>SUM(L$3:L19)</s:f>
        <s:v>-1657784.8025613464</s:v>
      </s:c>
      <s:c r="P19" s="5">
        <s:f>SUM(L$3:L19)-SUM(K$3:K19)</s:f>
        <s:v>-1657784.8025613464</s:v>
      </s:c>
      <s:c r="Q19" s="5">
        <s:f>SUM(N$3:N19)</s:f>
        <s:v>-5530961.67193085</s:v>
      </s:c>
      <s:c r="R19" s="5">
        <s:f>IF(AND(O19&gt;=0,O18&lt;0),A19-1-O18/L19,0)</s:f>
        <s:v>0</s:v>
      </s:c>
      <s:c r="S19" s="5">
        <s:f>IF(AND(P19&gt;=0,P18&lt;0),A19-1-P18/J19,0)</s:f>
        <s:v>0</s:v>
      </s:c>
      <s:c r="T19" s="5">
        <s:f>IF(AND(Q19&gt;=0,Q18&lt;0),A19-1-Q18/N19,0)</s:f>
        <s:v>0</s:v>
      </s:c>
    </s:row>
    <s:row r="20" ht="23" customHeight="1">
      <s:c r="A20" s="5" t="n">
        <s:v>17</s:v>
      </s:c>
      <s:c r="B20" s="2" t="inlineStr">
        <s:is>
          <s:t>Operating</s:t>
        </s:is>
      </s:c>
      <s:c r="C20" s="5">
        <s:f>0</s:f>
        <s:v>0</s:v>
      </s:c>
      <s:c r="D20" s="5">
        <s:f>Inputs!B4*Inputs!B10*12*(1+Inputs!B11)^(A20-Inputs!B18)</s:f>
        <s:v>1049777.3038928213</s:v>
      </s:c>
      <s:c r="E20" s="6">
        <s:f>Inputs!B12</s:f>
        <s:v>0.95</s:v>
      </s:c>
      <s:c r="F20" s="5">
        <s:f>D20*E20</s:f>
        <s:v>997288.4386981801</s:v>
      </s:c>
      <s:c r="G20" s="5">
        <s:f>F20*Inputs!B13</s:f>
        <s:v>249322.10967454503</s:v>
      </s:c>
      <s:c r="H20" s="5">
        <s:f>F20-G20</s:f>
        <s:v>747966.3290236351</s:v>
      </s:c>
      <s:c r="I20" s="5">
        <s:f>Inputs!B4*Inputs!B14*(1+Inputs!B11)^(A20-Inputs!B18)</s:f>
        <s:v>20188.025074861947</s:v>
      </s:c>
      <s:c r="J20" s="5">
        <s:f>H20-I20</s:f>
        <s:v>727778.3039487732</s:v>
      </s:c>
      <s:c r="K20" s="5">
        <s:f>0</s:f>
        <s:v>0</s:v>
      </s:c>
      <s:c r="L20" s="5">
        <s:f>C20+J20+K20</s:f>
        <s:v>727778.3039487732</s:v>
      </s:c>
      <s:c r="M20" s="5">
        <s:f>1/(1+Inputs!B15)^A20</s:f>
        <s:v>0.3165743904641099</s:v>
      </s:c>
      <s:c r="N20" s="5">
        <s:f>L20*M20</s:f>
        <s:v>230395.97296558658</s:v>
      </s:c>
      <s:c r="O20" s="5">
        <s:f>SUM(L$3:L20)</s:f>
        <s:v>-930006.4986125733</s:v>
      </s:c>
      <s:c r="P20" s="5">
        <s:f>SUM(L$3:L20)-SUM(K$3:K20)</s:f>
        <s:v>-930006.4986125733</s:v>
      </s:c>
      <s:c r="Q20" s="5">
        <s:f>SUM(N$3:N20)</s:f>
        <s:v>-5300565.698965263</s:v>
      </s:c>
      <s:c r="R20" s="5">
        <s:f>IF(AND(O20&gt;=0,O19&lt;0),A20-1-O19/L20,0)</s:f>
        <s:v>0</s:v>
      </s:c>
      <s:c r="S20" s="5">
        <s:f>IF(AND(P20&gt;=0,P19&lt;0),A20-1-P19/J20,0)</s:f>
        <s:v>0</s:v>
      </s:c>
      <s:c r="T20" s="5">
        <s:f>IF(AND(Q20&gt;=0,Q19&lt;0),A20-1-Q19/N20,0)</s:f>
        <s:v>0</s:v>
      </s:c>
    </s:row>
    <s:row r="21" ht="23" customHeight="1">
      <s:c r="A21" s="5" t="n">
        <s:v>18</s:v>
      </s:c>
      <s:c r="B21" s="2" t="inlineStr">
        <s:is>
          <s:t>Operating</s:t>
        </s:is>
      </s:c>
      <s:c r="C21" s="5">
        <s:f>0</s:f>
        <s:v>0</s:v>
      </s:c>
      <s:c r="D21" s="5">
        <s:f>Inputs!B4*Inputs!B10*12*(1+Inputs!B11)^(A21-Inputs!B18)</s:f>
        <s:v>1070772.8499706776</s:v>
      </s:c>
      <s:c r="E21" s="6">
        <s:f>Inputs!B12</s:f>
        <s:v>0.95</s:v>
      </s:c>
      <s:c r="F21" s="5">
        <s:f>D21*E21</s:f>
        <s:v>1017234.2074721437</s:v>
      </s:c>
      <s:c r="G21" s="5">
        <s:f>F21*Inputs!B13</s:f>
        <s:v>254308.55186803592</s:v>
      </s:c>
      <s:c r="H21" s="5">
        <s:f>F21-G21</s:f>
        <s:v>762925.6556041078</s:v>
      </s:c>
      <s:c r="I21" s="5">
        <s:f>Inputs!B4*Inputs!B14*(1+Inputs!B11)^(A21-Inputs!B18)</s:f>
        <s:v>20591.785576359187</s:v>
      </s:c>
      <s:c r="J21" s="5">
        <s:f>H21-I21</s:f>
        <s:v>742333.8700277486</s:v>
      </s:c>
      <s:c r="K21" s="5">
        <s:f>0</s:f>
        <s:v>0</s:v>
      </s:c>
      <s:c r="L21" s="5">
        <s:f>C21+J21+K21</s:f>
        <s:v>742333.8700277486</s:v>
      </s:c>
      <s:c r="M21" s="5">
        <s:f>1/(1+Inputs!B15)^A21</s:f>
        <s:v>0.295863916321598</s:v>
      </s:c>
      <s:c r="N21" s="5">
        <s:f>L21*M21</s:f>
        <s:v>219629.80600457784</s:v>
      </s:c>
      <s:c r="O21" s="5">
        <s:f>SUM(L$3:L21)</s:f>
        <s:v>-187672.62858482462</s:v>
      </s:c>
      <s:c r="P21" s="5">
        <s:f>SUM(L$3:L21)-SUM(K$3:K21)</s:f>
        <s:v>-187672.62858482462</s:v>
      </s:c>
      <s:c r="Q21" s="5">
        <s:f>SUM(N$3:N21)</s:f>
        <s:v>-5080935.892960684</s:v>
      </s:c>
      <s:c r="R21" s="5">
        <s:f>IF(AND(O21&gt;=0,O20&lt;0),A21-1-O20/L21,0)</s:f>
        <s:v>0</s:v>
      </s:c>
      <s:c r="S21" s="5">
        <s:f>IF(AND(P21&gt;=0,P20&lt;0),A21-1-P20/J21,0)</s:f>
        <s:v>0</s:v>
      </s:c>
      <s:c r="T21" s="5">
        <s:f>IF(AND(Q21&gt;=0,Q20&lt;0),A21-1-Q20/N21,0)</s:f>
        <s:v>0</s:v>
      </s:c>
    </s:row>
    <s:row r="22" ht="23" customHeight="1">
      <s:c r="A22" s="5" t="n">
        <s:v>19</s:v>
      </s:c>
      <s:c r="B22" s="2" t="inlineStr">
        <s:is>
          <s:t>Operating</s:t>
        </s:is>
      </s:c>
      <s:c r="C22" s="5">
        <s:f>0</s:f>
        <s:v>0</s:v>
      </s:c>
      <s:c r="D22" s="5">
        <s:f>Inputs!B4*Inputs!B10*12*(1+Inputs!B11)^(A22-Inputs!B18)</s:f>
        <s:v>1092188.3069700913</s:v>
      </s:c>
      <s:c r="E22" s="6">
        <s:f>Inputs!B12</s:f>
        <s:v>0.95</s:v>
      </s:c>
      <s:c r="F22" s="5">
        <s:f>D22*E22</s:f>
        <s:v>1037578.8916215866</s:v>
      </s:c>
      <s:c r="G22" s="5">
        <s:f>F22*Inputs!B13</s:f>
        <s:v>259394.72290539666</s:v>
      </s:c>
      <s:c r="H22" s="5">
        <s:f>F22-G22</s:f>
        <s:v>778184.1687161899</s:v>
      </s:c>
      <s:c r="I22" s="5">
        <s:f>Inputs!B4*Inputs!B14*(1+Inputs!B11)^(A22-Inputs!B18)</s:f>
        <s:v>21003.621287886373</s:v>
      </s:c>
      <s:c r="J22" s="5">
        <s:f>H22-I22</s:f>
        <s:v>757180.5474283035</s:v>
      </s:c>
      <s:c r="K22" s="5">
        <s:f>0</s:f>
        <s:v>0</s:v>
      </s:c>
      <s:c r="L22" s="5">
        <s:f>C22+J22+K22</s:f>
        <s:v>757180.5474283035</s:v>
      </s:c>
      <s:c r="M22" s="5">
        <s:f>1/(1+Inputs!B15)^A22</s:f>
        <s:v>0.2765083330108392</s:v>
      </s:c>
      <s:c r="N22" s="5">
        <s:f>L22*M22</s:f>
        <s:v>209366.7309576349</s:v>
      </s:c>
      <s:c r="O22" s="5">
        <s:f>SUM(L$3:L22)</s:f>
        <s:v>569507.9188434789</s:v>
      </s:c>
      <s:c r="P22" s="5">
        <s:f>SUM(L$3:L22)-SUM(K$3:K22)</s:f>
        <s:v>569507.9188434789</s:v>
      </s:c>
      <s:c r="Q22" s="5">
        <s:f>SUM(N$3:N22)</s:f>
        <s:v>-4871569.16200305</s:v>
      </s:c>
      <s:c r="R22" s="5">
        <s:f>IF(AND(O22&gt;=0,O21&lt;0),A22-1-O21/L22,0)</s:f>
        <s:v>18.24785717121529</s:v>
      </s:c>
      <s:c r="S22" s="5">
        <s:f>IF(AND(P22&gt;=0,P21&lt;0),A22-1-P21/J22,0)</s:f>
        <s:v>18.24785717121529</s:v>
      </s:c>
      <s:c r="T22" s="5">
        <s:f>IF(AND(Q22&gt;=0,Q21&lt;0),A22-1-Q21/N22,0)</s:f>
        <s:v>0</s:v>
      </s:c>
    </s:row>
    <s:row r="23" ht="23" customHeight="1">
      <s:c r="A23" s="5" t="n">
        <s:v>20</s:v>
      </s:c>
      <s:c r="B23" s="2" t="inlineStr">
        <s:is>
          <s:t>Operating</s:t>
        </s:is>
      </s:c>
      <s:c r="C23" s="5">
        <s:f>0</s:f>
        <s:v>0</s:v>
      </s:c>
      <s:c r="D23" s="5">
        <s:f>Inputs!B4*Inputs!B10*12*(1+Inputs!B11)^(A23-Inputs!B18)</s:f>
        <s:v>1114032.0731094931</s:v>
      </s:c>
      <s:c r="E23" s="6">
        <s:f>Inputs!B12</s:f>
        <s:v>0.95</s:v>
      </s:c>
      <s:c r="F23" s="5">
        <s:f>D23*E23</s:f>
        <s:v>1058330.4694540184</s:v>
      </s:c>
      <s:c r="G23" s="5">
        <s:f>F23*Inputs!B13</s:f>
        <s:v>264582.6173635046</s:v>
      </s:c>
      <s:c r="H23" s="5">
        <s:f>F23-G23</s:f>
        <s:v>793747.8520905138</s:v>
      </s:c>
      <s:c r="I23" s="5">
        <s:f>Inputs!B4*Inputs!B14*(1+Inputs!B11)^(A23-Inputs!B18)</s:f>
        <s:v>21423.6937136441</s:v>
      </s:c>
      <s:c r="J23" s="5">
        <s:f>H23-I23</s:f>
        <s:v>772324.1583768697</s:v>
      </s:c>
      <s:c r="K23" s="5">
        <s:f>0</s:f>
        <s:v>0</s:v>
      </s:c>
      <s:c r="L23" s="5">
        <s:f>C23+J23+K23</s:f>
        <s:v>772324.1583768697</s:v>
      </s:c>
      <s:c r="M23" s="5">
        <s:f>1/(1+Inputs!B15)^A23</s:f>
        <s:v>0.2584190028138684</s:v>
      </s:c>
      <s:c r="N23" s="5">
        <s:f>L23*M23</s:f>
        <s:v>199583.23885681087</s:v>
      </s:c>
      <s:c r="O23" s="5">
        <s:f>SUM(L$3:L23)</s:f>
        <s:v>1341832.0772203486</s:v>
      </s:c>
      <s:c r="P23" s="5">
        <s:f>SUM(L$3:L23)-SUM(K$3:K23)</s:f>
        <s:v>1341832.0772203486</s:v>
      </s:c>
      <s:c r="Q23" s="5">
        <s:f>SUM(N$3:N23)</s:f>
        <s:v>-4671985.923146239</s:v>
      </s:c>
      <s:c r="R23" s="5">
        <s:f>IF(AND(O23&gt;=0,O22&lt;0),A23-1-O22/L23,0)</s:f>
        <s:v>0</s:v>
      </s:c>
      <s:c r="S23" s="5">
        <s:f>IF(AND(P23&gt;=0,P22&lt;0),A23-1-P22/J23,0)</s:f>
        <s:v>0</s:v>
      </s:c>
      <s:c r="T23" s="5">
        <s:f>IF(AND(Q23&gt;=0,Q22&lt;0),A23-1-Q22/N23,0)</s:f>
        <s:v>0</s:v>
      </s:c>
    </s:row>
    <s:row r="24" ht="23" customHeight="1">
      <s:c r="A24" s="5" t="n">
        <s:v>21</s:v>
      </s:c>
      <s:c r="B24" s="2" t="inlineStr">
        <s:is>
          <s:t>Operating</s:t>
        </s:is>
      </s:c>
      <s:c r="C24" s="5">
        <s:f>0</s:f>
        <s:v>0</s:v>
      </s:c>
      <s:c r="D24" s="5">
        <s:f>Inputs!B4*Inputs!B10*12*(1+Inputs!B11)^(A24-Inputs!B18)</s:f>
        <s:v>1136312.714571683</s:v>
      </s:c>
      <s:c r="E24" s="6">
        <s:f>Inputs!B12</s:f>
        <s:v>0.95</s:v>
      </s:c>
      <s:c r="F24" s="5">
        <s:f>D24*E24</s:f>
        <s:v>1079497.0788430988</s:v>
      </s:c>
      <s:c r="G24" s="5">
        <s:f>F24*Inputs!B13</s:f>
        <s:v>269874.2697107747</s:v>
      </s:c>
      <s:c r="H24" s="5">
        <s:f>F24-G24</s:f>
        <s:v>809622.8091323241</s:v>
      </s:c>
      <s:c r="I24" s="5">
        <s:f>Inputs!B4*Inputs!B14*(1+Inputs!B11)^(A24-Inputs!B18)</s:f>
        <s:v>21852.16758791698</s:v>
      </s:c>
      <s:c r="J24" s="5">
        <s:f>H24-I24</s:f>
        <s:v>787770.6415444071</s:v>
      </s:c>
      <s:c r="K24" s="5">
        <s:f>0</s:f>
        <s:v>0</s:v>
      </s:c>
      <s:c r="L24" s="5">
        <s:f>C24+J24+K24</s:f>
        <s:v>787770.6415444071</s:v>
      </s:c>
      <s:c r="M24" s="5">
        <s:f>1/(1+Inputs!B15)^A24</s:f>
        <s:v>0.2415130867419331</s:v>
      </s:c>
      <s:c r="N24" s="5">
        <s:f>L24*M24</s:f>
        <s:v>190256.91928406266</s:v>
      </s:c>
      <s:c r="O24" s="5">
        <s:f>SUM(L$3:L24)</s:f>
        <s:v>2129602.718764756</s:v>
      </s:c>
      <s:c r="P24" s="5">
        <s:f>SUM(L$3:L24)-SUM(K$3:K24)</s:f>
        <s:v>2129602.718764756</s:v>
      </s:c>
      <s:c r="Q24" s="5">
        <s:f>SUM(N$3:N24)</s:f>
        <s:v>-4481729.003862176</s:v>
      </s:c>
      <s:c r="R24" s="5">
        <s:f>IF(AND(O24&gt;=0,O23&lt;0),A24-1-O23/L24,0)</s:f>
        <s:v>0</s:v>
      </s:c>
      <s:c r="S24" s="5">
        <s:f>IF(AND(P24&gt;=0,P23&lt;0),A24-1-P23/J24,0)</s:f>
        <s:v>0</s:v>
      </s:c>
      <s:c r="T24" s="5">
        <s:f>IF(AND(Q24&gt;=0,Q23&lt;0),A24-1-Q23/N24,0)</s:f>
        <s:v>0</s:v>
      </s:c>
    </s:row>
    <s:row r="25" ht="23" customHeight="1">
      <s:c r="A25" s="5" t="n">
        <s:v>22</s:v>
      </s:c>
      <s:c r="B25" s="2" t="inlineStr">
        <s:is>
          <s:t>Operating</s:t>
        </s:is>
      </s:c>
      <s:c r="C25" s="5">
        <s:f>0</s:f>
        <s:v>0</s:v>
      </s:c>
      <s:c r="D25" s="5">
        <s:f>Inputs!B4*Inputs!B10*12*(1+Inputs!B11)^(A25-Inputs!B18)</s:f>
        <s:v>1159038.9688631168</s:v>
      </s:c>
      <s:c r="E25" s="6">
        <s:f>Inputs!B12</s:f>
        <s:v>0.95</s:v>
      </s:c>
      <s:c r="F25" s="5">
        <s:f>D25*E25</s:f>
        <s:v>1101087.0204199608</s:v>
      </s:c>
      <s:c r="G25" s="5">
        <s:f>F25*Inputs!B13</s:f>
        <s:v>275271.7551049902</s:v>
      </s:c>
      <s:c r="H25" s="5">
        <s:f>F25-G25</s:f>
        <s:v>825815.2653149706</s:v>
      </s:c>
      <s:c r="I25" s="5">
        <s:f>Inputs!B4*Inputs!B14*(1+Inputs!B11)^(A25-Inputs!B18)</s:f>
        <s:v>22289.210939675322</s:v>
      </s:c>
      <s:c r="J25" s="5">
        <s:f>H25-I25</s:f>
        <s:v>803526.0543752953</s:v>
      </s:c>
      <s:c r="K25" s="5">
        <s:f>0</s:f>
        <s:v>0</s:v>
      </s:c>
      <s:c r="L25" s="5">
        <s:f>C25+J25+K25</s:f>
        <s:v>803526.0543752953</s:v>
      </s:c>
      <s:c r="M25" s="5">
        <s:f>1/(1+Inputs!B15)^A25</s:f>
        <s:v>0.2257131651793767</s:v>
      </s:c>
      <s:c r="N25" s="5">
        <s:f>L25*M25</s:f>
        <s:v>181366.40903714384</s:v>
      </s:c>
      <s:c r="O25" s="5">
        <s:f>SUM(L$3:L25)</s:f>
        <s:v>2933128.7731400514</s:v>
      </s:c>
      <s:c r="P25" s="5">
        <s:f>SUM(L$3:L25)-SUM(K$3:K25)</s:f>
        <s:v>2933128.7731400514</s:v>
      </s:c>
      <s:c r="Q25" s="5">
        <s:f>SUM(N$3:N25)</s:f>
        <s:v>-4300362.594825032</s:v>
      </s:c>
      <s:c r="R25" s="5">
        <s:f>IF(AND(O25&gt;=0,O24&lt;0),A25-1-O24/L25,0)</s:f>
        <s:v>0</s:v>
      </s:c>
      <s:c r="S25" s="5">
        <s:f>IF(AND(P25&gt;=0,P24&lt;0),A25-1-P24/J25,0)</s:f>
        <s:v>0</s:v>
      </s:c>
      <s:c r="T25" s="5">
        <s:f>IF(AND(Q25&gt;=0,Q24&lt;0),A25-1-Q24/N25,0)</s:f>
        <s:v>0</s:v>
      </s:c>
    </s:row>
    <s:row r="26" ht="23" customHeight="1">
      <s:c r="A26" s="5" t="n">
        <s:v>23</s:v>
      </s:c>
      <s:c r="B26" s="2" t="inlineStr">
        <s:is>
          <s:t>Operating</s:t>
        </s:is>
      </s:c>
      <s:c r="C26" s="5">
        <s:f>0</s:f>
        <s:v>0</s:v>
      </s:c>
      <s:c r="D26" s="5">
        <s:f>Inputs!B4*Inputs!B10*12*(1+Inputs!B11)^(A26-Inputs!B18)</s:f>
        <s:v>1182219.7482403792</s:v>
      </s:c>
      <s:c r="E26" s="6">
        <s:f>Inputs!B12</s:f>
        <s:v>0.95</s:v>
      </s:c>
      <s:c r="F26" s="5">
        <s:f>D26*E26</s:f>
        <s:v>1123108.7608283602</s:v>
      </s:c>
      <s:c r="G26" s="5">
        <s:f>F26*Inputs!B13</s:f>
        <s:v>280777.19020709005</s:v>
      </s:c>
      <s:c r="H26" s="5">
        <s:f>F26-G26</s:f>
        <s:v>842331.5706212702</s:v>
      </s:c>
      <s:c r="I26" s="5">
        <s:f>Inputs!B4*Inputs!B14*(1+Inputs!B11)^(A26-Inputs!B18)</s:f>
        <s:v>22734.995158468828</s:v>
      </s:c>
      <s:c r="J26" s="5">
        <s:f>H26-I26</s:f>
        <s:v>819596.5754628014</s:v>
      </s:c>
      <s:c r="K26" s="5">
        <s:f>0</s:f>
        <s:v>0</s:v>
      </s:c>
      <s:c r="L26" s="5">
        <s:f>C26+J26+K26</s:f>
        <s:v>819596.5754628014</s:v>
      </s:c>
      <s:c r="M26" s="5">
        <s:f>1/(1+Inputs!B15)^A26</s:f>
        <s:v>0.2109468833452119</s:v>
      </s:c>
      <s:c r="N26" s="5">
        <s:f>L26*M26</s:f>
        <s:v>172891.34319428672</s:v>
      </s:c>
      <s:c r="O26" s="5">
        <s:f>SUM(L$3:L26)</s:f>
        <s:v>3752725.348602853</s:v>
      </s:c>
      <s:c r="P26" s="5">
        <s:f>SUM(L$3:L26)-SUM(K$3:K26)</s:f>
        <s:v>3752725.348602853</s:v>
      </s:c>
      <s:c r="Q26" s="5">
        <s:f>SUM(N$3:N26)</s:f>
        <s:v>-4127471.2516307454</s:v>
      </s:c>
      <s:c r="R26" s="5">
        <s:f>IF(AND(O26&gt;=0,O25&lt;0),A26-1-O25/L26,0)</s:f>
        <s:v>0</s:v>
      </s:c>
      <s:c r="S26" s="5">
        <s:f>IF(AND(P26&gt;=0,P25&lt;0),A26-1-P25/J26,0)</s:f>
        <s:v>0</s:v>
      </s:c>
      <s:c r="T26" s="5">
        <s:f>IF(AND(Q26&gt;=0,Q25&lt;0),A26-1-Q25/N26,0)</s:f>
        <s:v>0</s:v>
      </s:c>
    </s:row>
    <s:row r="27" ht="23" customHeight="1">
      <s:c r="A27" s="5" t="n">
        <s:v>24</s:v>
      </s:c>
      <s:c r="B27" s="2" t="inlineStr">
        <s:is>
          <s:t>Operating</s:t>
        </s:is>
      </s:c>
      <s:c r="C27" s="5">
        <s:f>0</s:f>
        <s:v>0</s:v>
      </s:c>
      <s:c r="D27" s="5">
        <s:f>Inputs!B4*Inputs!B10*12*(1+Inputs!B11)^(A27-Inputs!B18)</s:f>
        <s:v>1205864.1432051868</s:v>
      </s:c>
      <s:c r="E27" s="6">
        <s:f>Inputs!B12</s:f>
        <s:v>0.95</s:v>
      </s:c>
      <s:c r="F27" s="5">
        <s:f>D27*E27</s:f>
        <s:v>1145570.9360449275</s:v>
      </s:c>
      <s:c r="G27" s="5">
        <s:f>F27*Inputs!B13</s:f>
        <s:v>286392.73401123186</s:v>
      </s:c>
      <s:c r="H27" s="5">
        <s:f>F27-G27</s:f>
        <s:v>859178.2020336955</s:v>
      </s:c>
      <s:c r="I27" s="5">
        <s:f>Inputs!B4*Inputs!B14*(1+Inputs!B11)^(A27-Inputs!B18)</s:f>
        <s:v>23189.695061638206</s:v>
      </s:c>
      <s:c r="J27" s="5">
        <s:f>H27-I27</s:f>
        <s:v>835988.5069720573</s:v>
      </s:c>
      <s:c r="K27" s="5">
        <s:f>0</s:f>
        <s:v>0</s:v>
      </s:c>
      <s:c r="L27" s="5">
        <s:f>C27+J27+K27</s:f>
        <s:v>835988.5069720573</s:v>
      </s:c>
      <s:c r="M27" s="5">
        <s:f>1/(1+Inputs!B15)^A27</s:f>
        <s:v>0.19714661994879612</s:v>
      </s:c>
      <s:c r="N27" s="5">
        <s:f>L27*M27</s:f>
        <s:v>164812.30846558168</s:v>
      </s:c>
      <s:c r="O27" s="5">
        <s:f>SUM(L$3:L27)</s:f>
        <s:v>4588713.85557491</s:v>
      </s:c>
      <s:c r="P27" s="5">
        <s:f>SUM(L$3:L27)-SUM(K$3:K27)</s:f>
        <s:v>4588713.85557491</s:v>
      </s:c>
      <s:c r="Q27" s="5">
        <s:f>SUM(N$3:N27)</s:f>
        <s:v>-3962658.9431651635</s:v>
      </s:c>
      <s:c r="R27" s="5">
        <s:f>IF(AND(O27&gt;=0,O26&lt;0),A27-1-O26/L27,0)</s:f>
        <s:v>0</s:v>
      </s:c>
      <s:c r="S27" s="5">
        <s:f>IF(AND(P27&gt;=0,P26&lt;0),A27-1-P26/J27,0)</s:f>
        <s:v>0</s:v>
      </s:c>
      <s:c r="T27" s="5">
        <s:f>IF(AND(Q27&gt;=0,Q26&lt;0),A27-1-Q26/N27,0)</s:f>
        <s:v>0</s:v>
      </s:c>
    </s:row>
    <s:row r="28" ht="23" customHeight="1">
      <s:c r="A28" s="5" t="n">
        <s:v>25</s:v>
      </s:c>
      <s:c r="B28" s="2" t="inlineStr">
        <s:is>
          <s:t>Operating</s:t>
        </s:is>
      </s:c>
      <s:c r="C28" s="5">
        <s:f>0</s:f>
        <s:v>0</s:v>
      </s:c>
      <s:c r="D28" s="5">
        <s:f>Inputs!B4*Inputs!B10*12*(1+Inputs!B11)^(A28-Inputs!B18)</s:f>
        <s:v>1229981.4260692906</s:v>
      </s:c>
      <s:c r="E28" s="6">
        <s:f>Inputs!B12</s:f>
        <s:v>0.95</s:v>
      </s:c>
      <s:c r="F28" s="5">
        <s:f>D28*E28</s:f>
        <s:v>1168482.3547658261</s:v>
      </s:c>
      <s:c r="G28" s="5">
        <s:f>F28*Inputs!B13</s:f>
        <s:v>292120.58869145653</s:v>
      </s:c>
      <s:c r="H28" s="5">
        <s:f>F28-G28</s:f>
        <s:v>876361.7660743697</s:v>
      </s:c>
      <s:c r="I28" s="5">
        <s:f>Inputs!B4*Inputs!B14*(1+Inputs!B11)^(A28-Inputs!B18)</s:f>
        <s:v>23653.48896287097</s:v>
      </s:c>
      <s:c r="J28" s="5">
        <s:f>H28-I28</s:f>
        <s:v>852708.2771114986</s:v>
      </s:c>
      <s:c r="K28" s="5">
        <s:f>0</s:f>
        <s:v>0</s:v>
      </s:c>
      <s:c r="L28" s="5">
        <s:f>C28+J28+K28</s:f>
        <s:v>852708.2771114986</s:v>
      </s:c>
      <s:c r="M28" s="5">
        <s:f>1/(1+Inputs!B15)^A28</s:f>
        <s:v>0.18424917752223938</s:v>
      </s:c>
      <s:c r="N28" s="5">
        <s:f>L28*M28</s:f>
        <s:v>157110.79872419938</s:v>
      </s:c>
      <s:c r="O28" s="5">
        <s:f>SUM(L$3:L28)</s:f>
        <s:v>5441422.132686408</s:v>
      </s:c>
      <s:c r="P28" s="5">
        <s:f>SUM(L$3:L28)-SUM(K$3:K28)</s:f>
        <s:v>5441422.132686408</s:v>
      </s:c>
      <s:c r="Q28" s="5">
        <s:f>SUM(N$3:N28)</s:f>
        <s:v>-3805548.1444409643</s:v>
      </s:c>
      <s:c r="R28" s="5">
        <s:f>IF(AND(O28&gt;=0,O27&lt;0),A28-1-O27/L28,0)</s:f>
        <s:v>0</s:v>
      </s:c>
      <s:c r="S28" s="5">
        <s:f>IF(AND(P28&gt;=0,P27&lt;0),A28-1-P27/J28,0)</s:f>
        <s:v>0</s:v>
      </s:c>
      <s:c r="T28" s="5">
        <s:f>IF(AND(Q28&gt;=0,Q27&lt;0),A28-1-Q27/N28,0)</s:f>
        <s:v>0</s:v>
      </s:c>
    </s:row>
    <s:row r="29" ht="23" customHeight="1">
      <s:c r="A29" s="5" t="n">
        <s:v>26</s:v>
      </s:c>
      <s:c r="B29" s="2" t="inlineStr">
        <s:is>
          <s:t>Operating</s:t>
        </s:is>
      </s:c>
      <s:c r="C29" s="5">
        <s:f>0</s:f>
        <s:v>0</s:v>
      </s:c>
      <s:c r="D29" s="5">
        <s:f>Inputs!B4*Inputs!B10*12*(1+Inputs!B11)^(A29-Inputs!B18)</s:f>
        <s:v>1254581.0545906764</s:v>
      </s:c>
      <s:c r="E29" s="6">
        <s:f>Inputs!B12</s:f>
        <s:v>0.95</s:v>
      </s:c>
      <s:c r="F29" s="5">
        <s:f>D29*E29</s:f>
        <s:v>1191852.0018611425</s:v>
      </s:c>
      <s:c r="G29" s="5">
        <s:f>F29*Inputs!B13</s:f>
        <s:v>297963.0004652856</s:v>
      </s:c>
      <s:c r="H29" s="5">
        <s:f>F29-G29</s:f>
        <s:v>893889.0013958568</s:v>
      </s:c>
      <s:c r="I29" s="5">
        <s:f>Inputs!B4*Inputs!B14*(1+Inputs!B11)^(A29-Inputs!B18)</s:f>
        <s:v>24126.558742128393</s:v>
      </s:c>
      <s:c r="J29" s="5">
        <s:f>H29-I29</s:f>
        <s:v>869762.4426537284</s:v>
      </s:c>
      <s:c r="K29" s="5">
        <s:f>0</s:f>
        <s:v>0</s:v>
      </s:c>
      <s:c r="L29" s="5">
        <s:f>C29+J29+K29</s:f>
        <s:v>869762.4426537284</s:v>
      </s:c>
      <s:c r="M29" s="5">
        <s:f>1/(1+Inputs!B15)^A29</s:f>
        <s:v>0.17219549301143863</s:v>
      </s:c>
      <s:c r="N29" s="5">
        <s:f>L29*M29</s:f>
        <s:v>149769.1726155919</s:v>
      </s:c>
      <s:c r="O29" s="5">
        <s:f>SUM(L$3:L29)</s:f>
        <s:v>6311184.575340137</s:v>
      </s:c>
      <s:c r="P29" s="5">
        <s:f>SUM(L$3:L29)-SUM(K$3:K29)</s:f>
        <s:v>6311184.575340137</s:v>
      </s:c>
      <s:c r="Q29" s="5">
        <s:f>SUM(N$3:N29)</s:f>
        <s:v>-3655778.9718253724</s:v>
      </s:c>
      <s:c r="R29" s="5">
        <s:f>IF(AND(O29&gt;=0,O28&lt;0),A29-1-O28/L29,0)</s:f>
        <s:v>0</s:v>
      </s:c>
      <s:c r="S29" s="5">
        <s:f>IF(AND(P29&gt;=0,P28&lt;0),A29-1-P28/J29,0)</s:f>
        <s:v>0</s:v>
      </s:c>
      <s:c r="T29" s="5">
        <s:f>IF(AND(Q29&gt;=0,Q28&lt;0),A29-1-Q28/N29,0)</s:f>
        <s:v>0</s:v>
      </s:c>
    </s:row>
    <s:row r="30" ht="23" customHeight="1">
      <s:c r="A30" s="5" t="n">
        <s:v>27</s:v>
      </s:c>
      <s:c r="B30" s="2" t="inlineStr">
        <s:is>
          <s:t>Operating</s:t>
        </s:is>
      </s:c>
      <s:c r="C30" s="5">
        <s:f>0</s:f>
        <s:v>0</s:v>
      </s:c>
      <s:c r="D30" s="5">
        <s:f>Inputs!B4*Inputs!B10*12*(1+Inputs!B11)^(A30-Inputs!B18)</s:f>
        <s:v>1279672.67568249</s:v>
      </s:c>
      <s:c r="E30" s="6">
        <s:f>Inputs!B12</s:f>
        <s:v>0.95</s:v>
      </s:c>
      <s:c r="F30" s="5">
        <s:f>D30*E30</s:f>
        <s:v>1215689.0418983654</s:v>
      </s:c>
      <s:c r="G30" s="5">
        <s:f>F30*Inputs!B13</s:f>
        <s:v>303922.26047459134</s:v>
      </s:c>
      <s:c r="H30" s="5">
        <s:f>F30-G30</s:f>
        <s:v>911766.7814237741</s:v>
      </s:c>
      <s:c r="I30" s="5">
        <s:f>Inputs!B4*Inputs!B14*(1+Inputs!B11)^(A30-Inputs!B18)</s:f>
        <s:v>24609.08991697096</s:v>
      </s:c>
      <s:c r="J30" s="5">
        <s:f>H30-I30</s:f>
        <s:v>887157.6915068032</s:v>
      </s:c>
      <s:c r="K30" s="5">
        <s:f>0</s:f>
        <s:v>0</s:v>
      </s:c>
      <s:c r="L30" s="5">
        <s:f>C30+J30+K30</s:f>
        <s:v>887157.6915068032</s:v>
      </s:c>
      <s:c r="M30" s="5">
        <s:f>1/(1+Inputs!B15)^A30</s:f>
        <s:v>0.16093036730040994</s:v>
      </s:c>
      <s:c r="N30" s="5">
        <s:f>L30*M30</s:f>
        <s:v>142770.6131475736</s:v>
      </s:c>
      <s:c r="O30" s="5">
        <s:f>SUM(L$3:L30)</s:f>
        <s:v>7198342.26684694</s:v>
      </s:c>
      <s:c r="P30" s="5">
        <s:f>SUM(L$3:L30)-SUM(K$3:K30)</s:f>
        <s:v>7198342.26684694</s:v>
      </s:c>
      <s:c r="Q30" s="5">
        <s:f>SUM(N$3:N30)</s:f>
        <s:v>-3513008.358677799</s:v>
      </s:c>
      <s:c r="R30" s="5">
        <s:f>IF(AND(O30&gt;=0,O29&lt;0),A30-1-O29/L30,0)</s:f>
        <s:v>0</s:v>
      </s:c>
      <s:c r="S30" s="5">
        <s:f>IF(AND(P30&gt;=0,P29&lt;0),A30-1-P29/J30,0)</s:f>
        <s:v>0</s:v>
      </s:c>
      <s:c r="T30" s="5">
        <s:f>IF(AND(Q30&gt;=0,Q29&lt;0),A30-1-Q29/N30,0)</s:f>
        <s:v>0</s:v>
      </s:c>
    </s:row>
    <s:row r="31" ht="23" customHeight="1">
      <s:c r="A31" s="5" t="n">
        <s:v>28</s:v>
      </s:c>
      <s:c r="B31" s="2" t="inlineStr">
        <s:is>
          <s:t>Operating</s:t>
        </s:is>
      </s:c>
      <s:c r="C31" s="5">
        <s:f>0</s:f>
        <s:v>0</s:v>
      </s:c>
      <s:c r="D31" s="5">
        <s:f>Inputs!B4*Inputs!B10*12*(1+Inputs!B11)^(A31-Inputs!B18)</s:f>
        <s:v>1305266.1291961398</s:v>
      </s:c>
      <s:c r="E31" s="6">
        <s:f>Inputs!B12</s:f>
        <s:v>0.95</s:v>
      </s:c>
      <s:c r="F31" s="5">
        <s:f>D31*E31</s:f>
        <s:v>1240002.8227363327</s:v>
      </s:c>
      <s:c r="G31" s="5">
        <s:f>F31*Inputs!B13</s:f>
        <s:v>310000.70568408316</s:v>
      </s:c>
      <s:c r="H31" s="5">
        <s:f>F31-G31</s:f>
        <s:v>930002.1170522495</s:v>
      </s:c>
      <s:c r="I31" s="5">
        <s:f>Inputs!B4*Inputs!B14*(1+Inputs!B11)^(A31-Inputs!B18)</s:f>
        <s:v>25101.271715310377</s:v>
      </s:c>
      <s:c r="J31" s="5">
        <s:f>H31-I31</s:f>
        <s:v>904900.8453369391</s:v>
      </s:c>
      <s:c r="K31" s="5">
        <s:f>0</s:f>
        <s:v>0</s:v>
      </s:c>
      <s:c r="L31" s="5">
        <s:f>C31+J31+K31</s:f>
        <s:v>904900.8453369391</s:v>
      </s:c>
      <s:c r="M31" s="5">
        <s:f>1/(1+Inputs!B15)^A31</s:f>
        <s:v>0.15040221243028964</s:v>
      </s:c>
      <s:c r="N31" s="5">
        <s:f>L31*M31</s:f>
        <s:v>136099.089168715</s:v>
      </s:c>
      <s:c r="O31" s="5">
        <s:f>SUM(L$3:L31)</s:f>
        <s:v>8103243.112183879</s:v>
      </s:c>
      <s:c r="P31" s="5">
        <s:f>SUM(L$3:L31)-SUM(K$3:K31)</s:f>
        <s:v>8103243.112183879</s:v>
      </s:c>
      <s:c r="Q31" s="5">
        <s:f>SUM(N$3:N31)</s:f>
        <s:v>-3376909.269509084</s:v>
      </s:c>
      <s:c r="R31" s="5">
        <s:f>IF(AND(O31&gt;=0,O30&lt;0),A31-1-O30/L31,0)</s:f>
        <s:v>0</s:v>
      </s:c>
      <s:c r="S31" s="5">
        <s:f>IF(AND(P31&gt;=0,P30&lt;0),A31-1-P30/J31,0)</s:f>
        <s:v>0</s:v>
      </s:c>
      <s:c r="T31" s="5">
        <s:f>IF(AND(Q31&gt;=0,Q30&lt;0),A31-1-Q30/N31,0)</s:f>
        <s:v>0</s:v>
      </s:c>
    </s:row>
    <s:row r="32" ht="23" customHeight="1">
      <s:c r="A32" s="5" t="n">
        <s:v>29</s:v>
      </s:c>
      <s:c r="B32" s="2" t="inlineStr">
        <s:is>
          <s:t>Operating</s:t>
        </s:is>
      </s:c>
      <s:c r="C32" s="5">
        <s:f>0</s:f>
        <s:v>0</s:v>
      </s:c>
      <s:c r="D32" s="5">
        <s:f>Inputs!B4*Inputs!B10*12*(1+Inputs!B11)^(A32-Inputs!B18)</s:f>
        <s:v>1331371.4517800626</s:v>
      </s:c>
      <s:c r="E32" s="6">
        <s:f>Inputs!B12</s:f>
        <s:v>0.95</s:v>
      </s:c>
      <s:c r="F32" s="5">
        <s:f>D32*E32</s:f>
        <s:v>1264802.8791910594</s:v>
      </s:c>
      <s:c r="G32" s="5">
        <s:f>F32*Inputs!B13</s:f>
        <s:v>316200.71979776485</s:v>
      </s:c>
      <s:c r="H32" s="5">
        <s:f>F32-G32</s:f>
        <s:v>948602.1593932945</s:v>
      </s:c>
      <s:c r="I32" s="5">
        <s:f>Inputs!B4*Inputs!B14*(1+Inputs!B11)^(A32-Inputs!B18)</s:f>
        <s:v>25603.29714961659</s:v>
      </s:c>
      <s:c r="J32" s="5">
        <s:f>H32-I32</s:f>
        <s:v>922998.8622436778</s:v>
      </s:c>
      <s:c r="K32" s="5">
        <s:f>0</s:f>
        <s:v>0</s:v>
      </s:c>
      <s:c r="L32" s="5">
        <s:f>C32+J32+K32</s:f>
        <s:v>922998.8622436778</s:v>
      </s:c>
      <s:c r="M32" s="5">
        <s:f>1/(1+Inputs!B15)^A32</s:f>
        <s:v>0.14056281535541088</s:v>
      </s:c>
      <s:c r="N32" s="5">
        <s:f>L32*M32</s:f>
        <s:v>129739.3186468124</s:v>
      </s:c>
      <s:c r="O32" s="5">
        <s:f>SUM(L$3:L32)</s:f>
        <s:v>9026241.974427557</s:v>
      </s:c>
      <s:c r="P32" s="5">
        <s:f>SUM(L$3:L32)-SUM(K$3:K32)</s:f>
        <s:v>9026241.974427557</s:v>
      </s:c>
      <s:c r="Q32" s="5">
        <s:f>SUM(N$3:N32)</s:f>
        <s:v>-3247169.9508622717</s:v>
      </s:c>
      <s:c r="R32" s="5">
        <s:f>IF(AND(O32&gt;=0,O31&lt;0),A32-1-O31/L32,0)</s:f>
        <s:v>0</s:v>
      </s:c>
      <s:c r="S32" s="5">
        <s:f>IF(AND(P32&gt;=0,P31&lt;0),A32-1-P31/J32,0)</s:f>
        <s:v>0</s:v>
      </s:c>
      <s:c r="T32" s="5">
        <s:f>IF(AND(Q32&gt;=0,Q31&lt;0),A32-1-Q31/N32,0)</s:f>
        <s:v>0</s:v>
      </s:c>
    </s:row>
    <s:row r="33" ht="23" customHeight="1">
      <s:c r="A33" s="5" t="n">
        <s:v>30</s:v>
      </s:c>
      <s:c r="B33" s="2" t="inlineStr">
        <s:is>
          <s:t>Operating</s:t>
        </s:is>
      </s:c>
      <s:c r="C33" s="5">
        <s:f>0</s:f>
        <s:v>0</s:v>
      </s:c>
      <s:c r="D33" s="5">
        <s:f>Inputs!B4*Inputs!B10*12*(1+Inputs!B11)^(A33-Inputs!B18)</s:f>
        <s:v>1357998.8808156638</s:v>
      </s:c>
      <s:c r="E33" s="6">
        <s:f>Inputs!B12</s:f>
        <s:v>0.95</s:v>
      </s:c>
      <s:c r="F33" s="5">
        <s:f>D33*E33</s:f>
        <s:v>1290098.9367748806</s:v>
      </s:c>
      <s:c r="G33" s="5">
        <s:f>F33*Inputs!B13</s:f>
        <s:v>322524.73419372016</s:v>
      </s:c>
      <s:c r="H33" s="5">
        <s:f>F33-G33</s:f>
        <s:v>967574.2025811605</s:v>
      </s:c>
      <s:c r="I33" s="5">
        <s:f>Inputs!B4*Inputs!B14*(1+Inputs!B11)^(A33-Inputs!B18)</s:f>
        <s:v>26115.36309260892</s:v>
      </s:c>
      <s:c r="J33" s="5">
        <s:f>H33-I33</s:f>
        <s:v>941458.8394885516</s:v>
      </s:c>
      <s:c r="K33" s="5">
        <s:f>0</s:f>
        <s:v>0</s:v>
      </s:c>
      <s:c r="L33" s="5">
        <s:f>C33+J33+K33</s:f>
        <s:v>941458.8394885516</s:v>
      </s:c>
      <s:c r="M33" s="5">
        <s:f>1/(1+Inputs!B15)^A33</s:f>
        <s:v>0.1313671171545896</s:v>
      </s:c>
      <s:c r="N33" s="5">
        <s:f>L33*M33</s:f>
        <s:v>123676.73366331653</s:v>
      </s:c>
      <s:c r="O33" s="5">
        <s:f>SUM(L$3:L33)</s:f>
        <s:v>9967700.813916108</s:v>
      </s:c>
      <s:c r="P33" s="5">
        <s:f>SUM(L$3:L33)-SUM(K$3:K33)</s:f>
        <s:v>9967700.813916108</s:v>
      </s:c>
      <s:c r="Q33" s="5">
        <s:f>SUM(N$3:N33)</s:f>
        <s:v>-3123493.2171989554</s:v>
      </s:c>
      <s:c r="R33" s="5">
        <s:f>IF(AND(O33&gt;=0,O32&lt;0),A33-1-O32/L33,0)</s:f>
        <s:v>0</s:v>
      </s:c>
      <s:c r="S33" s="5">
        <s:f>IF(AND(P33&gt;=0,P32&lt;0),A33-1-P32/J33,0)</s:f>
        <s:v>0</s:v>
      </s:c>
      <s:c r="T33" s="5">
        <s:f>IF(AND(Q33&gt;=0,Q32&lt;0),A33-1-Q32/N33,0)</s:f>
        <s:v>0</s:v>
      </s:c>
    </s:row>
    <s:row r="34" ht="23" customHeight="1">
      <s:c r="A34" s="5" t="n">
        <s:v>31</s:v>
      </s:c>
      <s:c r="B34" s="2" t="inlineStr">
        <s:is>
          <s:t>Operating</s:t>
        </s:is>
      </s:c>
      <s:c r="C34" s="5">
        <s:f>0</s:f>
        <s:v>0</s:v>
      </s:c>
      <s:c r="D34" s="5">
        <s:f>Inputs!B4*Inputs!B10*12*(1+Inputs!B11)^(A34-Inputs!B18)</s:f>
        <s:v>1385158.8584319772</s:v>
      </s:c>
      <s:c r="E34" s="6">
        <s:f>Inputs!B12</s:f>
        <s:v>0.95</s:v>
      </s:c>
      <s:c r="F34" s="5">
        <s:f>D34*E34</s:f>
        <s:v>1315900.9155103783</s:v>
      </s:c>
      <s:c r="G34" s="5">
        <s:f>F34*Inputs!B13</s:f>
        <s:v>328975.2288775946</s:v>
      </s:c>
      <s:c r="H34" s="5">
        <s:f>F34-G34</s:f>
        <s:v>986925.6866327837</s:v>
      </s:c>
      <s:c r="I34" s="5">
        <s:f>Inputs!B4*Inputs!B14*(1+Inputs!B11)^(A34-Inputs!B18)</s:f>
        <s:v>26637.670354461097</s:v>
      </s:c>
      <s:c r="J34" s="5">
        <s:f>H34-I34</s:f>
        <s:v>960288.0162783227</s:v>
      </s:c>
      <s:c r="K34" s="5">
        <s:f>H34*(1+Inputs!B11)/Inputs!B16*(1-Inputs!B17)</s:f>
        <s:v>17936925.75196601</s:v>
      </s:c>
      <s:c r="L34" s="5">
        <s:f>C34+J34+K34</s:f>
        <s:v>18897213.768244334</s:v>
      </s:c>
      <s:c r="M34" s="5">
        <s:f>1/(1+Inputs!B15)^A34</s:f>
        <s:v>0.12277300668653232</s:v>
      </s:c>
      <s:c r="N34" s="5">
        <s:f>L34*M34</s:f>
        <s:v>2320067.752325492</s:v>
      </s:c>
      <s:c r="O34" s="5">
        <s:f>SUM(L$3:L34)</s:f>
        <s:v>28864914.582160443</s:v>
      </s:c>
      <s:c r="P34" s="5">
        <s:f>SUM(L$3:L34)-SUM(K$3:K34)</s:f>
        <s:v>10927988.83019443</s:v>
      </s:c>
      <s:c r="Q34" s="5">
        <s:f>SUM(N$3:N34)</s:f>
        <s:v>-803425.4648734634</s:v>
      </s:c>
      <s:c r="R34" s="5">
        <s:f>IF(AND(O34&gt;=0,O33&lt;0),A34-1-O33/L34,0)</s:f>
        <s:v>0</s:v>
      </s:c>
      <s:c r="S34" s="5">
        <s:f>IF(AND(P34&gt;=0,P33&lt;0),A34-1-P33/J34,0)</s:f>
        <s:v>0</s:v>
      </s:c>
      <s:c r="T34" s="5">
        <s:f>IF(AND(Q34&gt;=0,Q33&lt;0),A34-1-Q33/N34,0)</s:f>
        <s:v>0</s:v>
      </s:c>
    </s:row>
  </s:sheetData>
  <s:autoFilter ref="A1:T34"/>
  <s:mergeCells count="1">
    <s:mergeCell ref="A1:T1"/>
  </s:mergeCells>
  <s:pageMargins left="0.75" right="0.75" top="1" bottom="1" header="0.5" footer="0.5"/>
  <s:pageSetup orientation="landscape" paperSize="8" fitToHeight="0" fitToWidth="1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F15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29" customWidth="1" min="1" max="1"/>
    <s:col width="29" customWidth="1" min="2" max="2"/>
    <s:col width="29" customWidth="1" min="3" max="3"/>
    <s:col width="29" customWidth="1" min="4" max="4"/>
    <s:col width="29" customWidth="1" min="5" max="5"/>
    <s:col width="29" customWidth="1" min="6" max="6"/>
  </s:cols>
  <s:sheetData>
    <s:row r="1" ht="31" customHeight="1">
      <s:c r="A1" s="1" t="inlineStr">
        <s:is>
          <s:t>ILLUSTRATIVE PRICE RESPONSE — NOT EMPIRICAL VUB DATA</s:t>
        </s:is>
      </s:c>
    </s:row>
    <s:row r="2" ht="23" customHeight="1">
      <s:c r="A2" s="3" t="inlineStr">
        <s:is>
          <s:t>Rent increase</s:t>
        </s:is>
      </s:c>
      <s:c r="B2" s="3" t="inlineStr">
        <s:is>
          <s:t>Monthly rent EUR</s:t>
        </s:is>
      </s:c>
      <s:c r="C2" s="3" t="inlineStr">
        <s:is>
          <s:t>Annual departures</s:t>
        </s:is>
      </s:c>
      <s:c r="D2" s="3" t="inlineStr">
        <s:is>
          <s:t>Incremental departures</s:t>
        </s:is>
      </s:c>
      <s:c r="E2" s="3" t="inlineStr">
        <s:is>
          <s:t>Occupancy proxy</s:t>
        </s:is>
      </s:c>
      <s:c r="F2" s="3" t="inlineStr">
        <s:is>
          <s:t>NPV EUR</s:t>
        </s:is>
      </s:c>
    </s:row>
    <s:row r="3" ht="23" customHeight="1">
      <s:c r="A3" s="6" t="n">
        <s:v>0</s:v>
      </s:c>
      <s:c r="B3" s="5">
        <s:f>Inputs!B10*(1+A3)</s:f>
        <s:v>650</s:v>
      </s:c>
      <s:c r="C3" s="6">
        <s:f>MIN(1,MAX(0,Inputs!B23+A3*Inputs!B24))</s:f>
        <s:v>0.08</s:v>
      </s:c>
      <s:c r="D3" s="6">
        <s:f>C3-Inputs!B23</s:f>
        <s:v>0.0</s:v>
      </s:c>
      <s:c r="E3" s="6">
        <s:f>MAX(0,Inputs!B12-D3)</s:f>
        <s:v>0.95</s:v>
      </s:c>
      <s:c r="F3" s="5">
        <s:f>Overview!B5+(B3*E3/(Inputs!B10*Inputs!B12)-1)*(SUM('Cash flow'!N5:N34)+SUMPRODUCT('Cash flow'!I5:I34,'Cash flow'!M5:M34))</s:f>
        <s:v>-803425.4648734634</s:v>
      </s:c>
    </s:row>
    <s:row r="4" ht="23" customHeight="1">
      <s:c r="A4" s="6" t="n">
        <s:v>0.025</s:v>
      </s:c>
      <s:c r="B4" s="5">
        <s:f>Inputs!B10*(1+A4)</s:f>
        <s:v>666.2499999999999</s:v>
      </s:c>
      <s:c r="C4" s="6">
        <s:f>MIN(1,MAX(0,Inputs!B23+A4*Inputs!B24))</s:f>
        <s:v>0.08375</s:v>
      </s:c>
      <s:c r="D4" s="6">
        <s:f>C4-Inputs!B23</s:f>
        <s:v>0.0037500000000000033</s:v>
      </s:c>
      <s:c r="E4" s="6">
        <s:f>MAX(0,Inputs!B12-D4)</s:f>
        <s:v>0.9462499999999999</s:v>
      </s:c>
      <s:c r="F4" s="5">
        <s:f>Overview!B5+(B4*E4/(Inputs!B10*Inputs!B12)-1)*(SUM('Cash flow'!N5:N34)+SUMPRODUCT('Cash flow'!I5:I34,'Cash flow'!M5:M34))</s:f>
        <s:v>-591409.2982994034</s:v>
      </s:c>
    </s:row>
    <s:row r="5" ht="23" customHeight="1">
      <s:c r="A5" s="6" t="n">
        <s:v>0.05</s:v>
      </s:c>
      <s:c r="B5" s="5">
        <s:f>Inputs!B10*(1+A5)</s:f>
        <s:v>682.5</s:v>
      </s:c>
      <s:c r="C5" s="6">
        <s:f>MIN(1,MAX(0,Inputs!B23+A5*Inputs!B24))</s:f>
        <s:v>0.0875</s:v>
      </s:c>
      <s:c r="D5" s="6">
        <s:f>C5-Inputs!B23</s:f>
        <s:v>0.007499999999999993</s:v>
      </s:c>
      <s:c r="E5" s="6">
        <s:f>MAX(0,Inputs!B12-D5)</s:f>
        <s:v>0.9425</s:v>
      </s:c>
      <s:c r="F5" s="5">
        <s:f>Overview!B5+(B5*E5/(Inputs!B10*Inputs!B12)-1)*(SUM('Cash flow'!N5:N34)+SUMPRODUCT('Cash flow'!I5:I34,'Cash flow'!M5:M34))</s:f>
        <s:v>-381390.144283331</s:v>
      </s:c>
    </s:row>
    <s:row r="6" ht="23" customHeight="1">
      <s:c r="A6" s="6" t="n">
        <s:v>0.075</s:v>
      </s:c>
      <s:c r="B6" s="5">
        <s:f>Inputs!B10*(1+A6)</s:f>
        <s:v>698.75</s:v>
      </s:c>
      <s:c r="C6" s="6">
        <s:f>MIN(1,MAX(0,Inputs!B23+A6*Inputs!B24))</s:f>
        <s:v>0.09125</s:v>
      </s:c>
      <s:c r="D6" s="6">
        <s:f>C6-Inputs!B23</s:f>
        <s:v>0.011249999999999996</s:v>
      </s:c>
      <s:c r="E6" s="6">
        <s:f>MAX(0,Inputs!B12-D6)</s:f>
        <s:v>0.93875</s:v>
      </s:c>
      <s:c r="F6" s="5">
        <s:f>Overview!B5+(B6*E6/(Inputs!B10*Inputs!B12)-1)*(SUM('Cash flow'!N5:N34)+SUMPRODUCT('Cash flow'!I5:I34,'Cash flow'!M5:M34))</s:f>
        <s:v>-173368.00282526202</s:v>
      </s:c>
    </s:row>
    <s:row r="7" ht="23" customHeight="1">
      <s:c r="A7" s="6" t="n">
        <s:v>0.1</s:v>
      </s:c>
      <s:c r="B7" s="5">
        <s:f>Inputs!B10*(1+A7)</s:f>
        <s:v>715.0000000000001</s:v>
      </s:c>
      <s:c r="C7" s="6">
        <s:f>MIN(1,MAX(0,Inputs!B23+A7*Inputs!B24))</s:f>
        <s:v>0.095</s:v>
      </s:c>
      <s:c r="D7" s="6">
        <s:f>C7-Inputs!B23</s:f>
        <s:v>0.015</s:v>
      </s:c>
      <s:c r="E7" s="6">
        <s:f>MAX(0,Inputs!B12-D7)</s:f>
        <s:v>0.9349999999999999</s:v>
      </s:c>
      <s:c r="F7" s="5">
        <s:f>Overview!B5+(B7*E7/(Inputs!B10*Inputs!B12)-1)*(SUM('Cash flow'!N5:N34)+SUMPRODUCT('Cash flow'!I5:I34,'Cash flow'!M5:M34))</s:f>
        <s:v>32657.126074814238</s:v>
      </s:c>
    </s:row>
    <s:row r="8" ht="23" customHeight="1">
      <s:c r="A8" s="6" t="n">
        <s:v>0.15</s:v>
      </s:c>
      <s:c r="B8" s="5">
        <s:f>Inputs!B10*(1+A8)</s:f>
        <s:v>747.4999999999999</s:v>
      </s:c>
      <s:c r="C8" s="6">
        <s:f>MIN(1,MAX(0,Inputs!B23+A8*Inputs!B24))</s:f>
        <s:v>0.10250000000000001</s:v>
      </s:c>
      <s:c r="D8" s="6">
        <s:f>C8-Inputs!B23</s:f>
        <s:v>0.022500000000000006</s:v>
      </s:c>
      <s:c r="E8" s="6">
        <s:f>MAX(0,Inputs!B12-D8)</s:f>
        <s:v>0.9275</s:v>
      </s:c>
      <s:c r="F8" s="5">
        <s:f>Overview!B5+(B8*E8/(Inputs!B10*Inputs!B12)-1)*(SUM('Cash flow'!N5:N34)+SUMPRODUCT('Cash flow'!I5:I34,'Cash flow'!M5:M34))</s:f>
        <s:v>438716.3462009588</s:v>
      </s:c>
    </s:row>
    <s:row r="9" ht="23" customHeight="1">
      <s:c r="A9" s="6" t="n">
        <s:v>0.2</s:v>
      </s:c>
      <s:c r="B9" s="5">
        <s:f>Inputs!B10*(1+A9)</s:f>
        <s:v>780.0</s:v>
      </s:c>
      <s:c r="C9" s="6">
        <s:f>MIN(1,MAX(0,Inputs!B23+A9*Inputs!B24))</s:f>
        <s:v>0.11</s:v>
      </s:c>
      <s:c r="D9" s="6">
        <s:f>C9-Inputs!B23</s:f>
        <s:v>0.03</s:v>
      </s:c>
      <s:c r="E9" s="6">
        <s:f>MAX(0,Inputs!B12-D9)</s:f>
        <s:v>0.9199999999999999</s:v>
      </s:c>
      <s:c r="F9" s="5">
        <s:f>Overview!B5+(B9*E9/(Inputs!B10*Inputs!B12)-1)*(SUM('Cash flow'!N5:N34)+SUMPRODUCT('Cash flow'!I5:I34,'Cash flow'!M5:M34))</s:f>
        <s:v>836787.5160951223</s:v>
      </s:c>
    </s:row>
    <s:row r="10" ht="23" customHeight="1">
      <s:c r="A10" s="6" t="n">
        <s:v>0.25</s:v>
      </s:c>
      <s:c r="B10" s="5">
        <s:f>Inputs!B10*(1+A10)</s:f>
        <s:v>812.5</s:v>
      </s:c>
      <s:c r="C10" s="6">
        <s:f>MIN(1,MAX(0,Inputs!B23+A10*Inputs!B24))</s:f>
        <s:v>0.1175</s:v>
      </s:c>
      <s:c r="D10" s="6">
        <s:f>C10-Inputs!B23</s:f>
        <s:v>0.03749999999999999</s:v>
      </s:c>
      <s:c r="E10" s="6">
        <s:f>MAX(0,Inputs!B12-D10)</s:f>
        <s:v>0.9125</s:v>
      </s:c>
      <s:c r="F10" s="5">
        <s:f>Overview!B5+(B10*E10/(Inputs!B10*Inputs!B12)-1)*(SUM('Cash flow'!N5:N34)+SUMPRODUCT('Cash flow'!I5:I34,'Cash flow'!M5:M34))</s:f>
        <s:v>1226870.635757293</s:v>
      </s:c>
    </s:row>
    <s:row r="11" ht="23" customHeight="1">
      <s:c r="A11" s="6" t="n">
        <s:v>0.3</s:v>
      </s:c>
      <s:c r="B11" s="5">
        <s:f>Inputs!B10*(1+A11)</s:f>
        <s:v>845.0</s:v>
      </s:c>
      <s:c r="C11" s="6">
        <s:f>MIN(1,MAX(0,Inputs!B23+A11*Inputs!B24))</s:f>
        <s:v>0.125</s:v>
      </s:c>
      <s:c r="D11" s="6">
        <s:f>C11-Inputs!B23</s:f>
        <s:v>0.045</s:v>
      </s:c>
      <s:c r="E11" s="6">
        <s:f>MAX(0,Inputs!B12-D11)</s:f>
        <s:v>0.9049999999999999</s:v>
      </s:c>
      <s:c r="F11" s="5">
        <s:f>Overview!B5+(B11*E11/(Inputs!B10*Inputs!B12)-1)*(SUM('Cash flow'!N5:N34)+SUMPRODUCT('Cash flow'!I5:I34,'Cash flow'!M5:M34))</s:f>
        <s:v>1608965.7051874788</s:v>
      </s:c>
    </s:row>
    <s:row r="12" ht="23" customHeight="1">
      <s:c r="A12" s="2" t="n"/>
      <s:c r="B12" s="2" t="n"/>
      <s:c r="C12" s="2" t="n"/>
      <s:c r="D12" s="2" t="n"/>
      <s:c r="E12" s="2" t="n"/>
      <s:c r="F12" s="2" t="n"/>
    </s:row>
    <s:row r="13" ht="23" customHeight="1">
      <s:c r="A13" s="2" t="n"/>
      <s:c r="B13" s="2" t="n"/>
      <s:c r="C13" s="2" t="n"/>
      <s:c r="D13" s="2" t="n"/>
      <s:c r="E13" s="2" t="n"/>
      <s:c r="F13" s="2" t="n"/>
    </s:row>
    <s:row r="14" ht="23" customHeight="1">
      <s:c r="A14" s="2" t="inlineStr">
        <s:is>
          <s:t>Interpretation</s:t>
        </s:is>
      </s:c>
      <s:c r="B14" s="2" t="inlineStr">
        <s:is>
          <s:t>One-time rent uplift at opening; normal annual growth thereafter. Every incremental departure assumed to cause one full year of vacancy, without replacement: conservative scenario only.</s:t>
        </s:is>
      </s:c>
      <s:c r="C14" s="2" t="n"/>
      <s:c r="D14" s="2" t="n"/>
      <s:c r="E14" s="2" t="n"/>
      <s:c r="F14" s="2" t="n"/>
    </s:row>
    <s:row r="15" ht="23" customHeight="1">
      <s:c r="A15" s="2" t="inlineStr">
        <s:is>
          <s:t>Academic dropout</s:t>
        </s:is>
      </s:c>
      <s:c r="B15" s="2" t="inlineStr">
        <s:is>
          <s:t>Not used as a housing-exit probability; cohorts and denominators differ.</s:t>
        </s:is>
      </s:c>
      <s:c r="C15" s="2" t="n"/>
      <s:c r="D15" s="2" t="n"/>
      <s:c r="E15" s="2" t="n"/>
      <s:c r="F15" s="2" t="n"/>
    </s:row>
  </s:sheetData>
  <s:autoFilter ref="A1:F15"/>
  <s:mergeCells count="1">
    <s:mergeCell ref="A1:F1"/>
  </s:mergeCells>
  <s:pageMargins left="0.75" right="0.75" top="1" bottom="1" header="0.5" footer="0.5"/>
  <s:pageSetup orientation="landscape" paperSize="8" fitToHeight="0" fitToWidth="1"/>
  <s:drawing r:id="rId1"/>
</s:worksheet>
</file>

<file path=xl/worksheets/sheet5.xml><?xml version="1.0" encoding="utf-8"?>
<s:worksheet xmlns:s="http://schemas.openxmlformats.org/spreadsheetml/2006/main">
  <s:sheetPr>
    <s:outlinePr summaryBelow="1" summaryRight="1"/>
    <s:pageSetUpPr fitToPage="1"/>
  </s:sheetPr>
  <s:dimension ref="A1:E38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VARIABLE DICTIONARY</s:t>
        </s:is>
      </s:c>
    </s:row>
    <s:row r="2" ht="42" customHeight="1">
      <s:c r="A2" s="3" t="inlineStr">
        <s:is>
          <s:t>Variable</s:t>
        </s:is>
      </s:c>
      <s:c r="B2" s="3" t="inlineStr">
        <s:is>
          <s:t>Role / scale</s:t>
        </s:is>
      </s:c>
      <s:c r="C2" s="3" t="inlineStr">
        <s:is>
          <s:t>Meaning</s:t>
        </s:is>
      </s:c>
      <s:c r="D2" s="4" t="n"/>
      <s:c r="E2" s="4" t="n"/>
    </s:row>
    <s:row r="3" ht="42" customHeight="1">
      <s:c r="A3" s="2" t="inlineStr">
        <s:is>
          <s:t>Rooms</s:t>
        </s:is>
      </s:c>
      <s:c r="B3" s="2" t="inlineStr">
        <s:is>
          <s:t>Decision; discrete; ratio</s:t>
        </s:is>
      </s:c>
      <s:c r="C3" s="2" t="inlineStr">
        <s:is>
          <s:t>Illustrative scale; no plot secured</s:t>
        </s:is>
      </s:c>
    </s:row>
    <s:row r="4" ht="42" customHeight="1">
      <s:c r="A4" s="2" t="inlineStr">
        <s:is>
          <s:t>Gross floor area per room</s:t>
        </s:is>
      </s:c>
      <s:c r="B4" s="2" t="inlineStr">
        <s:is>
          <s:t>Assumption; continuous; ratio</s:t>
        </s:is>
      </s:c>
      <s:c r="C4" s="2" t="inlineStr">
        <s:is>
          <s:t>Includes share of circulation and common areas</s:t>
        </s:is>
      </s:c>
    </s:row>
    <s:row r="5" ht="42" customHeight="1">
      <s:c r="A5" s="2" t="inlineStr">
        <s:is>
          <s:t>Construction cost</s:t>
        </s:is>
      </s:c>
      <s:c r="B5" s="2" t="inlineStr">
        <s:is>
          <s:t>Assumption; continuous; ratio</s:t>
        </s:is>
      </s:c>
      <s:c r="C5" s="2" t="inlineStr">
        <s:is>
          <s:t>Concept estimate, gross of nonrecoverable VAT; obtain quotations</s:t>
        </s:is>
      </s:c>
    </s:row>
    <s:row r="6" ht="42" customHeight="1">
      <s:c r="A6" s="2" t="inlineStr">
        <s:is>
          <s:t>Land / acquisition</s:t>
        </s:is>
      </s:c>
      <s:c r="B6" s="2" t="inlineStr">
        <s:is>
          <s:t>Assumption; continuous; ratio</s:t>
        </s:is>
      </s:c>
      <s:c r="C6" s="2" t="inlineStr">
        <s:is>
          <s:t>No parcel or offer secured</s:t>
        </s:is>
      </s:c>
    </s:row>
    <s:row r="7" ht="42" customHeight="1">
      <s:c r="A7" s="2" t="inlineStr">
        <s:is>
          <s:t>Professional / permit fees</s:t>
        </s:is>
      </s:c>
      <s:c r="B7" s="2" t="inlineStr">
        <s:is>
          <s:t>Assumption; continuous; ratio</s:t>
        </s:is>
      </s:c>
      <s:c r="C7" s="2" t="inlineStr">
        <s:is>
          <s:t>Architect, studies, permit; gross cost assumption</s:t>
        </s:is>
      </s:c>
    </s:row>
    <s:row r="8" ht="42" customHeight="1">
      <s:c r="A8" s="2" t="inlineStr">
        <s:is>
          <s:t>Contingency</s:t>
        </s:is>
      </s:c>
      <s:c r="B8" s="2" t="inlineStr">
        <s:is>
          <s:t>Assumption; continuous; ratio</s:t>
        </s:is>
      </s:c>
      <s:c r="C8" s="2" t="inlineStr">
        <s:is>
          <s:t>No double counting with operating reserve</s:t>
        </s:is>
      </s:c>
    </s:row>
    <s:row r="9" ht="42" customHeight="1">
      <s:c r="A9" s="2" t="inlineStr">
        <s:is>
          <s:t>Monthly room rent</s:t>
        </s:is>
      </s:c>
      <s:c r="B9" s="2" t="inlineStr">
        <s:is>
          <s:t>Decision; continuous; ratio</s:t>
        </s:is>
      </s:c>
      <s:c r="C9" s="2" t="inlineStr">
        <s:is>
          <s:t>EUR650 private new-build rent assumption, excluding utilities. S10: VUB standard room 2026–2027 EUR449.30 including listed costs; S2 historical private average EUR550. Premium and achievable rent require local comparables.</s:t>
        </s:is>
      </s:c>
    </s:row>
    <s:row r="10" ht="42" customHeight="1">
      <s:c r="A10" s="2" t="inlineStr">
        <s:is>
          <s:t>Annual rent growth</s:t>
        </s:is>
      </s:c>
      <s:c r="B10" s="2" t="inlineStr">
        <s:is>
          <s:t>Assumption; continuous; ratio</s:t>
        </s:is>
      </s:c>
      <s:c r="C10" s="2" t="inlineStr">
        <s:is>
          <s:t>Subject to lawful indexation and lease provisions</s:t>
        </s:is>
      </s:c>
    </s:row>
    <s:row r="11" ht="42" customHeight="1">
      <s:c r="A11" s="2" t="inlineStr">
        <s:is>
          <s:t>Stabilised occupancy</s:t>
        </s:is>
      </s:c>
      <s:c r="B11" s="2" t="inlineStr">
        <s:is>
          <s:t>Assumption; continuous; ratio</s:t>
        </s:is>
      </s:c>
      <s:c r="C11" s="2" t="inlineStr">
        <s:is>
          <s:t>Includes vacancy and replacement after departures</s:t>
        </s:is>
      </s:c>
    </s:row>
    <s:row r="12" ht="42" customHeight="1">
      <s:c r="A12" s="2" t="inlineStr">
        <s:is>
          <s:t>Operating expense share</s:t>
        </s:is>
      </s:c>
      <s:c r="B12" s="2" t="inlineStr">
        <s:is>
          <s:t>Assumption; continuous; ratio</s:t>
        </s:is>
      </s:c>
      <s:c r="C12" s="2" t="inlineStr">
        <s:is>
          <s:t>Management, repairs, insurance, property tax, owner utilities; excludes debt and income tax</s:t>
        </s:is>
      </s:c>
    </s:row>
    <s:row r="13" ht="42" customHeight="1">
      <s:c r="A13" s="2" t="inlineStr">
        <s:is>
          <s:t>Annual capital reserve</s:t>
        </s:is>
      </s:c>
      <s:c r="B13" s="2" t="inlineStr">
        <s:is>
          <s:t>Assumption; continuous; ratio</s:t>
        </s:is>
      </s:c>
      <s:c r="C13" s="2" t="inlineStr">
        <s:is>
          <s:t>Inflates at annual rent growth</s:t>
        </s:is>
      </s:c>
    </s:row>
    <s:row r="14" ht="42" customHeight="1">
      <s:c r="A14" s="2" t="inlineStr">
        <s:is>
          <s:t>Discount rate</s:t>
        </s:is>
      </s:c>
      <s:c r="B14" s="2" t="inlineStr">
        <s:is>
          <s:t>Assumption; continuous; ratio</s:t>
        </s:is>
      </s:c>
      <s:c r="C14" s="2" t="inlineStr">
        <s:is>
          <s:t>Nominal unlevered required return</s:t>
        </s:is>
      </s:c>
    </s:row>
    <s:row r="15" ht="42" customHeight="1">
      <s:c r="A15" s="2" t="inlineStr">
        <s:is>
          <s:t>Exit capitalisation rate</s:t>
        </s:is>
      </s:c>
      <s:c r="B15" s="2" t="inlineStr">
        <s:is>
          <s:t>Assumption; continuous; ratio</s:t>
        </s:is>
      </s:c>
      <s:c r="C15" s="2" t="inlineStr">
        <s:is>
          <s:t>Applied to next-year NOI before reserve</s:t>
        </s:is>
      </s:c>
    </s:row>
    <s:row r="16" ht="42" customHeight="1">
      <s:c r="A16" s="2" t="inlineStr">
        <s:is>
          <s:t>Exit selling costs</s:t>
        </s:is>
      </s:c>
      <s:c r="B16" s="2" t="inlineStr">
        <s:is>
          <s:t>Assumption; continuous; ratio</s:t>
        </s:is>
      </s:c>
      <s:c r="C16" s="2" t="inlineStr">
        <s:is>
          <s:t>Illustrative transaction costs</s:t>
        </s:is>
      </s:c>
    </s:row>
    <s:row r="17" ht="42" customHeight="1">
      <s:c r="A17" s="2" t="inlineStr">
        <s:is>
          <s:t>Construction / approvals duration</s:t>
        </s:is>
      </s:c>
      <s:c r="B17" s="2" t="inlineStr">
        <s:is>
          <s:t>Assumption; discrete; ratio</s:t>
        </s:is>
      </s:c>
      <s:c r="C17" s="2" t="inlineStr">
        <s:is>
          <s:t>Fixed schedule: first operating CF at end of year 2; rebuild code to change timing</s:t>
        </s:is>
      </s:c>
    </s:row>
    <s:row r="18" ht="42" customHeight="1">
      <s:c r="A18" s="2" t="inlineStr">
        <s:is>
          <s:t>Operating horizon</s:t>
        </s:is>
      </s:c>
      <s:c r="B18" s="2" t="inlineStr">
        <s:is>
          <s:t>Assumption; discrete; ratio</s:t>
        </s:is>
      </s:c>
      <s:c r="C18" s="2" t="inlineStr">
        <s:is>
          <s:t>Fixed 30-row operating model; changing this requires rebuilding schedule</s:t>
        </s:is>
      </s:c>
    </s:row>
    <s:row r="19" ht="42" customHeight="1">
      <s:c r="A19" s="2" t="inlineStr">
        <s:is>
          <s:t>International student share</s:t>
        </s:is>
      </s:c>
      <s:c r="B19" s="2" t="inlineStr">
        <s:is>
          <s:t>Context; continuous; ratio</s:t>
        </s:is>
      </s:c>
      <s:c r="C19" s="2" t="inlineStr">
        <s:is>
          <s:t>S1: VUB Facts &amp; Figures 2024–2025: 24.38% from abroad, 24,199 students; university-wide, not housing demand or this site's catchment.</s:t>
        </s:is>
      </s:c>
    </s:row>
    <s:row r="20" ht="42" customHeight="1">
      <s:c r="A20" s="2" t="inlineStr">
        <s:is>
          <s:t>Annual student resources</s:t>
        </s:is>
      </s:c>
      <s:c r="B20" s="2" t="inlineStr">
        <s:is>
          <s:t>Scenario; continuous; ratio</s:t>
        </s:is>
      </s:c>
      <s:c r="C20" s="2" t="inlineStr">
        <s:is>
          <s:t>Illustrative annual total resources, NOT observed average earnings. S3: certain non-EU students must prove EUR1,062/month in 2026–2027 (=EUR12,744/year); visa benchmark is not wages.</s:t>
        </s:is>
      </s:c>
    </s:row>
    <s:row r="21" ht="42" customHeight="1">
      <s:c r="A21" s="2" t="inlineStr">
        <s:is>
          <s:t>Academic dropout proxy</s:t>
        </s:is>
      </s:c>
      <s:c r="B21" s="2" t="inlineStr">
        <s:is>
          <s:t>Context assumption; continuous; ratio</s:t>
        </s:is>
      </s:c>
      <s:c r="C21" s="2" t="inlineStr">
        <s:is>
          <s:t>S9: contextual proxy ONLY, not VUB-specific: 16% first-year bachelor dropout among Flemish 2023–2024 starters; published 2026-03-31, provisional. No direct link to housing vacancy.</s:t>
        </s:is>
      </s:c>
    </s:row>
    <s:row r="22" ht="42" customHeight="1">
      <s:c r="A22" s="2" t="inlineStr">
        <s:is>
          <s:t>Baseline annual housing departures</s:t>
        </s:is>
      </s:c>
      <s:c r="B22" s="2" t="inlineStr">
        <s:is>
          <s:t>Assumption; continuous; ratio</s:t>
        </s:is>
      </s:c>
      <s:c r="C22" s="2" t="inlineStr">
        <s:is>
          <s:t>Illustrative; no causal estimate from academic dropout</s:t>
        </s:is>
      </s:c>
    </s:row>
    <s:row r="23" ht="42" customHeight="1">
      <s:c r="A23" s="2" t="inlineStr">
        <s:is>
          <s:t>Departure response to rent rise</s:t>
        </s:is>
      </s:c>
      <s:c r="B23" s="2" t="inlineStr">
        <s:is>
          <s:t>Assumption; continuous; ratio</s:t>
        </s:is>
      </s:c>
      <s:c r="C23" s="2" t="inlineStr">
        <s:is>
          <s:t>A 10% rent increase adds 1.5 percentage points of departures; unvalidated</s:t>
        </s:is>
      </s:c>
    </s:row>
    <s:row r="24" ht="42" customHeight="1">
      <s:c r="A24" s="2" t="inlineStr">
        <s:is>
          <s:t>Total investment</s:t>
        </s:is>
      </s:c>
      <s:c r="B24" s="2" t="inlineStr">
        <s:is>
          <s:t>Derived; continuous; ratio; nominal EUR</s:t>
        </s:is>
      </s:c>
      <s:c r="C24" s="2" t="inlineStr">
        <s:is>
          <s:t>See Overview and Cash flow</s:t>
        </s:is>
      </s:c>
    </s:row>
    <s:row r="25" ht="42" customHeight="1">
      <s:c r="A25" s="2" t="inlineStr">
        <s:is>
          <s:t>NPV at required return</s:t>
        </s:is>
      </s:c>
      <s:c r="B25" s="2" t="inlineStr">
        <s:is>
          <s:t>Output; continuous; interval; EUR; t=0</s:t>
        </s:is>
      </s:c>
      <s:c r="C25" s="2" t="inlineStr">
        <s:is>
          <s:t>See Overview and Cash flow</s:t>
        </s:is>
      </s:c>
    </s:row>
    <s:row r="26" ht="42" customHeight="1">
      <s:c r="A26" s="2" t="inlineStr">
        <s:is>
          <s:t>Project IRR</s:t>
        </s:is>
      </s:c>
      <s:c r="B26" s="2" t="inlineStr">
        <s:is>
          <s:t>Output; continuous; rate; unlevered</s:t>
        </s:is>
      </s:c>
      <s:c r="C26" s="2" t="inlineStr">
        <s:is>
          <s:t>See Overview and Cash flow</s:t>
        </s:is>
      </s:c>
    </s:row>
    <s:row r="27" ht="42" customHeight="1">
      <s:c r="A27" s="2" t="inlineStr">
        <s:is>
          <s:t>Simple payback incl. exit</s:t>
        </s:is>
      </s:c>
      <s:c r="B27" s="2" t="inlineStr">
        <s:is>
          <s:t>Output; continuous; ratio; years from t=0; interpolation</s:t>
        </s:is>
      </s:c>
      <s:c r="C27" s="2" t="inlineStr">
        <s:is>
          <s:t>See Overview and Cash flow</s:t>
        </s:is>
      </s:c>
    </s:row>
    <s:row r="28" ht="42" customHeight="1">
      <s:c r="A28" s="2" t="inlineStr">
        <s:is>
          <s:t>Time until operations</s:t>
        </s:is>
      </s:c>
      <s:c r="B28" s="2" t="inlineStr">
        <s:is>
          <s:t>Assumption; discrete; ratio; years incl. approvals</s:t>
        </s:is>
      </s:c>
      <s:c r="C28" s="2" t="inlineStr">
        <s:is>
          <s:t>See Overview and Cash flow</s:t>
        </s:is>
      </s:c>
    </s:row>
    <s:row r="29" ht="42" customHeight="1">
      <s:c r="A29" s="2" t="inlineStr">
        <s:is>
          <s:t>Operating horizon</s:t>
        </s:is>
      </s:c>
      <s:c r="B29" s="2" t="inlineStr">
        <s:is>
          <s:t>Assumption; discrete; ratio; years</s:t>
        </s:is>
      </s:c>
      <s:c r="C29" s="2" t="inlineStr">
        <s:is>
          <s:t>See Overview and Cash flow</s:t>
        </s:is>
      </s:c>
    </s:row>
    <s:row r="30" ht="42" customHeight="1">
      <s:c r="A30" s="2" t="inlineStr">
        <s:is>
          <s:t>International share</s:t>
        </s:is>
      </s:c>
      <s:c r="B30" s="2" t="inlineStr">
        <s:is>
          <s:t>Context; continuous; ratio; see Inputs evidence</s:t>
        </s:is>
      </s:c>
      <s:c r="C30" s="2" t="inlineStr">
        <s:is>
          <s:t>See Overview and Cash flow</s:t>
        </s:is>
      </s:c>
    </s:row>
    <s:row r="31" ht="42" customHeight="1">
      <s:c r="A31" s="2" t="inlineStr">
        <s:is>
          <s:t>Annual student resources</s:t>
        </s:is>
      </s:c>
      <s:c r="B31" s="2" t="inlineStr">
        <s:is>
          <s:t>Scenario; continuous; ratio; EUR/year; no VUB average established</s:t>
        </s:is>
      </s:c>
      <s:c r="C31" s="2" t="inlineStr">
        <s:is>
          <s:t>See Overview and Cash flow</s:t>
        </s:is>
      </s:c>
    </s:row>
    <s:row r="32" ht="42" customHeight="1">
      <s:c r="A32" s="2" t="inlineStr">
        <s:is>
          <s:t>Rent / month</s:t>
        </s:is>
      </s:c>
      <s:c r="B32" s="2" t="inlineStr">
        <s:is>
          <s:t>Decision; continuous; ratio; EUR excl. utilities</s:t>
        </s:is>
      </s:c>
      <s:c r="C32" s="2" t="inlineStr">
        <s:is>
          <s:t>See Overview and Cash flow</s:t>
        </s:is>
      </s:c>
    </s:row>
    <s:row r="33" ht="42" customHeight="1">
      <s:c r="A33" s="2" t="inlineStr">
        <s:is>
          <s:t>Academic dropout proxy</s:t>
        </s:is>
      </s:c>
      <s:c r="B33" s="2" t="inlineStr">
        <s:is>
          <s:t>Context; continuous; ratio; Flemish proxy, not VUB rate; S9</s:t>
        </s:is>
      </s:c>
      <s:c r="C33" s="2" t="inlineStr">
        <s:is>
          <s:t>See Overview and Cash flow</s:t>
        </s:is>
      </s:c>
    </s:row>
    <s:row r="34" ht="42" customHeight="1">
      <s:c r="A34" s="2" t="inlineStr">
        <s:is>
          <s:t>Annual rent / resources</s:t>
        </s:is>
      </s:c>
      <s:c r="B34" s="2" t="inlineStr">
        <s:is>
          <s:t>Derived; continuous; ratio; excludes utilities</s:t>
        </s:is>
      </s:c>
      <s:c r="C34" s="2" t="inlineStr">
        <s:is>
          <s:t>See Overview and Cash flow</s:t>
        </s:is>
      </s:c>
    </s:row>
    <s:row r="35" ht="42" customHeight="1">
      <s:c r="A35" s="2" t="inlineStr">
        <s:is>
          <s:t>First operating year NOI</s:t>
        </s:is>
      </s:c>
      <s:c r="B35" s="2" t="inlineStr">
        <s:is>
          <s:t>Output; continuous; ratio; EUR/year</s:t>
        </s:is>
      </s:c>
      <s:c r="C35" s="2" t="inlineStr">
        <s:is>
          <s:t>See Overview and Cash flow</s:t>
        </s:is>
      </s:c>
    </s:row>
    <s:row r="36" ht="42" customHeight="1">
      <s:c r="A36" s="2" t="inlineStr">
        <s:is>
          <s:t>Construction location</s:t>
        </s:is>
      </s:c>
      <s:c r="B36" s="2" t="inlineStr">
        <s:is>
          <s:t>Decision; categorical; nominal</s:t>
        </s:is>
      </s:c>
      <s:c r="C36" s="2" t="inlineStr">
        <s:is>
          <s:t>Etterbeek / Ixelles search area, parcel not selected</s:t>
        </s:is>
      </s:c>
    </s:row>
    <s:row r="37" ht="42" customHeight="1">
      <s:c r="A37" s="2" t="inlineStr">
        <s:is>
          <s:t>Project stage</s:t>
        </s:is>
      </s:c>
      <s:c r="B37" s="2" t="inlineStr">
        <s:is>
          <s:t>Categorical; ordinal</s:t>
        </s:is>
      </s:c>
      <s:c r="C37" s="2" t="inlineStr">
        <s:is>
          <s:t>Planning → construction → operations</s:t>
        </s:is>
      </s:c>
    </s:row>
    <s:row r="38" ht="42" customHeight="1">
      <s:c r="A38" s="2" t="inlineStr">
        <s:is>
          <s:t>Year</s:t>
        </s:is>
      </s:c>
      <s:c r="B38" s="2" t="inlineStr">
        <s:is>
          <s:t>Index; discrete; interval</s:t>
        </s:is>
      </s:c>
      <s:c r="C38" s="2" t="inlineStr">
        <s:is>
          <s:t>Relative annual dates from investment start</s:t>
        </s:is>
      </s:c>
    </s:row>
  </s:sheetData>
  <s:autoFilter ref="A1:C38"/>
  <s:mergeCells count="1">
    <s:mergeCell ref="A1:E1"/>
  </s:mergeCells>
  <s:pageMargins left="0.75" right="0.75" top="1" bottom="1" header="0.5" footer="0.5"/>
  <s:pageSetup orientation="landscape" paperSize="8" fitToHeight="0" fitToWidth="1"/>
</s:worksheet>
</file>

<file path=xl/worksheets/sheet6.xml><?xml version="1.0" encoding="utf-8"?>
<s:worksheet xmlns:s="http://schemas.openxmlformats.org/spreadsheetml/2006/main">
  <s:sheetPr>
    <s:outlinePr summaryBelow="1" summaryRight="1"/>
    <s:pageSetUpPr fitToPage="1"/>
  </s:sheetPr>
  <s:dimension ref="A1:E10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BRUSSELS REGULATORY DUE DILIGENCE</s:t>
        </s:is>
      </s:c>
    </s:row>
    <s:row r="2" ht="42" customHeight="1">
      <s:c r="A2" s="3" t="inlineStr">
        <s:is>
          <s:t>Topic</s:t>
        </s:is>
      </s:c>
      <s:c r="B2" s="3" t="inlineStr">
        <s:is>
          <s:t>Requirement / action</s:t>
        </s:is>
      </s:c>
      <s:c r="C2" s="3" t="inlineStr">
        <s:is>
          <s:t>Model implication</s:t>
        </s:is>
      </s:c>
      <s:c r="D2" s="3" t="inlineStr">
        <s:is>
          <s:t>Source</s:t>
        </s:is>
      </s:c>
      <s:c r="E2" s="4" t="n"/>
    </s:row>
    <s:row r="3" ht="78" customHeight="1">
      <s:c r="A3" s="2" t="inlineStr">
        <s:is>
          <s:t>Planning and location</s:t>
        </s:is>
      </s:c>
      <s:c r="B3" s="2" t="inlineStr">
        <s:is>
          <s:t>Search near VUB Main Campus, Pleinlaan 2, 1050 Brussels, in Ixelles / Etterbeek. No parcel secured. Verify ownership, land use, planning permit, municipal conditions and any campus agreement.</s:t>
        </s:is>
      </s:c>
      <s:c r="C3" s="2" t="inlineStr">
        <s:is>
          <s:t>2-year development estimate includes approvals and construction; illustrative, not confirmed. No entitlement to build on VUB land.</s:t>
        </s:is>
      </s:c>
      <s:c r="D3" s="2" t="inlineStr">
        <s:is>
          <s:t>A1; municipality / urban.brussels review required</s:t>
        </s:is>
      </s:c>
    </s:row>
    <s:row r="4" ht="78" customHeight="1">
      <s:c r="A4" s="2" t="inlineStr">
        <s:is>
          <s:t>Housing quality from 2026</s:t>
        </s:is>
      </s:c>
      <s:c r="B4" s="2" t="inlineStr">
        <s:is>
          <s:t>Apply Brussels safety, sanitation and equipment standards effective 2026-01-01. Architect must validate private room area, daylight, ventilation, sanitary/kitchen capacity and common spaces against applicable rules.</s:t>
        </s:is>
      </s:c>
      <s:c r="C4" s="2" t="inlineStr">
        <s:is>
          <s:t>28 m² gross per room includes circulation and shared spaces; it does not demonstrate minimum compliant net area.</s:t>
        </s:is>
      </s:c>
      <s:c r="D4" s="2" t="inlineStr">
        <s:is>
          <s:t>S6</s:t>
        </s:is>
      </s:c>
    </s:row>
    <s:row r="5" ht="78" customHeight="1">
      <s:c r="A5" s="2" t="inlineStr">
        <s:is>
          <s:t>Rent and reference rent</s:t>
        </s:is>
      </s:c>
      <s:c r="B5" s="2" t="inlineStr">
        <s:is>
          <s:t>Include required reference rent. Since 2025-05-01 landlords must avoid excessive rents; &gt;20% above reference is rebuttably presumed excessive, and quality defects can matter below this threshold.</s:t>
        </s:is>
      </s:c>
      <s:c r="C5" s="2" t="inlineStr">
        <s:is>
          <s:t>EUR650 is an assumption, not legal clearance. Establish the relevant room category and lawful rent before pricing; rent-reduction risk not quantified.</s:t>
        </s:is>
      </s:c>
      <s:c r="D5" s="2" t="inlineStr">
        <s:is>
          <s:t>S5</s:t>
        </s:is>
      </s:c>
    </s:row>
    <s:row r="6" ht="78" customHeight="1">
      <s:c r="A6" s="2" t="inlineStr">
        <s:is>
          <s:t>Student tenancy</s:t>
        </s:is>
      </s:c>
      <s:c r="B6" s="2" t="inlineStr">
        <s:is>
          <s:t>Use a compliant Brussels student lease, verify student status, notices, deposit, disclosures and registration at letting. Obtain current specialist advice on the applicable regime.</s:t>
        </s:is>
      </s:c>
      <s:c r="C6" s="2" t="inlineStr">
        <s:is>
          <s:t>Model assumes 12 chargeable months and 95% occupancy; early termination / summer voids could reduce income.</s:t>
        </s:is>
      </s:c>
      <s:c r="D6" s="2" t="inlineStr">
        <s:is>
          <s:t>S8; contract review required</s:t>
        </s:is>
      </s:c>
    </s:row>
    <s:row r="7" ht="78" customHeight="1">
      <s:c r="A7" s="2" t="inlineStr">
        <s:is>
          <s:t>Indexation / energy</s:t>
        </s:is>
      </s:c>
      <s:c r="B7" s="2" t="inlineStr">
        <s:is>
          <s:t>Check registration and EPB conditions and the current lawful indexation mechanism before each annual adjustment.</s:t>
        </s:is>
      </s:c>
      <s:c r="C7" s="2" t="inlineStr">
        <s:is>
          <s:t>2% yearly growth is a forecast, not a guaranteed legal increase. Tax, EPB and retrofit impacts require site review.</s:t>
        </s:is>
      </s:c>
      <s:c r="D7" s="2" t="inlineStr">
        <s:is>
          <s:t>S5 / S8; detailed indexation check pending</s:t>
        </s:is>
      </s:c>
    </s:row>
    <s:row r="8" ht="78" customHeight="1">
      <s:c r="A8" s="2" t="inlineStr">
        <s:is>
          <s:t>Fire and access</s:t>
        </s:is>
      </s:c>
      <s:c r="B8" s="2" t="inlineStr">
        <s:is>
          <s:t>Validate smoke detection, fire-service requirements, evacuation, accessibility and EPB with architect and competent authority.</s:t>
        </s:is>
      </s:c>
      <s:c r="C8" s="2" t="inlineStr">
        <s:is>
          <s:t>Fees and contingency are preliminary; final scope may increase cost and delay opening.</s:t>
        </s:is>
      </s:c>
      <s:c r="D8" s="2" t="inlineStr">
        <s:is>
          <s:t>S6; project-specific approval required</s:t>
        </s:is>
      </s:c>
    </s:row>
    <s:row r="9" ht="78" customHeight="1">
      <s:c r="A9" s="2" t="inlineStr">
        <s:is>
          <s:t>Quality label</s:t>
        </s:is>
      </s:c>
      <s:c r="B9" s="2" t="inlineStr">
        <s:is>
          <s:t>Consider the Brussels student-housing quality label: 5-year renewable validity; compliance declaration, student lease/commitment and valid EPB among application documents.</s:t>
        </s:is>
      </s:c>
      <s:c r="C9" s="2" t="inlineStr">
        <s:is>
          <s:t>Label may help marketing; not a substitute for planning permission or compliant construction.</s:t>
        </s:is>
      </s:c>
      <s:c r="D9" s="2" t="inlineStr">
        <s:is>
          <s:t>S7</s:t>
        </s:is>
      </s:c>
    </s:row>
    <s:row r="10" ht="78" customHeight="1">
      <s:c r="A10" s="2" t="inlineStr">
        <s:is>
          <s:t>Student housing minimum surface</s:t>
        </s:is>
      </s:c>
      <s:c r="B10" s="2" t="inlineStr">
        <s:is>
          <s:t>2026 housing-code rules: student dwelling minimum 12 m² for one person, 18 m² for two. Habitable rooms must cover at least 70% of dwelling area. Collective common rooms counted pro rata by maximum residents using them.</s:t>
        </s:is>
      </s:c>
      <s:c r="C10" s="2" t="inlineStr">
        <s:is>
          <s:t>Do not equate 12 m² with a universal private-bedroom minimum. Architect must calculate qualifying area and apply stricter planning/fire rules; 28 m² gross allocation is not compliance proof.</s:t>
        </s:is>
      </s:c>
      <s:c r="D10" s="2" t="inlineStr">
        <s:is>
          <s:t>S12, pp.13–14, right-hand column</s:t>
        </s:is>
      </s:c>
    </s:row>
  </s:sheetData>
  <s:autoFilter ref="A1:D10"/>
  <s:mergeCells count="1">
    <s:mergeCell ref="A1:E1"/>
  </s:mergeCells>
  <s:pageMargins left="0.75" right="0.75" top="1" bottom="1" header="0.5" footer="0.5"/>
  <s:pageSetup orientation="landscape" paperSize="8" fitToHeight="0" fitToWidth="1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E15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SOURCES AND RESEARCH LOG</s:t>
        </s:is>
      </s:c>
    </s:row>
    <s:row r="2" ht="42" customHeight="1">
      <s:c r="A2" s="3" t="inlineStr">
        <s:is>
          <s:t>ID</s:t>
        </s:is>
      </s:c>
      <s:c r="B2" s="3" t="inlineStr">
        <s:is>
          <s:t>Organisation / title</s:t>
        </s:is>
      </s:c>
      <s:c r="C2" s="3" t="inlineStr">
        <s:is>
          <s:t>URL</s:t>
        </s:is>
      </s:c>
      <s:c r="D2" s="3" t="inlineStr">
        <s:is>
          <s:t>Period / access</s:t>
        </s:is>
      </s:c>
      <s:c r="E2" s="3" t="inlineStr">
        <s:is>
          <s:t>Evidence and limits</s:t>
        </s:is>
      </s:c>
    </s:row>
    <s:row r="3" ht="78" customHeight="1">
      <s:c r="A3" s="2" t="inlineStr">
        <s:is>
          <s:t>S1</s:t>
        </s:is>
      </s:c>
      <s:c r="B3" s="2" t="inlineStr">
        <s:is>
          <s:t>VUB: Facts &amp; Figures 2024–2025</s:t>
        </s:is>
      </s:c>
      <s:c r="C3" s="11" t="inlineStr">
        <s:is>
          <s:t>https://www.vub.be/en/news/vub-launches-facts-figures-2024-2025</s:t>
        </s:is>
      </s:c>
      <s:c r="D3" s="2" t="inlineStr">
        <s:is>
          <s:t>Published 2025-12-16; accessed 2026-10-14</s:t>
        </s:is>
      </s:c>
      <s:c r="E3" s="2" t="inlineStr">
        <s:is>
          <s:t>24,199 students; 24.38% from abroad; 151 nationalities. University-wide, not a local housing-demand count.</s:t>
        </s:is>
      </s:c>
    </s:row>
    <s:row r="4" ht="78" customHeight="1">
      <s:c r="A4" s="2" t="inlineStr">
        <s:is>
          <s:t>S2</s:t>
        </s:is>
      </s:c>
      <s:c r="B4" s="2" t="inlineStr">
        <s:is>
          <s:t>VUB: 2025 study cost sheet</s:t>
        </s:is>
      </s:c>
      <s:c r="C4" s="11" t="inlineStr">
        <s:is>
          <s:t>https://www.vub.be/sites/default/files/2025-03/2025_Hoeveel_kost_studeren_kostenplaatje_1BA_Business_economics_ENG_0.pdf</s:t>
        </s:is>
      </s:c>
      <s:c r="D4" s="2" t="inlineStr">
        <s:is>
          <s:t>2025 sheet; housing benchmark Brik 2023; accessed 2026-10-14</s:t>
        </s:is>
      </s:c>
      <s:c r="E4" s="2" t="inlineStr">
        <s:is>
          <s:t>Private room average EUR550/month excluding charges; VUB standard room EUR408.30 including costs. Historical benchmark, not 2026 market evidence.</s:t>
        </s:is>
      </s:c>
    </s:row>
    <s:row r="5" ht="78" customHeight="1">
      <s:c r="A5" s="2" t="inlineStr">
        <s:is>
          <s:t>S3</s:t>
        </s:is>
      </s:c>
      <s:c r="B5" s="2" t="inlineStr">
        <s:is>
          <s:t>Belgian FPS Foreign Affairs: student sponsorship</s:t>
        </s:is>
      </s:c>
      <s:c r="C5" s="11" t="inlineStr">
        <s:is>
          <s:t>https://verenigdkoninkrijk.diplomatie.belgium.be/en/travel-belgium/financial-guarantee-student-sponsorship</s:t>
        </s:is>
      </s:c>
      <s:c r="D5" s="2" t="inlineStr">
        <s:is>
          <s:t>Academic year 2026–2027; accessed 2026-10-14</s:t>
        </s:is>
      </s:c>
      <s:c r="E5" s="2" t="inlineStr">
        <s:is>
          <s:t>Student means-of-subsistence requirement EUR1,062 net/month; EUR12,744 annual equivalent. Applies to relevant third-country students, not all VUB students or average wages.</s:t>
        </s:is>
      </s:c>
    </s:row>
    <s:row r="6" ht="78" customHeight="1">
      <s:c r="A6" s="2" t="inlineStr">
        <s:is>
          <s:t>S4</s:t>
        </s:is>
      </s:c>
      <s:c r="B6" s="2" t="inlineStr">
        <s:is>
          <s:t>Student At Work / Belgian social security: hours package</s:t>
        </s:is>
      </s:c>
      <s:c r="C6" s="11" t="inlineStr">
        <s:is>
          <s:t>https://www.studentatwork.be/en/hours-package-and-impact.html</s:t>
        </s:is>
      </s:c>
      <s:c r="D6" s="2" t="inlineStr">
        <s:is>
          <s:t>Since 2025-01-01; accessed 2026-10-14</s:t>
        </s:is>
      </s:c>
      <s:c r="E6" s="2" t="inlineStr">
        <s:is>
          <s:t>650 annual hours with reduced social contributions; student contribution 2.71%; may work beyond quota with ordinary contributions. Not guaranteed work or income.</s:t>
        </s:is>
      </s:c>
    </s:row>
    <s:row r="7" ht="78" customHeight="1">
      <s:c r="A7" s="2" t="inlineStr">
        <s:is>
          <s:t>S5</s:t>
        </s:is>
      </s:c>
      <s:c r="B7" s="2" t="inlineStr">
        <s:is>
          <s:t>Brussels Housing: reference rents</s:t>
        </s:is>
      </s:c>
      <s:c r="C7" s="11" t="inlineStr">
        <s:is>
          <s:t>https://be.brussels/fr/logement/location/bail-dhabitation/loyers-de-reference</s:t>
        </s:is>
      </s:c>
      <s:c r="D7" s="2" t="inlineStr">
        <s:is>
          <s:t>Rule effective 2025-05-01; accessed 2026-10-14</s:t>
        </s:is>
      </s:c>
      <s:c r="E7" s="2" t="inlineStr">
        <s:is>
          <s:t>Reference rent must be in residential leases. Rent over reference by more than 20% presumed excessive, rebuttable by specific comforts; defects can also establish excessiveness. Verify room applicability.</s:t>
        </s:is>
      </s:c>
    </s:row>
    <s:row r="8" ht="78" customHeight="1">
      <s:c r="A8" s="2" t="inlineStr">
        <s:is>
          <s:t>S6</s:t>
        </s:is>
      </s:c>
      <s:c r="B8" s="2" t="inlineStr">
        <s:is>
          <s:t>Brussels Housing: quality and safety</s:t>
        </s:is>
      </s:c>
      <s:c r="C8" s="11" t="inlineStr">
        <s:is>
          <s:t>https://be.brussels/fr/logement/location/conformite-logement/normes-et-securite</s:t>
        </s:is>
      </s:c>
      <s:c r="D8" s="2" t="inlineStr">
        <s:is>
          <s:t>2026 standards; accessed 2026-10-14</s:t>
        </s:is>
      </s:c>
      <s:c r="E8" s="2" t="inlineStr">
        <s:is>
          <s:t>Official page links applicable standards and comparison before/after 2026-01-01; 2025 smoke detection rules. Design must be checked against actual legal text.</s:t>
        </s:is>
      </s:c>
    </s:row>
    <s:row r="9" ht="78" customHeight="1">
      <s:c r="A9" s="2" t="inlineStr">
        <s:is>
          <s:t>S7</s:t>
        </s:is>
      </s:c>
      <s:c r="B9" s="2" t="inlineStr">
        <s:is>
          <s:t>Brussels Housing: student housing quality label</s:t>
        </s:is>
      </s:c>
      <s:c r="C9" s="11" t="inlineStr">
        <s:is>
          <s:t>https://be.brussels/fr/logement/location/conformite-logement/label-logement-etudiant</s:t>
        </s:is>
      </s:c>
      <s:c r="D9" s="2" t="inlineStr">
        <s:is>
          <s:t>Accessed 2026-10-14</s:t>
        </s:is>
      </s:c>
      <s:c r="E9" s="2" t="inlineStr">
        <s:is>
          <s:t>Quality label valid 5 years, renewable; application involves compliance declaration, student lease or commitment, and valid EPB certificate. Does not replace permits.</s:t>
        </s:is>
      </s:c>
    </s:row>
    <s:row r="10" ht="78" customHeight="1">
      <s:c r="A10" s="2" t="inlineStr">
        <s:is>
          <s:t>S8</s:t>
        </s:is>
      </s:c>
      <s:c r="B10" s="2" t="inlineStr">
        <s:is>
          <s:t>Brussels Housing: rental process</s:t>
        </s:is>
      </s:c>
      <s:c r="C10" s="11" t="inlineStr">
        <s:is>
          <s:t>https://be.brussels/nl/huisvesting/huren-en-verhuren/de-verschillende-stappen-van-het-huren-en-verhuren</s:t>
        </s:is>
      </s:c>
      <s:c r="D10" s="2" t="inlineStr">
        <s:is>
          <s:t>Accessed 2026-10-14</s:t>
        </s:is>
      </s:c>
      <s:c r="E10" s="2" t="inlineStr">
        <s:is>
          <s:t>Housing quality, disclosures and registration obligations; check current process and documents before leasing.</s:t>
        </s:is>
      </s:c>
    </s:row>
    <s:row r="11" ht="78" customHeight="1">
      <s:c r="A11" s="2" t="inlineStr">
        <s:is>
          <s:t>S9</s:t>
        </s:is>
      </s:c>
      <s:c r="B11" s="2" t="inlineStr">
        <s:is>
          <s:t>Statistics Flanders: dropout in higher education</s:t>
        </s:is>
      </s:c>
      <s:c r="C11" s="11" t="inlineStr">
        <s:is>
          <s:t>https://www.vlaanderen.be/statistiek-vlaanderen/onderwijs-en-vorming/drop-out-in-het-hoger-onderwijs</s:t>
        </s:is>
      </s:c>
      <s:c r="D11" s="2" t="inlineStr">
        <s:is>
          <s:t>Published 2026-03-31; cohort 2023–2024; accessed 2026-10-14</s:t>
        </s:is>
      </s:c>
      <s:c r="E11" s="2" t="inlineStr">
        <s:is>
          <s:t>16% first-year bachelor dropout (8,881 entrants); figure provisional. Flemish academic and professional bachelors, not VUB-specific. Obtain VUB cohort data before treating as a VUB estimate.</s:t>
        </s:is>
      </s:c>
    </s:row>
    <s:row r="12" ht="78" customHeight="1">
      <s:c r="A12" s="2" t="inlineStr">
        <s:is>
          <s:t>A1</s:t>
        </s:is>
      </s:c>
      <s:c r="B12" s="2" t="inlineStr">
        <s:is>
          <s:t>Author scenario assumptions</s:t>
        </s:is>
      </s:c>
      <s:c r="C12" s="2" t="inlineStr"/>
      <s:c r="D12" s="2" t="inlineStr">
        <s:is>
          <s:t>2026-10-14</s:t>
        </s:is>
      </s:c>
      <s:c r="E12" s="2" t="inlineStr">
        <s:is>
          <s:t>Construction costs, acquisition, expenses, timing, discount rate, exit cap rate, occupancy, student resources and price response are unsourced illustrative assumptions. Obtain parcel, cost, tax and letting evidence before investment.</s:t>
        </s:is>
      </s:c>
    </s:row>
    <s:row r="13" ht="78" customHeight="1">
      <s:c r="A13" s="2" t="inlineStr">
        <s:is>
          <s:t>S10</s:t>
        </s:is>
      </s:c>
      <s:c r="B13" s="2" t="inlineStr">
        <s:is>
          <s:t>VUB: current practical housing information</s:t>
        </s:is>
      </s:c>
      <s:c r="C13" s="11" t="inlineStr">
        <s:is>
          <s:t>https://www.vub.be/en/studying-vub/practical-info-for-students/student-housing/practical-housing-information</s:t>
        </s:is>
      </s:c>
      <s:c r="D13" s="2" t="inlineStr">
        <s:is>
          <s:t>2026–2027; updated 2026-09-18; accessed 2026-10-14</s:t>
        </s:is>
      </s:c>
      <s:c r="E13" s="2" t="inlineStr">
        <s:is>
          <s:t>Standard VUB room EUR449.30/month including energy, internet, fire insurance, repairs and communal cleaning. Demand exceeds availability; allocation conditions apply. Not a private new-build market comparable.</s:t>
        </s:is>
      </s:c>
    </s:row>
    <s:row r="14" ht="78" customHeight="1">
      <s:c r="A14" s="2" t="inlineStr">
        <s:is>
          <s:t>S11</s:t>
        </s:is>
      </s:c>
      <s:c r="B14" s="2" t="inlineStr">
        <s:is>
          <s:t>FPS Employment: student employment remuneration</s:t>
        </s:is>
      </s:c>
      <s:c r="C14" s="11" t="inlineStr">
        <s:is>
          <s:t>https://emploi.belgique.be/fr/themes/contrats-de-travail/contrats-de-travail-particuliers/contrat-doccupation-detudiants</s:t>
        </s:is>
      </s:c>
      <s:c r="D14" s="2" t="inlineStr">
        <s:is>
          <s:t>Rates effective 2026-07-01; accessed 2026-10-14</s:t>
        </s:is>
      </s:c>
      <s:c r="E14" s="2" t="inlineStr">
        <s:is>
          <s:t>Sector collective agreement governs pay. Where not applicable, age-adjusted interprofessional minimum; indicative hourly rates at 38h/week: age18 EUR10.7158;19 EUR11.5297;20 EUR12.2079;21 EUR13.5644. Annual student income depends on actual hours.</s:t>
        </s:is>
      </s:c>
    </s:row>
    <s:row r="15" ht="78" customHeight="1">
      <s:c r="A15" s="2" t="inlineStr">
        <s:is>
          <s:t>S12</s:t>
        </s:is>
      </s:c>
      <s:c r="B15" s="2" t="inlineStr">
        <s:is>
          <s:t>Brussels Housing: comparison of minimum requirements</s:t>
        </s:is>
      </s:c>
      <s:c r="C15" s="11" t="inlineStr">
        <s:is>
          <s:t>https://admin.be.brussels/sites/default/files/2025-06/Tableau%20comparatif%20AGRBC%202003-2023%20FR.pdf</s:t>
        </s:is>
      </s:c>
      <s:c r="D15" s="2" t="inlineStr">
        <s:is>
          <s:t>2026 rules, right-hand column; pp.13–14; accessed 2026-10-14</s:t>
        </s:is>
      </s:c>
      <s:c r="E15" s="2" t="inlineStr">
        <s:is>
          <s:t>Student housing surface: 12 m² for one person, 18 m² for two. Habitable rooms at least 70% of dwelling area. Collective common rooms allocated by maximum residents using them. These are housing-code minima; planning/fire rules can be stricter.</s:t>
        </s:is>
      </s:c>
    </s:row>
  </s:sheetData>
  <s:autoFilter ref="A1:E15"/>
  <s:mergeCells count="1">
    <s:mergeCell ref="A1:E1"/>
  </s:mergeCells>
  <s:hyperlinks>
    <s:hyperlink ref="C3" r:id="rId1"/>
    <s:hyperlink ref="C4" r:id="rId2"/>
    <s:hyperlink ref="C5" r:id="rId3"/>
    <s:hyperlink ref="C6" r:id="rId4"/>
    <s:hyperlink ref="C7" r:id="rId5"/>
    <s:hyperlink ref="C8" r:id="rId6"/>
    <s:hyperlink ref="C9" r:id="rId7"/>
    <s:hyperlink ref="C10" r:id="rId8"/>
    <s:hyperlink ref="C11" r:id="rId9"/>
    <s:hyperlink ref="C13" r:id="rId10"/>
    <s:hyperlink ref="C14" r:id="rId11"/>
    <s:hyperlink ref="C15" r:id="rId12"/>
  </s:hyperlinks>
  <s:pageMargins left="0.75" right="0.75" top="1" bottom="1" header="0.5" footer="0.5"/>
  <s:pageSetup orientation="landscape" paperSize="8" fitToHeight="0" fitToWidth="1"/>
</s:worksheet>
</file>

<file path=xl/worksheets/sheet8.xml><?xml version="1.0" encoding="utf-8"?>
<s:worksheet xmlns:s="http://schemas.openxmlformats.org/spreadsheetml/2006/main">
  <s:sheetPr>
    <s:outlinePr summaryBelow="1" summaryRight="1"/>
    <s:pageSetUpPr fitToPage="1"/>
  </s:sheetPr>
  <s:dimension ref="A1:E19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STUDENT RESOURCES AND AFFORDABILITY</s:t>
        </s:is>
      </s:c>
    </s:row>
    <s:row r="2" ht="42" customHeight="1">
      <s:c r="A2" s="3" t="inlineStr">
        <s:is>
          <s:t>Item / age</s:t>
        </s:is>
      </s:c>
      <s:c r="B2" s="3" t="inlineStr">
        <s:is>
          <s:t>Value / hourly pay EUR</s:t>
        </s:is>
      </s:c>
      <s:c r="C2" s="3" t="inlineStr">
        <s:is>
          <s:t>Annual gross EUR</s:t>
        </s:is>
      </s:c>
      <s:c r="D2" s="3" t="inlineStr">
        <s:is>
          <s:t>After solidarity contribution EUR</s:t>
        </s:is>
      </s:c>
      <s:c r="E2" s="3" t="inlineStr">
        <s:is>
          <s:t>Classification / evidence</s:t>
        </s:is>
      </s:c>
    </s:row>
    <s:row r="3" ht="42" customHeight="1">
      <s:c r="A3" s="2" t="n"/>
      <s:c r="B3" s="2" t="n"/>
      <s:c r="C3" s="2" t="n"/>
      <s:c r="D3" s="2" t="n"/>
      <s:c r="E3" s="2" t="n"/>
    </s:row>
    <s:row r="4" ht="42" customHeight="1">
      <s:c r="A4" s="2" t="inlineStr">
        <s:is>
          <s:t>Illustrative annual total resources</s:t>
        </s:is>
      </s:c>
      <s:c r="B4" s="5">
        <s:f>Inputs!B21</s:f>
        <s:v>14000</s:v>
      </s:c>
      <s:c r="C4" s="2" t="n"/>
      <s:c r="D4" s="2" t="n"/>
      <s:c r="E4" s="2" t="inlineStr">
        <s:is>
          <s:t>Scenario; continuous; ratio. Family support + grants + work; no observed VUB average.</s:t>
        </s:is>
      </s:c>
    </s:row>
    <s:row r="5" ht="42" customHeight="1">
      <s:c r="A5" s="2" t="inlineStr">
        <s:is>
          <s:t>Monthly proof of means</s:t>
        </s:is>
      </s:c>
      <s:c r="B5" s="5" t="n">
        <s:v>1062</s:v>
      </s:c>
      <s:c r="C5" s="2" t="n"/>
      <s:c r="D5" s="2" t="n"/>
      <s:c r="E5" s="2" t="inlineStr">
        <s:is>
          <s:t>S3: 2026–2027 benchmark for relevant non-EU student residence applicants; not wages.</s:t>
        </s:is>
      </s:c>
    </s:row>
    <s:row r="6" ht="42" customHeight="1">
      <s:c r="A6" s="2" t="inlineStr">
        <s:is>
          <s:t>Reduced-contribution annual hours</s:t>
        </s:is>
      </s:c>
      <s:c r="B6" s="5" t="n">
        <s:v>650</s:v>
      </s:c>
      <s:c r="C6" s="2" t="n"/>
      <s:c r="D6" s="2" t="n"/>
      <s:c r="E6" s="2" t="inlineStr">
        <s:is>
          <s:t>S4: count, discrete, ratio; scenario assumes entire quota worked, not guaranteed employment.</s:t>
        </s:is>
      </s:c>
    </s:row>
    <s:row r="7" ht="42" customHeight="1">
      <s:c r="A7" s="2" t="inlineStr">
        <s:is>
          <s:t>Student solidarity contribution</s:t>
        </s:is>
      </s:c>
      <s:c r="B7" s="12" t="n">
        <s:v>0.0271</s:v>
      </s:c>
      <s:c r="C7" s="2" t="n"/>
      <s:c r="D7" s="2" t="n"/>
      <s:c r="E7" s="2" t="inlineStr">
        <s:is>
          <s:t>S4: continuous ratio; 2.71%; tax treatment depends on personal circumstances.</s:t>
        </s:is>
      </s:c>
    </s:row>
    <s:row r="8" ht="42" customHeight="1">
      <s:c r="A8" s="2" t="n"/>
      <s:c r="B8" s="2" t="n"/>
      <s:c r="C8" s="2" t="n"/>
      <s:c r="D8" s="2" t="n"/>
      <s:c r="E8" s="2" t="n"/>
    </s:row>
    <s:row r="9" ht="75" customHeight="1">
      <s:c r="A9" s="5" t="n">
        <s:v>18</s:v>
      </s:c>
      <s:c r="B9" s="5" t="n">
        <s:v>10.7158</s:v>
      </s:c>
      <s:c r="C9" s="5">
        <s:f>B9*$B$6</s:f>
        <s:v>6965.2699999999995</s:v>
      </s:c>
      <s:c r="D9" s="5">
        <s:f>C9*(1-$B$7)</s:f>
        <s:v>6776.511183</s:v>
      </s:c>
      <s:c r="E9" s="2" t="inlineStr">
        <s:is>
          <s:t>S11: fallback hourly rate effective July 2026, indicative 38h-week basis; sector CBA may apply. Gross annual pay assumes rate unchanged for all 650h; D is before any income tax.</s:t>
        </s:is>
      </s:c>
    </s:row>
    <s:row r="10" ht="75" customHeight="1">
      <s:c r="A10" s="5" t="n">
        <s:v>19</s:v>
      </s:c>
      <s:c r="B10" s="5" t="n">
        <s:v>11.5297</s:v>
      </s:c>
      <s:c r="C10" s="5">
        <s:f>B10*$B$6</s:f>
        <s:v>7494.305</s:v>
      </s:c>
      <s:c r="D10" s="5">
        <s:f>C10*(1-$B$7)</s:f>
        <s:v>7291.2093345</s:v>
      </s:c>
      <s:c r="E10" s="2" t="inlineStr">
        <s:is>
          <s:t>S11: fallback hourly rate effective July 2026, indicative 38h-week basis; sector CBA may apply. Gross annual pay assumes rate unchanged for all 650h; D is before any income tax.</s:t>
        </s:is>
      </s:c>
    </s:row>
    <s:row r="11" ht="75" customHeight="1">
      <s:c r="A11" s="5" t="n">
        <s:v>20</s:v>
      </s:c>
      <s:c r="B11" s="5" t="n">
        <s:v>12.2079</s:v>
      </s:c>
      <s:c r="C11" s="5">
        <s:f>B11*$B$6</s:f>
        <s:v>7935.135</s:v>
      </s:c>
      <s:c r="D11" s="5">
        <s:f>C11*(1-$B$7)</s:f>
        <s:v>7720.0928415</s:v>
      </s:c>
      <s:c r="E11" s="2" t="inlineStr">
        <s:is>
          <s:t>S11: fallback hourly rate effective July 2026, indicative 38h-week basis; sector CBA may apply. Gross annual pay assumes rate unchanged for all 650h; D is before any income tax.</s:t>
        </s:is>
      </s:c>
    </s:row>
    <s:row r="12" ht="75" customHeight="1">
      <s:c r="A12" s="5" t="n">
        <s:v>21</s:v>
      </s:c>
      <s:c r="B12" s="5" t="n">
        <s:v>13.5644</s:v>
      </s:c>
      <s:c r="C12" s="5">
        <s:f>B12*$B$6</s:f>
        <s:v>8816.859999999999</s:v>
      </s:c>
      <s:c r="D12" s="5">
        <s:f>C12*(1-$B$7)</s:f>
        <s:v>8577.923093999998</s:v>
      </s:c>
      <s:c r="E12" s="2" t="inlineStr">
        <s:is>
          <s:t>S11: fallback hourly rate effective July 2026, indicative 38h-week basis; sector CBA may apply. Gross annual pay assumes rate unchanged for all 650h; D is before any income tax.</s:t>
        </s:is>
      </s:c>
    </s:row>
    <s:row r="13" ht="42" customHeight="1">
      <s:c r="A13" s="2" t="n"/>
      <s:c r="B13" s="2" t="n"/>
      <s:c r="C13" s="2" t="n"/>
      <s:c r="D13" s="2" t="n"/>
      <s:c r="E13" s="2" t="n"/>
    </s:row>
    <s:row r="14" ht="42" customHeight="1">
      <s:c r="A14" s="2" t="n"/>
      <s:c r="B14" s="2" t="n"/>
      <s:c r="C14" s="2" t="n"/>
      <s:c r="D14" s="2" t="n"/>
      <s:c r="E14" s="2" t="n"/>
    </s:row>
    <s:row r="15" ht="42" customHeight="1">
      <s:c r="A15" s="2" t="inlineStr">
        <s:is>
          <s:t>VUB standard rent incl. listed costs</s:t>
        </s:is>
      </s:c>
      <s:c r="B15" s="5" t="n">
        <s:v>449.3</s:v>
      </s:c>
      <s:c r="C15" s="2" t="n"/>
      <s:c r="D15" s="2" t="n"/>
      <s:c r="E15" s="2" t="inlineStr">
        <s:is>
          <s:t>S10: EUR/month; continuous ratio; 2026–2027; subsidised university offering with eligibility conditions.</s:t>
        </s:is>
      </s:c>
    </s:row>
    <s:row r="16" ht="42" customHeight="1">
      <s:c r="A16" s="2" t="inlineStr">
        <s:is>
          <s:t>Project rent excl. utilities</s:t>
        </s:is>
      </s:c>
      <s:c r="B16" s="5">
        <s:f>Inputs!B10</s:f>
        <s:v>650</s:v>
      </s:c>
      <s:c r="C16" s="2" t="n"/>
      <s:c r="D16" s="2" t="n"/>
      <s:c r="E16" s="2" t="inlineStr">
        <s:is>
          <s:t>Decision; continuous ratio; EUR/month.</s:t>
        </s:is>
      </s:c>
    </s:row>
    <s:row r="17" ht="42" customHeight="1">
      <s:c r="A17" s="2" t="inlineStr">
        <s:is>
          <s:t>Rent share of proof-of-means amount</s:t>
        </s:is>
      </s:c>
      <s:c r="B17" s="6">
        <s:f>B16/B5</s:f>
        <s:v>0.6120527306967984</s:v>
      </s:c>
      <s:c r="C17" s="2" t="n"/>
      <s:c r="D17" s="2" t="n"/>
      <s:c r="E17" s="2" t="inlineStr">
        <s:is>
          <s:t>Derived; continuous ratio; excludes utilities, tuition and other living expenses.</s:t>
        </s:is>
      </s:c>
    </s:row>
    <s:row r="18" ht="42" customHeight="1">
      <s:c r="A18" s="2" t="n"/>
      <s:c r="B18" s="2" t="n"/>
      <s:c r="C18" s="2" t="n"/>
      <s:c r="D18" s="2" t="n"/>
      <s:c r="E18" s="2" t="n"/>
    </s:row>
    <s:row r="19" ht="70" customHeight="1">
      <s:c r="A19" s="2" t="inlineStr">
        <s:is>
          <s:t>Minimum annual earnings</s:t>
        </s:is>
      </s:c>
      <s:c r="B19" s="2" t="inlineStr">
        <s:is>
          <s:t>No guaranteed amount: a student with no paid work may earn EUR0. Actual average VUB earnings were not established.</s:t>
        </s:is>
      </s:c>
      <s:c r="C19" s="2" t="n"/>
      <s:c r="D19" s="2" t="n"/>
      <s:c r="E19" s="2" t="n"/>
    </s:row>
  </s:sheetData>
  <s:autoFilter ref="A1:E19"/>
  <s:mergeCells count="1">
    <s:mergeCell ref="A1:E1"/>
  </s:mergeCells>
  <s:pageMargins left="0.75" right="0.75" top="1" bottom="1" header="0.5" footer="0.5"/>
  <s:pageSetup orientation="landscape" paperSize="8" fitToHeight="0" fitToWidth="1"/>
</s:worksheet>
</file>

<file path=xl/worksheets/sheet9.xml><?xml version="1.0" encoding="utf-8"?>
<s:worksheet xmlns:s="http://schemas.openxmlformats.org/spreadsheetml/2006/main">
  <s:sheetPr>
    <s:outlinePr summaryBelow="1" summaryRight="1"/>
    <s:pageSetUpPr fitToPage="1"/>
  </s:sheetPr>
  <s:dimension ref="A1:E12"/>
  <s:sheetViews>
    <s:sheetView showGridLines="0"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65" customWidth="1" min="2" max="2"/>
    <s:col width="48" customWidth="1" min="3" max="3"/>
    <s:col width="40" customWidth="1" min="4" max="4"/>
    <s:col width="95" customWidth="1" min="5" max="5"/>
  </s:cols>
  <s:sheetData>
    <s:row r="1" ht="31" customHeight="1">
      <s:c r="A1" s="1" t="inlineStr">
        <s:is>
          <s:t>NPV SENSITIVITY — required return versus exit capitalisation</s:t>
        </s:is>
      </s:c>
    </s:row>
    <s:row r="2" ht="42" customHeight="1">
      <s:c r="A2" s="3" t="inlineStr">
        <s:is>
          <s:t>Discount rate / exit cap</s:t>
        </s:is>
      </s:c>
      <s:c r="B2" s="13" t="n">
        <s:v>0.045</s:v>
      </s:c>
      <s:c r="C2" s="13" t="n">
        <s:v>0.055</s:v>
      </s:c>
      <s:c r="D2" s="13" t="n">
        <s:v>0.065</s:v>
      </s:c>
      <s:c r="E2" s="4" t="n"/>
    </s:row>
    <s:row r="3" ht="42" customHeight="1">
      <s:c r="A3" s="6" t="n">
        <s:v>0.05</s:v>
      </s:c>
      <s:c r="B3" s="5">
        <s:f>NPV($A3,'Cash flow'!L4:L34)+'Cash flow'!L3+('Cash flow'!H34*(1+Inputs!B11)/B$2*(1-Inputs!B17)-'Cash flow'!K34)/(1+$A3)^31</s:f>
        <s:v>4012962.961687224</s:v>
      </s:c>
      <s:c r="C3" s="5">
        <s:f>NPV($A3,'Cash flow'!L4:L34)+'Cash flow'!L3+('Cash flow'!H34*(1+Inputs!B11)/C$2*(1-Inputs!B17)-'Cash flow'!K34)/(1+$A3)^31</s:f>
        <s:v>3134613.7305296683</s:v>
      </s:c>
      <s:c r="D3" s="5">
        <s:f>NPV($A3,'Cash flow'!L4:L34)+'Cash flow'!L3+('Cash flow'!H34*(1+Inputs!B11)/D$2*(1-Inputs!B17)-'Cash flow'!K34)/(1+$A3)^31</s:f>
        <s:v>2526525.801266745</s:v>
      </s:c>
    </s:row>
    <s:row r="4" ht="42" customHeight="1">
      <s:c r="A4" s="6" t="n">
        <s:v>0.06</s:v>
      </s:c>
      <s:c r="B4" s="5">
        <s:f>NPV($A4,'Cash flow'!L4:L34)+'Cash flow'!L3+('Cash flow'!H34*(1+Inputs!B11)/B$2*(1-Inputs!B17)-'Cash flow'!K34)/(1+$A4)^31</s:f>
        <s:v>1583754.5831240052</s:v>
      </s:c>
      <s:c r="C4" s="5">
        <s:f>NPV($A4,'Cash flow'!L4:L34)+'Cash flow'!L3+('Cash flow'!H34*(1+Inputs!B11)/C$2*(1-Inputs!B17)-'Cash flow'!K34)/(1+$A4)^31</s:f>
        <s:v>929037.4990969342</s:v>
      </s:c>
      <s:c r="D4" s="5">
        <s:f>NPV($A4,'Cash flow'!L4:L34)+'Cash flow'!L3+('Cash flow'!H34*(1+Inputs!B11)/D$2*(1-Inputs!B17)-'Cash flow'!K34)/(1+$A4)^31</s:f>
        <s:v>475771.8255397311</s:v>
      </s:c>
    </s:row>
    <s:row r="5" ht="42" customHeight="1">
      <s:c r="A5" s="6" t="n">
        <s:v>0.07000000000000001</s:v>
      </s:c>
      <s:c r="B5" s="5">
        <s:f>NPV($A5,'Cash flow'!L4:L34)+'Cash flow'!L3+('Cash flow'!H34*(1+Inputs!B11)/B$2*(1-Inputs!B17)-'Cash flow'!K34)/(1+$A5)^31</s:f>
        <s:v>-314054.2859219175</s:v>
      </s:c>
      <s:c r="C5" s="5">
        <s:f>NPV($A5,'Cash flow'!L4:L34)+'Cash flow'!L3+('Cash flow'!H34*(1+Inputs!B11)/C$2*(1-Inputs!B17)-'Cash flow'!K34)/(1+$A5)^31</s:f>
        <s:v>-803425.4648734634</s:v>
      </s:c>
      <s:c r="D5" s="5">
        <s:f>NPV($A5,'Cash flow'!L4:L34)+'Cash flow'!L3+('Cash flow'!H34*(1+Inputs!B11)/D$2*(1-Inputs!B17)-'Cash flow'!K34)/(1+$A5)^31</s:f>
        <s:v>-1142220.8964553028</s:v>
      </s:c>
    </s:row>
    <s:row r="6" ht="42" customHeight="1">
      <s:c r="A6" s="6" t="n">
        <s:v>0.08</s:v>
      </s:c>
      <s:c r="B6" s="5">
        <s:f>NPV($A6,'Cash flow'!L4:L34)+'Cash flow'!L3+('Cash flow'!H34*(1+Inputs!B11)/B$2*(1-Inputs!B17)-'Cash flow'!K34)/(1+$A6)^31</s:f>
        <s:v>-1808104.0767579738</s:v>
      </s:c>
      <s:c r="C6" s="5">
        <s:f>NPV($A6,'Cash flow'!L4:L34)+'Cash flow'!L3+('Cash flow'!H34*(1+Inputs!B11)/C$2*(1-Inputs!B17)-'Cash flow'!K34)/(1+$A6)^31</s:f>
        <s:v>-2174878.528481064</s:v>
      </s:c>
      <s:c r="D6" s="5">
        <s:f>NPV($A6,'Cash flow'!L4:L34)+'Cash flow'!L3+('Cash flow'!H34*(1+Inputs!B11)/D$2*(1-Inputs!B17)-'Cash flow'!K34)/(1+$A6)^31</s:f>
        <s:v>-2428799.3027508957</s:v>
      </s:c>
    </s:row>
    <s:row r="7" ht="42" customHeight="1">
      <s:c r="A7" s="6" t="n">
        <s:v>0.09</s:v>
      </s:c>
      <s:c r="B7" s="5">
        <s:f>NPV($A7,'Cash flow'!L4:L34)+'Cash flow'!L3+('Cash flow'!H34*(1+Inputs!B11)/B$2*(1-Inputs!B17)-'Cash flow'!K34)/(1+$A7)^31</s:f>
        <s:v>-2993495.653237107</s:v>
      </s:c>
      <s:c r="C7" s="5">
        <s:f>NPV($A7,'Cash flow'!L4:L34)+'Cash flow'!L3+('Cash flow'!H34*(1+Inputs!B11)/C$2*(1-Inputs!B17)-'Cash flow'!K34)/(1+$A7)^31</s:f>
        <s:v>-3269117.767930284</s:v>
      </s:c>
      <s:c r="D7" s="5">
        <s:f>NPV($A7,'Cash flow'!L4:L34)+'Cash flow'!L3+('Cash flow'!H34*(1+Inputs!B11)/D$2*(1-Inputs!B17)-'Cash flow'!K34)/(1+$A7)^31</s:f>
        <s:v>-3459933.0781024834</s:v>
      </s:c>
    </s:row>
    <s:row r="8" ht="42" customHeight="1">
      <s:c r="A8" s="2" t="n"/>
      <s:c r="B8" s="2" t="n"/>
      <s:c r="C8" s="2" t="n"/>
      <s:c r="D8" s="2" t="n"/>
    </s:row>
    <s:row r="9" ht="42" customHeight="1">
      <s:c r="A9" s="2" t="n"/>
      <s:c r="B9" s="2" t="n"/>
      <s:c r="C9" s="2" t="n"/>
      <s:c r="D9" s="2" t="n"/>
    </s:row>
    <s:row r="10" ht="42" customHeight="1">
      <s:c r="A10" s="2" t="inlineStr">
        <s:is>
          <s:t>Break-even opening rent, no extra departures</s:t>
        </s:is>
      </s:c>
      <s:c r="B10" s="5">
        <s:f>Inputs!B10*(1-Overview!B5/(SUM('Cash flow'!N5:N34)+SUMPRODUCT('Cash flow'!I5:I34,'Cash flow'!M5:M34)))</s:f>
        <s:v>701.6126098558263</s:v>
      </s:c>
      <s:c r="C10" s="2" t="n"/>
      <s:c r="D10" s="2" t="n"/>
    </s:row>
    <s:row r="11" ht="42" customHeight="1">
      <s:c r="A11" s="2" t="n"/>
      <s:c r="B11" s="2" t="n"/>
      <s:c r="C11" s="2" t="n"/>
      <s:c r="D11" s="2" t="n"/>
    </s:row>
    <s:row r="12" ht="42" customHeight="1">
      <s:c r="A12" s="2" t="inlineStr">
        <s:is>
          <s:t>Interpretation</s:t>
        </s:is>
      </s:c>
      <s:c r="B12" s="2" t="inlineStr">
        <s:is>
          <s:t>Discount and exit cap are continuous ratio assumptions; NPV is a derived continuous EUR output. Break-even rent holds occupancy fixed; verify affordability, lawfulness and departures separately.</s:t>
        </s:is>
      </s:c>
      <s:c r="C12" s="2" t="n"/>
      <s:c r="D12" s="2" t="n"/>
    </s:row>
  </s:sheetData>
  <s:autoFilter ref="A1:D12"/>
  <s:mergeCells count="1">
    <s:mergeCell ref="A1:E1"/>
  </s:mergeCells>
  <s:conditionalFormatting sqref="B3:D7">
    <s:cfRule type="colorScale" priority="1">
      <s:colorScale>
        <s:cfvo type="min"/>
        <s:cfvo type="num" val="0"/>
        <s:cfvo type="max"/>
        <s:color rgb="00F4CCCC"/>
        <s:color rgb="00FFF2CC"/>
        <s:color rgb="00D9EAD3"/>
      </s:colorScale>
    </s:cfRule>
  </s:conditionalFormatting>
  <s:pageMargins left="0.75" right="0.75" top="1" bottom="1" header="0.5" footer="0.5"/>
  <s:pageSetup orientation="landscape" paperSize="8" fitToHeight="0" fitToWidth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2026-10-14T20:07:45Z</dcterms:created>
  <dcterms:modified xsi:type="dcterms:W3CDTF">2026-10-14T20:07:45Z</dcterms:modified>
</cp:coreProperties>
</file>