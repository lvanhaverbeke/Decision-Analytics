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st summary" sheetId="2" state="visible" r:id="rId2"/>
    <sheet name="Inputs" sheetId="3" state="visible" r:id="rId3"/>
    <sheet name="Model" sheetId="4" state="visible" r:id="rId4"/>
    <sheet name="Locations" sheetId="5" state="visible" r:id="rId5"/>
    <sheet name="Sources" sheetId="6" state="visible" r:id="rId6"/>
    <sheet name="LLM prompt" sheetId="7" state="visible" r:id="rId7"/>
    <sheet name="Results" sheetId="8" state="visible" r:id="rId8"/>
  </sheets>
  <definedNames>
    <definedName name="_xlnm._FilterDatabase" localSheetId="0" hidden="1">'Read me'!$A$1:$A$1</definedName>
    <definedName name="_xlnm._FilterDatabase" localSheetId="1" hidden="1">'Cost summary'!$A$1:$D$18</definedName>
    <definedName name="_xlnm._FilterDatabase" localSheetId="2" hidden="1">'Inputs'!$A$1:$D$34</definedName>
    <definedName name="_xlnm._FilterDatabase" localSheetId="3" hidden="1">'Model'!$A$1:$S$22</definedName>
    <definedName name="_xlnm._FilterDatabase" localSheetId="4" hidden="1">'Locations'!$A$1:$A$1</definedName>
    <definedName name="_xlnm._FilterDatabase" localSheetId="5" hidden="1">'Sources'!$A$1:$A$1</definedName>
    <definedName name="_xlnm._FilterDatabase" localSheetId="6" hidden="1">'LLM prompt'!$A$1:$A$1</definedName>
    <definedName name="_xlnm._FilterDatabase" localSheetId="7" hidden="1">'Results'!$A$1:$A$1</definedName>
  </definedNames>
  <calcPr calcId="191029" fullCalcOnLoad="1"/>
</workbook>
</file>

<file path=xl/styles.xml><?xml version="1.0" encoding="utf-8"?>
<styleSheet xmlns="http://schemas.openxmlformats.org/spreadsheetml/2006/main">
  <numFmts count="2">
    <numFmt numFmtId="164" formatCode="#,##0.00;[Red](#,##0.00)"/>
    <numFmt numFmtId="165" formatCode="0.0%"/>
  </numFmts>
  <fonts count="5">
    <font>
      <name val="Calibri"/>
      <family val="2"/>
      <color theme="1"/>
      <sz val="11"/>
      <scheme val="minor"/>
    </font>
    <font>
      <color rgb="000070C0"/>
    </font>
    <font>
      <b val="1"/>
      <color rgb="00FFFFFF"/>
    </font>
    <font>
      <color rgb="0000804A"/>
    </font>
    <font>
      <color rgb="000563C1"/>
      <u val="single"/>
    </font>
  </fonts>
  <fills count="5">
    <fill>
      <patternFill/>
    </fill>
    <fill>
      <patternFill patternType="gray125"/>
    </fill>
    <fill>
      <patternFill patternType="solid">
        <fgColor rgb="00EAF3FF"/>
      </patternFill>
    </fill>
    <fill>
      <patternFill patternType="solid">
        <fgColor rgb="0017365D"/>
      </patternFill>
    </fill>
    <fill>
      <patternFill patternType="solid">
        <fgColor rgb="00F2F6FA"/>
      </patternFill>
    </fill>
  </fills>
  <borders count="1">
    <border>
      <left/>
      <right/>
      <top/>
      <bottom/>
      <diagonal/>
    </border>
  </borders>
  <cellStyleXfs count="1">
    <xf numFmtId="0" fontId="0" fillId="0" borderId="0"/>
  </cellStyleXfs>
  <cellXfs count="14">
    <xf numFmtId="0" fontId="0" fillId="0" borderId="0" pivotButton="0" quotePrefix="0" xfId="0"/>
    <xf numFmtId="0" fontId="2" fillId="3" borderId="0" applyAlignment="1" pivotButton="0" quotePrefix="0" xfId="0">
      <alignment wrapText="1"/>
    </xf>
    <xf numFmtId="0" fontId="0" fillId="4" borderId="0" applyAlignment="1" pivotButton="0" quotePrefix="0" xfId="0">
      <alignment vertical="top" wrapText="1"/>
    </xf>
    <xf numFmtId="0" fontId="0" fillId="0" borderId="0" applyAlignment="1" pivotButton="0" quotePrefix="0" xfId="0">
      <alignment vertical="top" wrapText="1"/>
    </xf>
    <xf numFmtId="164" fontId="3" fillId="4" borderId="0" applyAlignment="1" pivotButton="0" quotePrefix="0" xfId="0">
      <alignment vertical="top" wrapText="1"/>
    </xf>
    <xf numFmtId="164" fontId="3" fillId="0" borderId="0" applyAlignment="1" pivotButton="0" quotePrefix="0" xfId="0">
      <alignment vertical="top" wrapText="1"/>
    </xf>
    <xf numFmtId="4" fontId="1" fillId="2" borderId="0" applyAlignment="1" pivotButton="0" quotePrefix="0" xfId="0">
      <alignment vertical="top" wrapText="1"/>
    </xf>
    <xf numFmtId="165" fontId="1" fillId="2" borderId="0" applyAlignment="1" pivotButton="0" quotePrefix="0" xfId="0">
      <alignment vertical="top" wrapText="1"/>
    </xf>
    <xf numFmtId="10" fontId="3" fillId="0" borderId="0" applyAlignment="1" pivotButton="0" quotePrefix="0" xfId="0">
      <alignment vertical="top" wrapText="1"/>
    </xf>
    <xf numFmtId="164" fontId="3" fillId="4" borderId="0" applyAlignment="1" pivotButton="0" quotePrefix="0" xfId="0">
      <alignment vertical="top" wrapText="1"/>
    </xf>
    <xf numFmtId="164" fontId="3" fillId="0" borderId="0" applyAlignment="1" pivotButton="0" quotePrefix="0" xfId="0">
      <alignment vertical="top" wrapText="1"/>
    </xf>
    <xf numFmtId="165" fontId="1" fillId="2" borderId="0" applyAlignment="1" pivotButton="0" quotePrefix="0" xfId="0">
      <alignment vertical="top" wrapText="1"/>
    </xf>
    <xf numFmtId="2"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Cumulative project cash flow</a:t>
            </a:r>
          </a:p>
        </rich>
      </tx>
    </title>
    <plotArea>
      <lineChart>
        <grouping val="standard"/>
        <ser>
          <idx val="0"/>
          <order val="0"/>
          <tx>
            <strRef>
              <f>'Model'!P1</f>
            </strRef>
          </tx>
          <spPr>
            <a:ln>
              <a:prstDash val="solid"/>
            </a:ln>
          </spPr>
          <marker>
            <symbol val="none"/>
            <spPr>
              <a:ln>
                <a:prstDash val="solid"/>
              </a:ln>
            </spPr>
          </marker>
          <cat>
            <numRef>
              <f>'Model'!$A$2:$A$22</f>
            </numRef>
          </cat>
          <val>
            <numRef>
              <f>'Model'!$P$2:$P$22</f>
            </numRef>
          </val>
        </ser>
        <ser>
          <idx val="1"/>
          <order val="1"/>
          <tx>
            <strRef>
              <f>'Model'!S1</f>
            </strRef>
          </tx>
          <spPr>
            <a:ln>
              <a:prstDash val="solid"/>
            </a:ln>
          </spPr>
          <marker>
            <symbol val="none"/>
            <spPr>
              <a:ln>
                <a:prstDash val="solid"/>
              </a:ln>
            </spPr>
          </marker>
          <cat>
            <numRef>
              <f>'Model'!$A$2:$A$22</f>
            </numRef>
          </cat>
          <val>
            <numRef>
              <f>'Model'!$S$2:$S$22</f>
            </numRef>
          </val>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EUR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www.bruxelles.be/sites/default/files/bxl/Recommandations_logements_etudiants_VBX_17juin2021.pdf" TargetMode="External" Id="rId1" /><Relationship Type="http://schemas.openxmlformats.org/officeDocument/2006/relationships/hyperlink" Target="https://be.brussels/fr/impots-financement/impots-et-taxes/fiscalite-immobiliere/droits-denregistrement" TargetMode="External" Id="rId2" /><Relationship Type="http://schemas.openxmlformats.org/officeDocument/2006/relationships/hyperlink" Target="https://financien.belgium.be/fr/particuliers/habitation/acheter-vendre/droits-enregistrement/bruxelles" TargetMode="External" Id="rId3" /><Relationship Type="http://schemas.openxmlformats.org/officeDocument/2006/relationships/hyperlink" Target="https://be.brussels/en/housing/rental/conformity-for-rental-properties/ensuring-quality-student-housing" TargetMode="External" Id="rId4" /><Relationship Type="http://schemas.openxmlformats.org/officeDocument/2006/relationships/hyperlink" Target="https://www.vub.be/sites/default/files/2026-04/2026_Huurinformatie_VUB_Koten_Handleiding_aanvraag_SVKS_ENG_0.pdf" TargetMode="External" Id="rId5" /><Relationship Type="http://schemas.openxmlformats.org/officeDocument/2006/relationships/hyperlink" Target="https://www.ulb.be/medias/fichier/20250725-ulb-environnement-et-mobilite-rapport-de-durabilite-en_1753692398626-pdf?ID_FICHE=1020633&amp;INLINE=FALSE" TargetMode="External" Id="rId6" /><Relationship Type="http://schemas.openxmlformats.org/officeDocument/2006/relationships/hyperlink" Target="https://www.aise-svks.brussels/proprietaires/" TargetMode="External" Id="rId7" /><Relationship Type="http://schemas.openxmlformats.org/officeDocument/2006/relationships/hyperlink" Target="https://www.brussels.be/student-housing" TargetMode="External" Id="rId8" /></Relationships>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10" customWidth="1" min="2" max="2"/>
  </cols>
  <sheetData>
    <row r="1" ht="32" customHeight="1">
      <c r="A1" s="1" t="inlineStr">
        <is>
          <t>STUDENT HOUSING INVESTMENT | Brussels | 20 years</t>
        </is>
      </c>
      <c r="B1" s="1" t="n"/>
    </row>
    <row r="2" ht="42" customHeight="1">
      <c r="A2" s="2" t="inlineStr">
        <is>
          <t>VUB master course: Decision Analytics</t>
        </is>
      </c>
      <c r="B2" s="2" t="n"/>
    </row>
    <row r="3" ht="42" customHeight="1">
      <c r="A3" s="3" t="inlineStr">
        <is>
          <t>Purpose</t>
        </is>
      </c>
      <c r="B3" s="3" t="inlineStr">
        <is>
          <t>Unlevered project cash flow, NPV, IRR and simple/discounted payback.</t>
        </is>
      </c>
    </row>
    <row r="4" ht="42" customHeight="1">
      <c r="A4" s="2" t="inlineStr">
        <is>
          <t>Status</t>
        </is>
      </c>
      <c r="B4" s="2" t="inlineStr">
        <is>
          <t>Illustrative feasibility model; replace blue inputs with quotations and validated project data.</t>
        </is>
      </c>
    </row>
    <row r="5" ht="42" customHeight="1">
      <c r="A5" s="3" t="inlineStr">
        <is>
          <t>Timing</t>
        </is>
      </c>
      <c r="B5" s="3" t="inlineStr">
        <is>
          <t>Acquisition and construction at year 0; full operation years 1–20; disposal at end of year 20.</t>
        </is>
      </c>
    </row>
    <row r="6" ht="42" customHeight="1">
      <c r="A6" s="2" t="inlineStr">
        <is>
          <t>Scope</t>
        </is>
      </c>
      <c r="B6" s="2" t="inlineStr">
        <is>
          <t>All amounts EUR nominal; no debt. Tax rate is an editable simplified cash-tax assumption.</t>
        </is>
      </c>
    </row>
    <row r="7" ht="42" customHeight="1">
      <c r="A7" s="3" t="inlineStr">
        <is>
          <t>Social rooms</t>
        </is>
      </c>
      <c r="B7" s="3" t="inlineStr">
        <is>
          <t>20% chosen target. City of Brussels guidance specifies 20% for 30+ student units; other municipalities and site conditions must be confirmed.</t>
        </is>
      </c>
    </row>
    <row r="8" ht="42" customHeight="1">
      <c r="A8" s="2" t="inlineStr">
        <is>
          <t>Partnership</t>
        </is>
      </c>
      <c r="B8" s="2" t="inlineStr">
        <is>
          <t>Assumes cooperation with VUB/ULB; no signed allocation or nomination agreement.</t>
        </is>
      </c>
    </row>
    <row r="9" ht="42" customHeight="1">
      <c r="A9" s="3" t="inlineStr">
        <is>
          <t>Location</t>
        </is>
      </c>
      <c r="B9" s="3" t="inlineStr">
        <is>
          <t>Illustrative Etterbeek/Ixelles candidate near VUB/ULB; actual site and commute times require validation.</t>
        </is>
      </c>
    </row>
    <row r="10" ht="42" customHeight="1">
      <c r="A10" s="2" t="inlineStr">
        <is>
          <t>Use</t>
        </is>
      </c>
      <c r="B10" s="2" t="inlineStr">
        <is>
          <t>Change blue cells in Inputs. Green cells/formulas are calculated. Results is the final tab.</t>
        </is>
      </c>
    </row>
    <row r="11" ht="42" customHeight="1">
      <c r="A11" s="3" t="inlineStr">
        <is>
          <t>Payback</t>
        </is>
      </c>
      <c r="B11" s="3" t="inlineStr">
        <is>
          <t>Fractional year based on cumulative cash flow; sale proceeds can cause recovery only at year 20.</t>
        </is>
      </c>
    </row>
    <row r="12" ht="42" customHeight="1">
      <c r="A12" s="2" t="inlineStr">
        <is>
          <t>Limitations</t>
        </is>
      </c>
      <c r="B12" s="2" t="inlineStr">
        <is>
          <t>No construction phasing, funding structure, VAT recovery or legal certification. Acquisition tax proxy must be checked.</t>
        </is>
      </c>
    </row>
    <row r="13" ht="42" customHeight="1">
      <c r="A13" s="3" t="inlineStr">
        <is>
          <t>Version</t>
        </is>
      </c>
      <c r="B13" s="3" t="inlineStr">
        <is>
          <t>Enhanced version: official sources reviewed 14 October 2026; numeric results cached for immediate viewing.</t>
        </is>
      </c>
    </row>
    <row r="14" ht="42" customHeight="1">
      <c r="A14" s="3" t="inlineStr">
        <is>
          <t>Social definition</t>
        </is>
      </c>
      <c r="B14" s="3" t="inlineStr">
        <is>
          <t>Reduced rent alone does not establish legal social status. Confirm eligibility, allocation, affordable rents, duration and university/AISE management.</t>
        </is>
      </c>
    </row>
    <row r="15" ht="42" customHeight="1">
      <c r="A15" s="3" t="inlineStr">
        <is>
          <t>Taxes and exit</t>
        </is>
      </c>
      <c r="B15" s="3" t="inlineStr">
        <is>
          <t>Default tax rate 0 gives pre-tax results. Nonzero rate applies only to positive operating NOI, not taxable accounting profit or capital gains.</t>
        </is>
      </c>
    </row>
    <row r="16" ht="42" customHeight="1">
      <c r="A16" s="3" t="inlineStr">
        <is>
          <t>Cost completeness</t>
        </is>
      </c>
      <c r="B16" s="3" t="inlineStr">
        <is>
          <t>Works and furniture inputs must include nonrecoverable VAT. Fire safety, accessibility, permits, EPB and communal facilities belong in works/fees; no grant assumed.</t>
        </is>
      </c>
    </row>
  </sheetData>
  <autoFilter ref="A1:A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28" customWidth="1" min="3" max="3"/>
    <col width="70" customWidth="1" min="4" max="4"/>
  </cols>
  <sheetData>
    <row r="1" ht="32" customHeight="1">
      <c r="A1" s="1" t="inlineStr">
        <is>
          <t>COST TYPE</t>
        </is>
      </c>
      <c r="B1" s="1" t="inlineStr">
        <is>
          <t>YEAR 0 / YEAR 1 EUR</t>
        </is>
      </c>
      <c r="C1" s="1" t="inlineStr">
        <is>
          <t>TIMING</t>
        </is>
      </c>
      <c r="D1" s="1" t="inlineStr">
        <is>
          <t>BASIS</t>
        </is>
      </c>
    </row>
    <row r="2" ht="34" customHeight="1">
      <c r="A2" s="2" t="inlineStr">
        <is>
          <t>Acquisition</t>
        </is>
      </c>
      <c r="B2" s="9">
        <f>'Inputs'!$B$12</f>
        <v>2400000</v>
      </c>
      <c r="C2" s="2" t="inlineStr">
        <is>
          <t>Year 0</t>
        </is>
      </c>
      <c r="D2" s="2" t="inlineStr">
        <is>
          <t>Purchase of land / existing asset</t>
        </is>
      </c>
    </row>
    <row r="3" ht="34" customHeight="1">
      <c r="A3" s="3" t="inlineStr">
        <is>
          <t>Acquisition tax</t>
        </is>
      </c>
      <c r="B3" s="10">
        <f>'Inputs'!$B$12*'Inputs'!$B$13</f>
        <v>300000.0</v>
      </c>
      <c r="C3" s="3" t="inlineStr">
        <is>
          <t>Year 0</t>
        </is>
      </c>
      <c r="D3" s="3" t="inlineStr">
        <is>
          <t>Proxy; confirm transaction treatment</t>
        </is>
      </c>
    </row>
    <row r="4" ht="34" customHeight="1">
      <c r="A4" s="2" t="inlineStr">
        <is>
          <t>Legal fees</t>
        </is>
      </c>
      <c r="B4" s="9">
        <f>'Inputs'!$B$14</f>
        <v>50000</v>
      </c>
      <c r="C4" s="2" t="inlineStr">
        <is>
          <t>Year 0</t>
        </is>
      </c>
      <c r="D4" s="2" t="inlineStr">
        <is>
          <t>Fixed assumption</t>
        </is>
      </c>
    </row>
    <row r="5" ht="34" customHeight="1">
      <c r="A5" s="3" t="inlineStr">
        <is>
          <t>Works</t>
        </is>
      </c>
      <c r="B5" s="10">
        <f>'Inputs'!$B$15</f>
        <v>3000000</v>
      </c>
      <c r="C5" s="3" t="inlineStr">
        <is>
          <t>Year 0</t>
        </is>
      </c>
      <c r="D5" s="3" t="inlineStr">
        <is>
          <t>Development / refurbishment</t>
        </is>
      </c>
    </row>
    <row r="6" ht="34" customHeight="1">
      <c r="A6" s="2" t="inlineStr">
        <is>
          <t>Professional fees</t>
        </is>
      </c>
      <c r="B6" s="9">
        <f>'Inputs'!$B$15*'Inputs'!$B$16</f>
        <v>300000.0</v>
      </c>
      <c r="C6" s="2" t="inlineStr">
        <is>
          <t>Year 0</t>
        </is>
      </c>
      <c r="D6" s="2" t="inlineStr">
        <is>
          <t>Percentage of works</t>
        </is>
      </c>
    </row>
    <row r="7" ht="34" customHeight="1">
      <c r="A7" s="3" t="inlineStr">
        <is>
          <t>Contingency</t>
        </is>
      </c>
      <c r="B7" s="10">
        <f>'Inputs'!$B$15*(1+'Inputs'!$B$16)*'Inputs'!$B$17</f>
        <v>330000.00000000006</v>
      </c>
      <c r="C7" s="3" t="inlineStr">
        <is>
          <t>Year 0</t>
        </is>
      </c>
      <c r="D7" s="3" t="inlineStr">
        <is>
          <t>Works plus fees</t>
        </is>
      </c>
    </row>
    <row r="8" ht="34" customHeight="1">
      <c r="A8" s="2" t="inlineStr">
        <is>
          <t>Furniture</t>
        </is>
      </c>
      <c r="B8" s="9">
        <f>'Inputs'!$B$3*'Inputs'!$B$18</f>
        <v>250000</v>
      </c>
      <c r="C8" s="2" t="inlineStr">
        <is>
          <t>Year 0</t>
        </is>
      </c>
      <c r="D8" s="2" t="inlineStr">
        <is>
          <t>Initial fitout</t>
        </is>
      </c>
    </row>
    <row r="9" ht="34" customHeight="1">
      <c r="A9" s="3" t="inlineStr">
        <is>
          <t>Working capital</t>
        </is>
      </c>
      <c r="B9" s="10">
        <f>'Inputs'!$B$19</f>
        <v>25000</v>
      </c>
      <c r="C9" s="3" t="inlineStr">
        <is>
          <t>Year 0; released at exit</t>
        </is>
      </c>
      <c r="D9" s="3" t="inlineStr">
        <is>
          <t>Cash tied up</t>
        </is>
      </c>
    </row>
    <row r="10" ht="34" customHeight="1">
      <c r="A10" s="2" t="inlineStr">
        <is>
          <t>TOTAL INITIAL INVESTMENT</t>
        </is>
      </c>
      <c r="B10" s="9">
        <f>SUM(B2:B9)</f>
        <v>6655000.0</v>
      </c>
      <c r="C10" s="2" t="inlineStr">
        <is>
          <t>Year 0</t>
        </is>
      </c>
      <c r="D10" s="2" t="inlineStr">
        <is>
          <t>All initial outlays</t>
        </is>
      </c>
    </row>
    <row r="11" ht="34" customHeight="1">
      <c r="A11" s="3" t="inlineStr">
        <is>
          <t>Maintenance</t>
        </is>
      </c>
      <c r="B11" s="10">
        <f>'Inputs'!$B$3*'Inputs'!$B$20</f>
        <v>45000</v>
      </c>
      <c r="C11" s="3" t="inlineStr">
        <is>
          <t>Annual, inflated</t>
        </is>
      </c>
      <c r="D11" s="3" t="inlineStr">
        <is>
          <t>Routine repairs</t>
        </is>
      </c>
    </row>
    <row r="12" ht="34" customHeight="1">
      <c r="A12" s="2" t="inlineStr">
        <is>
          <t>Utilities</t>
        </is>
      </c>
      <c r="B12" s="9">
        <f>'Inputs'!$B$3*'Inputs'!$B$21</f>
        <v>30000</v>
      </c>
      <c r="C12" s="2" t="inlineStr">
        <is>
          <t>Annual, inflated</t>
        </is>
      </c>
      <c r="D12" s="2" t="inlineStr">
        <is>
          <t>Landlord share</t>
        </is>
      </c>
    </row>
    <row r="13" ht="34" customHeight="1">
      <c r="A13" s="3" t="inlineStr">
        <is>
          <t>Insurance</t>
        </is>
      </c>
      <c r="B13" s="10">
        <f>'Inputs'!$B$22</f>
        <v>15000</v>
      </c>
      <c r="C13" s="3" t="inlineStr">
        <is>
          <t>Annual, inflated</t>
        </is>
      </c>
      <c r="D13" s="3" t="inlineStr">
        <is>
          <t>Insurance</t>
        </is>
      </c>
    </row>
    <row r="14" ht="34" customHeight="1">
      <c r="A14" s="2" t="inlineStr">
        <is>
          <t>Property tax</t>
        </is>
      </c>
      <c r="B14" s="9">
        <f>'Inputs'!$B$23</f>
        <v>20000</v>
      </c>
      <c r="C14" s="2" t="inlineStr">
        <is>
          <t>Annual, inflated</t>
        </is>
      </c>
      <c r="D14" s="2" t="inlineStr">
        <is>
          <t>Property charge</t>
        </is>
      </c>
    </row>
    <row r="15" ht="34" customHeight="1">
      <c r="A15" s="3" t="inlineStr">
        <is>
          <t>Administration</t>
        </is>
      </c>
      <c r="B15" s="10">
        <f>'Inputs'!$B$24</f>
        <v>15000</v>
      </c>
      <c r="C15" s="3" t="inlineStr">
        <is>
          <t>Annual, inflated</t>
        </is>
      </c>
      <c r="D15" s="3" t="inlineStr">
        <is>
          <t>Management / partnership</t>
        </is>
      </c>
    </row>
    <row r="16" ht="34" customHeight="1">
      <c r="A16" s="2" t="inlineStr">
        <is>
          <t>Management fee</t>
        </is>
      </c>
      <c r="B16" s="9">
        <f>'Model'!G3</f>
        <v>41724.0</v>
      </c>
      <c r="C16" s="2" t="inlineStr">
        <is>
          <t>Annual, % of rent</t>
        </is>
      </c>
      <c r="D16" s="2" t="inlineStr">
        <is>
          <t>Variable fee</t>
        </is>
      </c>
    </row>
    <row r="17" ht="34" customHeight="1">
      <c r="A17" s="3" t="inlineStr">
        <is>
          <t>Replacement</t>
        </is>
      </c>
      <c r="B17" s="10">
        <f>'Inputs'!$B$26</f>
        <v>250000</v>
      </c>
      <c r="C17" s="3" t="inlineStr">
        <is>
          <t>Specified year, inflated</t>
        </is>
      </c>
      <c r="D17" s="3" t="inlineStr">
        <is>
          <t>Capital outlay; not maintenance</t>
        </is>
      </c>
    </row>
    <row r="18" ht="34" customHeight="1">
      <c r="A18" s="2" t="inlineStr">
        <is>
          <t>Sale expenses</t>
        </is>
      </c>
      <c r="B18" s="9">
        <f>'Inputs'!$B$29</f>
        <v>0.02</v>
      </c>
      <c r="C18" s="2" t="inlineStr">
        <is>
          <t>End of year 20</t>
        </is>
      </c>
      <c r="D18" s="2" t="inlineStr">
        <is>
          <t>Fraction of terminal sale value</t>
        </is>
      </c>
    </row>
  </sheetData>
  <autoFilter ref="A1:D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28" customWidth="1" min="3" max="3"/>
    <col width="70" customWidth="1" min="4" max="4"/>
  </cols>
  <sheetData>
    <row r="1" ht="32" customHeight="1">
      <c r="A1" s="1" t="inlineStr">
        <is>
          <t>INPUT</t>
        </is>
      </c>
      <c r="B1" s="1" t="inlineStr">
        <is>
          <t>VALUE</t>
        </is>
      </c>
      <c r="C1" s="1" t="inlineStr">
        <is>
          <t>UNIT</t>
        </is>
      </c>
      <c r="D1" s="1" t="inlineStr">
        <is>
          <t>ASSUMPTION / DEFINITION</t>
        </is>
      </c>
    </row>
    <row r="2" ht="46" customHeight="1">
      <c r="A2" s="2" t="inlineStr">
        <is>
          <t>Horizon</t>
        </is>
      </c>
      <c r="B2" s="6" t="n">
        <v>20</v>
      </c>
      <c r="C2" s="2" t="inlineStr">
        <is>
          <t>years</t>
        </is>
      </c>
      <c r="D2" s="2" t="inlineStr">
        <is>
          <t>Fixed 20-year workbook horizon; do not change.</t>
        </is>
      </c>
    </row>
    <row r="3" ht="46" customHeight="1">
      <c r="A3" s="3" t="inlineStr">
        <is>
          <t>Rooms</t>
        </is>
      </c>
      <c r="B3" s="6" t="n">
        <v>100</v>
      </c>
      <c r="C3" s="3" t="inlineStr">
        <is>
          <t>rooms</t>
        </is>
      </c>
      <c r="D3" s="3" t="inlineStr">
        <is>
          <t>Illustrative capacity</t>
        </is>
      </c>
    </row>
    <row r="4" ht="46" customHeight="1">
      <c r="A4" s="2" t="inlineStr">
        <is>
          <t>Social share</t>
        </is>
      </c>
      <c r="B4" s="11" t="n">
        <v>0.2</v>
      </c>
      <c r="C4" s="2" t="inlineStr">
        <is>
          <t>%</t>
        </is>
      </c>
      <c r="D4" s="2" t="inlineStr">
        <is>
          <t>20% affordable/social room target; eligible tenants and rent mechanism require agreement.</t>
        </is>
      </c>
    </row>
    <row r="5" ht="46" customHeight="1">
      <c r="A5" s="3" t="inlineStr">
        <is>
          <t>Market room rent</t>
        </is>
      </c>
      <c r="B5" s="6" t="n">
        <v>650</v>
      </c>
      <c r="C5" s="3" t="inlineStr">
        <is>
          <t>EUR/month</t>
        </is>
      </c>
      <c r="D5" s="3" t="inlineStr">
        <is>
          <t>Illustrative; excluding tenant-paid utilities</t>
        </is>
      </c>
    </row>
    <row r="6" ht="46" customHeight="1">
      <c r="A6" s="2" t="inlineStr">
        <is>
          <t>Social room rent</t>
        </is>
      </c>
      <c r="B6" s="6" t="n">
        <v>450</v>
      </c>
      <c r="C6" s="2" t="inlineStr">
        <is>
          <t>EUR/month</t>
        </is>
      </c>
      <c r="D6" s="2" t="inlineStr">
        <is>
          <t>Illustrative affordability assumption</t>
        </is>
      </c>
    </row>
    <row r="7" ht="46" customHeight="1">
      <c r="A7" s="3" t="inlineStr">
        <is>
          <t>Billable months</t>
        </is>
      </c>
      <c r="B7" s="6" t="n">
        <v>12</v>
      </c>
      <c r="C7" s="3" t="inlineStr">
        <is>
          <t>months/year</t>
        </is>
      </c>
      <c r="D7" s="3" t="inlineStr">
        <is>
          <t>Annual student lease assumption</t>
        </is>
      </c>
    </row>
    <row r="8" ht="46" customHeight="1">
      <c r="A8" s="2" t="inlineStr">
        <is>
          <t>Occupancy</t>
        </is>
      </c>
      <c r="B8" s="11" t="n">
        <v>0.95</v>
      </c>
      <c r="C8" s="2" t="inlineStr">
        <is>
          <t>%</t>
        </is>
      </c>
      <c r="D8" s="2" t="inlineStr">
        <is>
          <t>Same for both room types</t>
        </is>
      </c>
    </row>
    <row r="9" ht="46" customHeight="1">
      <c r="A9" s="3" t="inlineStr">
        <is>
          <t>Rent growth</t>
        </is>
      </c>
      <c r="B9" s="11" t="n">
        <v>0.02</v>
      </c>
      <c r="C9" s="3" t="inlineStr">
        <is>
          <t>%/year</t>
        </is>
      </c>
      <c r="D9" s="3" t="inlineStr">
        <is>
          <t>Nominal annual escalation</t>
        </is>
      </c>
    </row>
    <row r="10" ht="46" customHeight="1">
      <c r="A10" s="2" t="inlineStr">
        <is>
          <t>Operating cost growth</t>
        </is>
      </c>
      <c r="B10" s="11" t="n">
        <v>0.025</v>
      </c>
      <c r="C10" s="2" t="inlineStr">
        <is>
          <t>%/year</t>
        </is>
      </c>
      <c r="D10" s="2" t="inlineStr">
        <is>
          <t>Nominal annual escalation</t>
        </is>
      </c>
    </row>
    <row r="11" ht="46" customHeight="1">
      <c r="A11" s="3" t="inlineStr">
        <is>
          <t>Discount rate</t>
        </is>
      </c>
      <c r="B11" s="11" t="n">
        <v>0.07000000000000001</v>
      </c>
      <c r="C11" s="3" t="inlineStr">
        <is>
          <t>%/year</t>
        </is>
      </c>
      <c r="D11" s="3" t="inlineStr">
        <is>
          <t>Nominal unlevered required return</t>
        </is>
      </c>
    </row>
    <row r="12" ht="46" customHeight="1">
      <c r="A12" s="2" t="inlineStr">
        <is>
          <t>Acquisition price</t>
        </is>
      </c>
      <c r="B12" s="6" t="n">
        <v>2400000</v>
      </c>
      <c r="C12" s="2" t="inlineStr">
        <is>
          <t>EUR</t>
        </is>
      </c>
      <c r="D12" s="2" t="inlineStr">
        <is>
          <t>Land/existing asset; excludes development works</t>
        </is>
      </c>
    </row>
    <row r="13" ht="46" customHeight="1">
      <c r="A13" s="3" t="inlineStr">
        <is>
          <t>Acquisition tax proxy</t>
        </is>
      </c>
      <c r="B13" s="11" t="n">
        <v>0.125</v>
      </c>
      <c r="C13" s="3" t="inlineStr">
        <is>
          <t>% of acquisition</t>
        </is>
      </c>
      <c r="D13" s="3" t="inlineStr">
        <is>
          <t>Regional standard 12.5% registration duty; actual asset transfer may instead trigger VAT. No personal residence abatement assumed.</t>
        </is>
      </c>
    </row>
    <row r="14" ht="46" customHeight="1">
      <c r="A14" s="2" t="inlineStr">
        <is>
          <t>Legal and transaction fees</t>
        </is>
      </c>
      <c r="B14" s="6" t="n">
        <v>50000</v>
      </c>
      <c r="C14" s="2" t="inlineStr">
        <is>
          <t>EUR</t>
        </is>
      </c>
      <c r="D14" s="2" t="inlineStr">
        <is>
          <t>Illustrative fixed fees</t>
        </is>
      </c>
    </row>
    <row r="15" ht="46" customHeight="1">
      <c r="A15" s="3" t="inlineStr">
        <is>
          <t>Construction / renovation</t>
        </is>
      </c>
      <c r="B15" s="6" t="n">
        <v>3000000</v>
      </c>
      <c r="C15" s="3" t="inlineStr">
        <is>
          <t>EUR</t>
        </is>
      </c>
      <c r="D15" s="3" t="inlineStr">
        <is>
          <t>Excludes acquisition; gross nonrecoverable cost assumption</t>
        </is>
      </c>
    </row>
    <row r="16" ht="46" customHeight="1">
      <c r="A16" s="2" t="inlineStr">
        <is>
          <t>Professional fees</t>
        </is>
      </c>
      <c r="B16" s="11" t="n">
        <v>0.1</v>
      </c>
      <c r="C16" s="2" t="inlineStr">
        <is>
          <t>% of works</t>
        </is>
      </c>
      <c r="D16" s="2" t="inlineStr">
        <is>
          <t>Design, engineering, project management</t>
        </is>
      </c>
    </row>
    <row r="17" ht="46" customHeight="1">
      <c r="A17" s="3" t="inlineStr">
        <is>
          <t>Works contingency</t>
        </is>
      </c>
      <c r="B17" s="11" t="n">
        <v>0.1</v>
      </c>
      <c r="C17" s="3" t="inlineStr">
        <is>
          <t>% of works + professional</t>
        </is>
      </c>
      <c r="D17" s="3" t="inlineStr">
        <is>
          <t>Illustrative allowance</t>
        </is>
      </c>
    </row>
    <row r="18" ht="46" customHeight="1">
      <c r="A18" s="2" t="inlineStr">
        <is>
          <t>Furniture per room</t>
        </is>
      </c>
      <c r="B18" s="6" t="n">
        <v>2500</v>
      </c>
      <c r="C18" s="2" t="inlineStr">
        <is>
          <t>EUR/room</t>
        </is>
      </c>
      <c r="D18" s="2" t="inlineStr">
        <is>
          <t>Initial fitout</t>
        </is>
      </c>
    </row>
    <row r="19" ht="46" customHeight="1">
      <c r="A19" s="3" t="inlineStr">
        <is>
          <t>Initial working capital</t>
        </is>
      </c>
      <c r="B19" s="6" t="n">
        <v>25000</v>
      </c>
      <c r="C19" s="3" t="inlineStr">
        <is>
          <t>EUR</t>
        </is>
      </c>
      <c r="D19" s="3" t="inlineStr">
        <is>
          <t>Recovered at exit</t>
        </is>
      </c>
    </row>
    <row r="20" ht="46" customHeight="1">
      <c r="A20" s="2" t="inlineStr">
        <is>
          <t>Maintenance per room</t>
        </is>
      </c>
      <c r="B20" s="6" t="n">
        <v>450</v>
      </c>
      <c r="C20" s="2" t="inlineStr">
        <is>
          <t>EUR/year</t>
        </is>
      </c>
      <c r="D20" s="2" t="inlineStr">
        <is>
          <t>Year 1; routine maintenance</t>
        </is>
      </c>
    </row>
    <row r="21" ht="46" customHeight="1">
      <c r="A21" s="3" t="inlineStr">
        <is>
          <t>Landlord utilities per room</t>
        </is>
      </c>
      <c r="B21" s="6" t="n">
        <v>300</v>
      </c>
      <c r="C21" s="3" t="inlineStr">
        <is>
          <t>EUR/year</t>
        </is>
      </c>
      <c r="D21" s="3" t="inlineStr">
        <is>
          <t>Year 1; shared services only</t>
        </is>
      </c>
    </row>
    <row r="22" ht="46" customHeight="1">
      <c r="A22" s="2" t="inlineStr">
        <is>
          <t>Insurance</t>
        </is>
      </c>
      <c r="B22" s="6" t="n">
        <v>15000</v>
      </c>
      <c r="C22" s="2" t="inlineStr">
        <is>
          <t>EUR/year</t>
        </is>
      </c>
      <c r="D22" s="2" t="inlineStr">
        <is>
          <t>Year 1</t>
        </is>
      </c>
    </row>
    <row r="23" ht="46" customHeight="1">
      <c r="A23" s="3" t="inlineStr">
        <is>
          <t>Property tax</t>
        </is>
      </c>
      <c r="B23" s="6" t="n">
        <v>20000</v>
      </c>
      <c r="C23" s="3" t="inlineStr">
        <is>
          <t>EUR/year</t>
        </is>
      </c>
      <c r="D23" s="3" t="inlineStr">
        <is>
          <t>Year 1; replace with assessed amount</t>
        </is>
      </c>
    </row>
    <row r="24" ht="46" customHeight="1">
      <c r="A24" s="2" t="inlineStr">
        <is>
          <t>Administration / partnership</t>
        </is>
      </c>
      <c r="B24" s="6" t="n">
        <v>15000</v>
      </c>
      <c r="C24" s="2" t="inlineStr">
        <is>
          <t>EUR/year</t>
        </is>
      </c>
      <c r="D24" s="2" t="inlineStr">
        <is>
          <t>Year 1; management and university liaison</t>
        </is>
      </c>
    </row>
    <row r="25" ht="46" customHeight="1">
      <c r="A25" s="3" t="inlineStr">
        <is>
          <t>Management fee</t>
        </is>
      </c>
      <c r="B25" s="11" t="n">
        <v>0.06</v>
      </c>
      <c r="C25" s="3" t="inlineStr">
        <is>
          <t>% of rental revenue</t>
        </is>
      </c>
      <c r="D25" s="3" t="inlineStr">
        <is>
          <t>Variable operating expense</t>
        </is>
      </c>
    </row>
    <row r="26" ht="46" customHeight="1">
      <c r="A26" s="2" t="inlineStr">
        <is>
          <t>Furniture replacement cost</t>
        </is>
      </c>
      <c r="B26" s="6" t="n">
        <v>250000</v>
      </c>
      <c r="C26" s="2" t="inlineStr">
        <is>
          <t>EUR</t>
        </is>
      </c>
      <c r="D26" s="2" t="inlineStr">
        <is>
          <t>Year 10; escalated with cost growth</t>
        </is>
      </c>
    </row>
    <row r="27" ht="46" customHeight="1">
      <c r="A27" s="3" t="inlineStr">
        <is>
          <t>Replacement year</t>
        </is>
      </c>
      <c r="B27" s="6" t="n">
        <v>10</v>
      </c>
      <c r="C27" s="3" t="inlineStr">
        <is>
          <t>year</t>
        </is>
      </c>
      <c r="D27" s="3" t="inlineStr">
        <is>
          <t>Single planned capital expenditure</t>
        </is>
      </c>
    </row>
    <row r="28" ht="46" customHeight="1">
      <c r="A28" s="2" t="inlineStr">
        <is>
          <t>Exit capitalization rate</t>
        </is>
      </c>
      <c r="B28" s="11" t="n">
        <v>0.055</v>
      </c>
      <c r="C28" s="2" t="inlineStr">
        <is>
          <t>%</t>
        </is>
      </c>
      <c r="D28" s="2" t="inlineStr">
        <is>
          <t>Year 21 NOI / cap rate</t>
        </is>
      </c>
    </row>
    <row r="29" ht="46" customHeight="1">
      <c r="A29" s="3" t="inlineStr">
        <is>
          <t>Sale costs</t>
        </is>
      </c>
      <c r="B29" s="11" t="n">
        <v>0.02</v>
      </c>
      <c r="C29" s="3" t="inlineStr">
        <is>
          <t>% of gross sale</t>
        </is>
      </c>
      <c r="D29" s="3" t="inlineStr">
        <is>
          <t>Transaction expenses</t>
        </is>
      </c>
    </row>
    <row r="30" ht="46" customHeight="1">
      <c r="A30" s="2" t="inlineStr">
        <is>
          <t>Effective cash tax rate</t>
        </is>
      </c>
      <c r="B30" s="11" t="n">
        <v>0</v>
      </c>
      <c r="C30" s="2" t="inlineStr">
        <is>
          <t>%</t>
        </is>
      </c>
      <c r="D30" s="2" t="inlineStr">
        <is>
          <t>Zero = pre-tax; simplified, excludes depreciation</t>
        </is>
      </c>
    </row>
    <row r="31" ht="46" customHeight="1">
      <c r="A31" s="3" t="inlineStr">
        <is>
          <t>Required social share</t>
        </is>
      </c>
      <c r="B31" s="11" t="n">
        <v>0.2</v>
      </c>
      <c r="C31" s="3" t="inlineStr">
        <is>
          <t>%</t>
        </is>
      </c>
      <c r="D31" s="3" t="inlineStr">
        <is>
          <t>Conservative screening assumption, inspired by City of Brussels guidance (30+ rooms); applicability to Etterbeek/Ixelles unconfirmed.</t>
        </is>
      </c>
    </row>
    <row r="32" ht="46" customHeight="1">
      <c r="A32" s="2" t="inlineStr">
        <is>
          <t>Social requirement confirmed</t>
        </is>
      </c>
      <c r="B32" s="6" t="n">
        <v>0</v>
      </c>
      <c r="C32" s="2" t="inlineStr">
        <is>
          <t>0/1</t>
        </is>
      </c>
      <c r="D32" s="2" t="inlineStr">
        <is>
          <t>Set 1 only after written project-specific verification</t>
        </is>
      </c>
    </row>
    <row r="33" ht="46" customHeight="1">
      <c r="A33" s="3" t="inlineStr">
        <is>
          <t>Institution agreement secured</t>
        </is>
      </c>
      <c r="B33" s="6" t="n">
        <v>0</v>
      </c>
      <c r="C33" s="3" t="inlineStr">
        <is>
          <t>0/1</t>
        </is>
      </c>
      <c r="D33" s="3" t="inlineStr">
        <is>
          <t>Set 1 after agreement</t>
        </is>
      </c>
    </row>
    <row r="34" ht="46" customHeight="1">
      <c r="A34" s="2" t="inlineStr">
        <is>
          <t>Maximum weighted commute</t>
        </is>
      </c>
      <c r="B34" s="6" t="n">
        <v>30</v>
      </c>
      <c r="C34" s="2" t="inlineStr">
        <is>
          <t>minutes</t>
        </is>
      </c>
      <c r="D34" s="2" t="inlineStr">
        <is>
          <t>Illustrative location constraint</t>
        </is>
      </c>
    </row>
  </sheetData>
  <autoFilter ref="A1:D34"/>
  <dataValidations count="18">
    <dataValidation sqref="B4" showDropDown="0" showInputMessage="0" showErrorMessage="1" allowBlank="0" errorTitle="Use a fraction between 0 and 1" error="Enter e.g. 0.20 for 20%" type="decimal" operator="between">
      <formula1>0</formula1>
      <formula2>1</formula2>
    </dataValidation>
    <dataValidation sqref="B8" showDropDown="0" showInputMessage="0" showErrorMessage="1" allowBlank="0" errorTitle="Use a fraction between 0 and 1" error="Enter e.g. 0.20 for 20%" type="decimal" operator="between">
      <formula1>0</formula1>
      <formula2>1</formula2>
    </dataValidation>
    <dataValidation sqref="B9" showDropDown="0" showInputMessage="0" showErrorMessage="1" allowBlank="0" errorTitle="Use a fraction between 0 and 1" error="Enter e.g. 0.20 for 20%" type="decimal" operator="between">
      <formula1>0</formula1>
      <formula2>1</formula2>
    </dataValidation>
    <dataValidation sqref="B10" showDropDown="0" showInputMessage="0" showErrorMessage="1" allowBlank="0" errorTitle="Use a fraction between 0 and 1" error="Enter e.g. 0.20 for 20%" type="decimal" operator="between">
      <formula1>0</formula1>
      <formula2>1</formula2>
    </dataValidation>
    <dataValidation sqref="B11" showDropDown="0" showInputMessage="0" showErrorMessage="1" allowBlank="0" errorTitle="Use a fraction between 0 and 1" error="Enter e.g. 0.20 for 20%" type="decimal" operator="between">
      <formula1>0</formula1>
      <formula2>1</formula2>
    </dataValidation>
    <dataValidation sqref="B13" showDropDown="0" showInputMessage="0" showErrorMessage="1" allowBlank="0" errorTitle="Use a fraction between 0 and 1" error="Enter e.g. 0.20 for 20%" type="decimal" operator="between">
      <formula1>0</formula1>
      <formula2>1</formula2>
    </dataValidation>
    <dataValidation sqref="B16" showDropDown="0" showInputMessage="0" showErrorMessage="1" allowBlank="0" errorTitle="Use a fraction between 0 and 1" error="Enter e.g. 0.20 for 20%" type="decimal" operator="between">
      <formula1>0</formula1>
      <formula2>1</formula2>
    </dataValidation>
    <dataValidation sqref="B17" showDropDown="0" showInputMessage="0" showErrorMessage="1" allowBlank="0" errorTitle="Use a fraction between 0 and 1" error="Enter e.g. 0.20 for 20%" type="decimal" operator="between">
      <formula1>0</formula1>
      <formula2>1</formula2>
    </dataValidation>
    <dataValidation sqref="B25" showDropDown="0" showInputMessage="0" showErrorMessage="1" allowBlank="0" errorTitle="Use a fraction between 0 and 1" error="Enter e.g. 0.20 for 20%" type="decimal" operator="between">
      <formula1>0</formula1>
      <formula2>1</formula2>
    </dataValidation>
    <dataValidation sqref="B28" showDropDown="0" showInputMessage="0" showErrorMessage="1" allowBlank="0" errorTitle="Use a fraction between 0 and 1" error="Enter e.g. 0.20 for 20%" type="decimal" operator="between">
      <formula1>0</formula1>
      <formula2>1</formula2>
    </dataValidation>
    <dataValidation sqref="B29" showDropDown="0" showInputMessage="0" showErrorMessage="1" allowBlank="0" errorTitle="Use a fraction between 0 and 1" error="Enter e.g. 0.20 for 20%" type="decimal" operator="between">
      <formula1>0</formula1>
      <formula2>1</formula2>
    </dataValidation>
    <dataValidation sqref="B30" showDropDown="0" showInputMessage="0" showErrorMessage="1" allowBlank="0" errorTitle="Use a fraction between 0 and 1" error="Enter e.g. 0.20 for 20%" type="decimal" operator="between">
      <formula1>0</formula1>
      <formula2>1</formula2>
    </dataValidation>
    <dataValidation sqref="B31" showDropDown="0" showInputMessage="0" showErrorMessage="1" allowBlank="0" errorTitle="Use a fraction between 0 and 1" error="Enter e.g. 0.20 for 20%" type="decimal" operator="between">
      <formula1>0</formula1>
      <formula2>1</formula2>
    </dataValidation>
    <dataValidation sqref="B32 B33" showDropDown="0" showInputMessage="0" showErrorMessage="0" allowBlank="0" type="list">
      <formula1>"0,1"</formula1>
    </dataValidation>
    <dataValidation sqref="B2" showDropDown="0" showInputMessage="0" showErrorMessage="1" allowBlank="0" error="This model has a fixed 20-year horizon." type="whole" operator="equal">
      <formula1>20</formula1>
    </dataValidation>
    <dataValidation sqref="B3" showDropDown="0" showInputMessage="0" showErrorMessage="1" allowBlank="0" type="whole" operator="between">
      <formula1>1</formula1>
      <formula2>10000</formula2>
    </dataValidation>
    <dataValidation sqref="B7" showDropDown="0" showInputMessage="0" showErrorMessage="1" allowBlank="0" type="whole" operator="between">
      <formula1>1</formula1>
      <formula2>12</formula2>
    </dataValidation>
    <dataValidation sqref="B27" showDropDown="0" showInputMessage="0" showErrorMessage="1" allowBlank="0" type="whole" operator="between">
      <formula1>1</formula1>
      <formula2>20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4" customWidth="1" min="20" max="20"/>
    <col width="24" customWidth="1" min="21" max="21"/>
  </cols>
  <sheetData>
    <row r="1" ht="44" customHeight="1">
      <c r="A1" s="1" t="inlineStr">
        <is>
          <t>Year</t>
        </is>
      </c>
      <c r="B1" s="1" t="inlineStr">
        <is>
          <t>Social rooms</t>
        </is>
      </c>
      <c r="C1" s="1" t="inlineStr">
        <is>
          <t>Market rooms</t>
        </is>
      </c>
      <c r="D1" s="1" t="inlineStr">
        <is>
          <t>Market revenue</t>
        </is>
      </c>
      <c r="E1" s="1" t="inlineStr">
        <is>
          <t>Social revenue</t>
        </is>
      </c>
      <c r="F1" s="1" t="inlineStr">
        <is>
          <t>Total revenue</t>
        </is>
      </c>
      <c r="G1" s="1" t="inlineStr">
        <is>
          <t>Management fee</t>
        </is>
      </c>
      <c r="H1" s="1" t="inlineStr">
        <is>
          <t>Fixed operating costs</t>
        </is>
      </c>
      <c r="I1" s="1" t="inlineStr">
        <is>
          <t>NOI</t>
        </is>
      </c>
      <c r="J1" s="1" t="inlineStr">
        <is>
          <t>Cash tax</t>
        </is>
      </c>
      <c r="K1" s="1" t="inlineStr">
        <is>
          <t>Initial investment</t>
        </is>
      </c>
      <c r="L1" s="1" t="inlineStr">
        <is>
          <t>Replacement capex</t>
        </is>
      </c>
      <c r="M1" s="1" t="inlineStr">
        <is>
          <t>Net sale proceeds</t>
        </is>
      </c>
      <c r="N1" s="1" t="inlineStr">
        <is>
          <t>Working capital released</t>
        </is>
      </c>
      <c r="O1" s="1" t="inlineStr">
        <is>
          <t>Net cash flow</t>
        </is>
      </c>
      <c r="P1" s="1" t="inlineStr">
        <is>
          <t>Cumulative cash flow</t>
        </is>
      </c>
      <c r="Q1" s="1" t="inlineStr">
        <is>
          <t>Discount factor</t>
        </is>
      </c>
      <c r="R1" s="1" t="inlineStr">
        <is>
          <t>Discounted cash flow</t>
        </is>
      </c>
      <c r="S1" s="1" t="inlineStr">
        <is>
          <t>Cumulative discounted CF</t>
        </is>
      </c>
      <c r="T1" t="inlineStr">
        <is>
          <t>Simple recovery year</t>
        </is>
      </c>
      <c r="U1" t="inlineStr">
        <is>
          <t>Discounted recovery year</t>
        </is>
      </c>
    </row>
    <row r="2">
      <c r="A2" s="2" t="n">
        <v>0</v>
      </c>
      <c r="B2" s="9">
        <f>ROUNDUP('Inputs'!$B$3*'Inputs'!$B$4,0)</f>
        <v>20</v>
      </c>
      <c r="C2" s="9">
        <f>'Inputs'!$B$3-B2</f>
        <v>80</v>
      </c>
      <c r="D2" s="9">
        <f>IF(A2=0,0,C2*'Inputs'!$B$5*'Inputs'!$B$7*'Inputs'!$B$8*(1+'Inputs'!$B$9)^(A2-1))</f>
        <v>0</v>
      </c>
      <c r="E2" s="9">
        <f>IF(A2=0,0,B2*'Inputs'!$B$6*'Inputs'!$B$7*'Inputs'!$B$8*(1+'Inputs'!$B$9)^(A2-1))</f>
        <v>0</v>
      </c>
      <c r="F2" s="9">
        <f>D2+E2</f>
        <v>0</v>
      </c>
      <c r="G2" s="9">
        <f>F2*'Inputs'!$B$25</f>
        <v>0.0</v>
      </c>
      <c r="H2" s="9">
        <f>IF(A2=0,0,('Inputs'!$B$3*('Inputs'!$B$20+'Inputs'!$B$21)+'Inputs'!$B$22+'Inputs'!$B$23+'Inputs'!$B$24)*(1+'Inputs'!$B$10)^(A2-1))</f>
        <v>0</v>
      </c>
      <c r="I2" s="9">
        <f>F2-G2-H2</f>
        <v>0.0</v>
      </c>
      <c r="J2" s="9">
        <f>MAX(0,I2)*'Inputs'!$B$30</f>
        <v>0.0</v>
      </c>
      <c r="K2" s="9">
        <f>IF(A2=0,'Cost summary'!B10,0)</f>
        <v>6655000.0</v>
      </c>
      <c r="L2" s="9">
        <f>IF(A2='Inputs'!$B$27,'Inputs'!$B$26*(1+'Inputs'!$B$10)^(A2-1),0)</f>
        <v>0</v>
      </c>
      <c r="M2" s="9">
        <f>IF(A2='Inputs'!$B$2,(F2*(1+'Inputs'!$B$9)*(1-'Inputs'!$B$25)-H2*(1+'Inputs'!$B$10))/'Inputs'!$B$28*(1-'Inputs'!$B$29),0)</f>
        <v>0</v>
      </c>
      <c r="N2" s="9">
        <f>IF(A2='Inputs'!$B$2,'Inputs'!$B$19,0)</f>
        <v>0</v>
      </c>
      <c r="O2" s="9">
        <f>I2-J2-K2-L2+M2+N2</f>
        <v>-6655000.0</v>
      </c>
      <c r="P2" s="9">
        <f>O2</f>
        <v>-6655000.0</v>
      </c>
      <c r="Q2" s="9">
        <f>1/(1+'Inputs'!$B$11)^A2</f>
        <v>1.0</v>
      </c>
      <c r="R2" s="9">
        <f>O2*Q2</f>
        <v>-6655000.0</v>
      </c>
      <c r="S2" s="9">
        <f>R2</f>
        <v>-6655000.0</v>
      </c>
      <c r="T2" s="12">
        <f>999</f>
        <v>999</v>
      </c>
      <c r="U2" s="12">
        <f>999</f>
        <v>999</v>
      </c>
    </row>
    <row r="3">
      <c r="A3" s="3" t="n">
        <v>1</v>
      </c>
      <c r="B3" s="10">
        <f>ROUNDUP('Inputs'!$B$3*'Inputs'!$B$4,0)</f>
        <v>20</v>
      </c>
      <c r="C3" s="10">
        <f>'Inputs'!$B$3-B3</f>
        <v>80</v>
      </c>
      <c r="D3" s="10">
        <f>IF(A3=0,0,C3*'Inputs'!$B$5*'Inputs'!$B$7*'Inputs'!$B$8*(1+'Inputs'!$B$9)^(A3-1))</f>
        <v>592800.0</v>
      </c>
      <c r="E3" s="10">
        <f>IF(A3=0,0,B3*'Inputs'!$B$6*'Inputs'!$B$7*'Inputs'!$B$8*(1+'Inputs'!$B$9)^(A3-1))</f>
        <v>102600.0</v>
      </c>
      <c r="F3" s="10">
        <f>D3+E3</f>
        <v>695400.0</v>
      </c>
      <c r="G3" s="10">
        <f>F3*'Inputs'!$B$25</f>
        <v>41724.0</v>
      </c>
      <c r="H3" s="10">
        <f>IF(A3=0,0,('Inputs'!$B$3*('Inputs'!$B$20+'Inputs'!$B$21)+'Inputs'!$B$22+'Inputs'!$B$23+'Inputs'!$B$24)*(1+'Inputs'!$B$10)^(A3-1))</f>
        <v>125000.0</v>
      </c>
      <c r="I3" s="10">
        <f>F3-G3-H3</f>
        <v>528676.0</v>
      </c>
      <c r="J3" s="10">
        <f>MAX(0,I3)*'Inputs'!$B$30</f>
        <v>0.0</v>
      </c>
      <c r="K3" s="10">
        <f>IF(A3=0,'Cost summary'!B10,0)</f>
        <v>0</v>
      </c>
      <c r="L3" s="10">
        <f>IF(A3='Inputs'!$B$27,'Inputs'!$B$26*(1+'Inputs'!$B$10)^(A3-1),0)</f>
        <v>0</v>
      </c>
      <c r="M3" s="10">
        <f>IF(A3='Inputs'!$B$2,(F3*(1+'Inputs'!$B$9)*(1-'Inputs'!$B$25)-H3*(1+'Inputs'!$B$10))/'Inputs'!$B$28*(1-'Inputs'!$B$29),0)</f>
        <v>0</v>
      </c>
      <c r="N3" s="10">
        <f>IF(A3='Inputs'!$B$2,'Inputs'!$B$19,0)</f>
        <v>0</v>
      </c>
      <c r="O3" s="10">
        <f>I3-J3-K3-L3+M3+N3</f>
        <v>528676.0</v>
      </c>
      <c r="P3" s="10">
        <f>P2+O3</f>
        <v>-6126324.0</v>
      </c>
      <c r="Q3" s="10">
        <f>1/(1+'Inputs'!$B$11)^A3</f>
        <v>0.9345794392523364</v>
      </c>
      <c r="R3" s="10">
        <f>O3*Q3</f>
        <v>494089.7196261682</v>
      </c>
      <c r="S3" s="10">
        <f>S2+R3</f>
        <v>-6160910.280373832</v>
      </c>
      <c r="T3" s="12">
        <f>IF(AND(P3&gt;=0,P2&lt;0),A3-1-P2/O3,999)</f>
        <v>999</v>
      </c>
      <c r="U3" s="12">
        <f>IF(AND(S3&gt;=0,S2&lt;0),A3-1-S2/R3,999)</f>
        <v>999</v>
      </c>
    </row>
    <row r="4">
      <c r="A4" s="2" t="n">
        <v>2</v>
      </c>
      <c r="B4" s="9">
        <f>ROUNDUP('Inputs'!$B$3*'Inputs'!$B$4,0)</f>
        <v>20</v>
      </c>
      <c r="C4" s="9">
        <f>'Inputs'!$B$3-B4</f>
        <v>80</v>
      </c>
      <c r="D4" s="9">
        <f>IF(A4=0,0,C4*'Inputs'!$B$5*'Inputs'!$B$7*'Inputs'!$B$8*(1+'Inputs'!$B$9)^(A4-1))</f>
        <v>604656.0</v>
      </c>
      <c r="E4" s="9">
        <f>IF(A4=0,0,B4*'Inputs'!$B$6*'Inputs'!$B$7*'Inputs'!$B$8*(1+'Inputs'!$B$9)^(A4-1))</f>
        <v>104652.0</v>
      </c>
      <c r="F4" s="9">
        <f>D4+E4</f>
        <v>709308.0</v>
      </c>
      <c r="G4" s="9">
        <f>F4*'Inputs'!$B$25</f>
        <v>42558.479999999996</v>
      </c>
      <c r="H4" s="9">
        <f>IF(A4=0,0,('Inputs'!$B$3*('Inputs'!$B$20+'Inputs'!$B$21)+'Inputs'!$B$22+'Inputs'!$B$23+'Inputs'!$B$24)*(1+'Inputs'!$B$10)^(A4-1))</f>
        <v>128124.99999999999</v>
      </c>
      <c r="I4" s="9">
        <f>F4-G4-H4</f>
        <v>538624.52</v>
      </c>
      <c r="J4" s="9">
        <f>MAX(0,I4)*'Inputs'!$B$30</f>
        <v>0.0</v>
      </c>
      <c r="K4" s="9">
        <f>IF(A4=0,'Cost summary'!B10,0)</f>
        <v>0</v>
      </c>
      <c r="L4" s="9">
        <f>IF(A4='Inputs'!$B$27,'Inputs'!$B$26*(1+'Inputs'!$B$10)^(A4-1),0)</f>
        <v>0</v>
      </c>
      <c r="M4" s="9">
        <f>IF(A4='Inputs'!$B$2,(F4*(1+'Inputs'!$B$9)*(1-'Inputs'!$B$25)-H4*(1+'Inputs'!$B$10))/'Inputs'!$B$28*(1-'Inputs'!$B$29),0)</f>
        <v>0</v>
      </c>
      <c r="N4" s="9">
        <f>IF(A4='Inputs'!$B$2,'Inputs'!$B$19,0)</f>
        <v>0</v>
      </c>
      <c r="O4" s="9">
        <f>I4-J4-K4-L4+M4+N4</f>
        <v>538624.52</v>
      </c>
      <c r="P4" s="9">
        <f>P3+O4</f>
        <v>-5587699.48</v>
      </c>
      <c r="Q4" s="9">
        <f>1/(1+'Inputs'!$B$11)^A4</f>
        <v>0.8734387282732116</v>
      </c>
      <c r="R4" s="9">
        <f>O4*Q4</f>
        <v>470455.515765569</v>
      </c>
      <c r="S4" s="9">
        <f>S3+R4</f>
        <v>-5690454.764608263</v>
      </c>
      <c r="T4" s="12">
        <f>IF(AND(P4&gt;=0,P3&lt;0),A4-1-P3/O4,999)</f>
        <v>999</v>
      </c>
      <c r="U4" s="12">
        <f>IF(AND(S4&gt;=0,S3&lt;0),A4-1-S3/R4,999)</f>
        <v>999</v>
      </c>
    </row>
    <row r="5">
      <c r="A5" s="3" t="n">
        <v>3</v>
      </c>
      <c r="B5" s="10">
        <f>ROUNDUP('Inputs'!$B$3*'Inputs'!$B$4,0)</f>
        <v>20</v>
      </c>
      <c r="C5" s="10">
        <f>'Inputs'!$B$3-B5</f>
        <v>80</v>
      </c>
      <c r="D5" s="10">
        <f>IF(A5=0,0,C5*'Inputs'!$B$5*'Inputs'!$B$7*'Inputs'!$B$8*(1+'Inputs'!$B$9)^(A5-1))</f>
        <v>616749.12</v>
      </c>
      <c r="E5" s="10">
        <f>IF(A5=0,0,B5*'Inputs'!$B$6*'Inputs'!$B$7*'Inputs'!$B$8*(1+'Inputs'!$B$9)^(A5-1))</f>
        <v>106745.04</v>
      </c>
      <c r="F5" s="10">
        <f>D5+E5</f>
        <v>723494.16</v>
      </c>
      <c r="G5" s="10">
        <f>F5*'Inputs'!$B$25</f>
        <v>43409.6496</v>
      </c>
      <c r="H5" s="10">
        <f>IF(A5=0,0,('Inputs'!$B$3*('Inputs'!$B$20+'Inputs'!$B$21)+'Inputs'!$B$22+'Inputs'!$B$23+'Inputs'!$B$24)*(1+'Inputs'!$B$10)^(A5-1))</f>
        <v>131328.125</v>
      </c>
      <c r="I5" s="10">
        <f>F5-G5-H5</f>
        <v>548756.3854</v>
      </c>
      <c r="J5" s="10">
        <f>MAX(0,I5)*'Inputs'!$B$30</f>
        <v>0.0</v>
      </c>
      <c r="K5" s="10">
        <f>IF(A5=0,'Cost summary'!B10,0)</f>
        <v>0</v>
      </c>
      <c r="L5" s="10">
        <f>IF(A5='Inputs'!$B$27,'Inputs'!$B$26*(1+'Inputs'!$B$10)^(A5-1),0)</f>
        <v>0</v>
      </c>
      <c r="M5" s="10">
        <f>IF(A5='Inputs'!$B$2,(F5*(1+'Inputs'!$B$9)*(1-'Inputs'!$B$25)-H5*(1+'Inputs'!$B$10))/'Inputs'!$B$28*(1-'Inputs'!$B$29),0)</f>
        <v>0</v>
      </c>
      <c r="N5" s="10">
        <f>IF(A5='Inputs'!$B$2,'Inputs'!$B$19,0)</f>
        <v>0</v>
      </c>
      <c r="O5" s="10">
        <f>I5-J5-K5-L5+M5+N5</f>
        <v>548756.3854</v>
      </c>
      <c r="P5" s="10">
        <f>P4+O5</f>
        <v>-5038943.0946</v>
      </c>
      <c r="Q5" s="10">
        <f>1/(1+'Inputs'!$B$11)^A5</f>
        <v>0.8162978768908519</v>
      </c>
      <c r="R5" s="10">
        <f>O5*Q5</f>
        <v>447948.6723323181</v>
      </c>
      <c r="S5" s="10">
        <f>S4+R5</f>
        <v>-5242506.092275945</v>
      </c>
      <c r="T5" s="12">
        <f>IF(AND(P5&gt;=0,P4&lt;0),A5-1-P4/O5,999)</f>
        <v>999</v>
      </c>
      <c r="U5" s="12">
        <f>IF(AND(S5&gt;=0,S4&lt;0),A5-1-S4/R5,999)</f>
        <v>999</v>
      </c>
    </row>
    <row r="6">
      <c r="A6" s="2" t="n">
        <v>4</v>
      </c>
      <c r="B6" s="9">
        <f>ROUNDUP('Inputs'!$B$3*'Inputs'!$B$4,0)</f>
        <v>20</v>
      </c>
      <c r="C6" s="9">
        <f>'Inputs'!$B$3-B6</f>
        <v>80</v>
      </c>
      <c r="D6" s="9">
        <f>IF(A6=0,0,C6*'Inputs'!$B$5*'Inputs'!$B$7*'Inputs'!$B$8*(1+'Inputs'!$B$9)^(A6-1))</f>
        <v>629084.1024000001</v>
      </c>
      <c r="E6" s="9">
        <f>IF(A6=0,0,B6*'Inputs'!$B$6*'Inputs'!$B$7*'Inputs'!$B$8*(1+'Inputs'!$B$9)^(A6-1))</f>
        <v>108879.94080000001</v>
      </c>
      <c r="F6" s="9">
        <f>D6+E6</f>
        <v>737964.0432000001</v>
      </c>
      <c r="G6" s="9">
        <f>F6*'Inputs'!$B$25</f>
        <v>44277.842592</v>
      </c>
      <c r="H6" s="9">
        <f>IF(A6=0,0,('Inputs'!$B$3*('Inputs'!$B$20+'Inputs'!$B$21)+'Inputs'!$B$22+'Inputs'!$B$23+'Inputs'!$B$24)*(1+'Inputs'!$B$10)^(A6-1))</f>
        <v>134611.32812499997</v>
      </c>
      <c r="I6" s="9">
        <f>F6-G6-H6</f>
        <v>559074.872483</v>
      </c>
      <c r="J6" s="9">
        <f>MAX(0,I6)*'Inputs'!$B$30</f>
        <v>0.0</v>
      </c>
      <c r="K6" s="9">
        <f>IF(A6=0,'Cost summary'!B10,0)</f>
        <v>0</v>
      </c>
      <c r="L6" s="9">
        <f>IF(A6='Inputs'!$B$27,'Inputs'!$B$26*(1+'Inputs'!$B$10)^(A6-1),0)</f>
        <v>0</v>
      </c>
      <c r="M6" s="9">
        <f>IF(A6='Inputs'!$B$2,(F6*(1+'Inputs'!$B$9)*(1-'Inputs'!$B$25)-H6*(1+'Inputs'!$B$10))/'Inputs'!$B$28*(1-'Inputs'!$B$29),0)</f>
        <v>0</v>
      </c>
      <c r="N6" s="9">
        <f>IF(A6='Inputs'!$B$2,'Inputs'!$B$19,0)</f>
        <v>0</v>
      </c>
      <c r="O6" s="9">
        <f>I6-J6-K6-L6+M6+N6</f>
        <v>559074.872483</v>
      </c>
      <c r="P6" s="9">
        <f>P5+O6</f>
        <v>-4479868.222117</v>
      </c>
      <c r="Q6" s="9">
        <f>1/(1+'Inputs'!$B$11)^A6</f>
        <v>0.7628952120475251</v>
      </c>
      <c r="R6" s="9">
        <f>O6*Q6</f>
        <v>426515.5433933614</v>
      </c>
      <c r="S6" s="9">
        <f>S5+R6</f>
        <v>-4815990.548882583</v>
      </c>
      <c r="T6" s="12">
        <f>IF(AND(P6&gt;=0,P5&lt;0),A6-1-P5/O6,999)</f>
        <v>999</v>
      </c>
      <c r="U6" s="12">
        <f>IF(AND(S6&gt;=0,S5&lt;0),A6-1-S5/R6,999)</f>
        <v>999</v>
      </c>
    </row>
    <row r="7">
      <c r="A7" s="3" t="n">
        <v>5</v>
      </c>
      <c r="B7" s="10">
        <f>ROUNDUP('Inputs'!$B$3*'Inputs'!$B$4,0)</f>
        <v>20</v>
      </c>
      <c r="C7" s="10">
        <f>'Inputs'!$B$3-B7</f>
        <v>80</v>
      </c>
      <c r="D7" s="10">
        <f>IF(A7=0,0,C7*'Inputs'!$B$5*'Inputs'!$B$7*'Inputs'!$B$8*(1+'Inputs'!$B$9)^(A7-1))</f>
        <v>641665.784448</v>
      </c>
      <c r="E7" s="10">
        <f>IF(A7=0,0,B7*'Inputs'!$B$6*'Inputs'!$B$7*'Inputs'!$B$8*(1+'Inputs'!$B$9)^(A7-1))</f>
        <v>111057.539616</v>
      </c>
      <c r="F7" s="10">
        <f>D7+E7</f>
        <v>752723.324064</v>
      </c>
      <c r="G7" s="10">
        <f>F7*'Inputs'!$B$25</f>
        <v>45163.399443840004</v>
      </c>
      <c r="H7" s="10">
        <f>IF(A7=0,0,('Inputs'!$B$3*('Inputs'!$B$20+'Inputs'!$B$21)+'Inputs'!$B$22+'Inputs'!$B$23+'Inputs'!$B$24)*(1+'Inputs'!$B$10)^(A7-1))</f>
        <v>137976.61132812494</v>
      </c>
      <c r="I7" s="10">
        <f>F7-G7-H7</f>
        <v>569583.3132920351</v>
      </c>
      <c r="J7" s="10">
        <f>MAX(0,I7)*'Inputs'!$B$30</f>
        <v>0.0</v>
      </c>
      <c r="K7" s="10">
        <f>IF(A7=0,'Cost summary'!B10,0)</f>
        <v>0</v>
      </c>
      <c r="L7" s="10">
        <f>IF(A7='Inputs'!$B$27,'Inputs'!$B$26*(1+'Inputs'!$B$10)^(A7-1),0)</f>
        <v>0</v>
      </c>
      <c r="M7" s="10">
        <f>IF(A7='Inputs'!$B$2,(F7*(1+'Inputs'!$B$9)*(1-'Inputs'!$B$25)-H7*(1+'Inputs'!$B$10))/'Inputs'!$B$28*(1-'Inputs'!$B$29),0)</f>
        <v>0</v>
      </c>
      <c r="N7" s="10">
        <f>IF(A7='Inputs'!$B$2,'Inputs'!$B$19,0)</f>
        <v>0</v>
      </c>
      <c r="O7" s="10">
        <f>I7-J7-K7-L7+M7+N7</f>
        <v>569583.3132920351</v>
      </c>
      <c r="P7" s="10">
        <f>P6+O7</f>
        <v>-3910284.9088249654</v>
      </c>
      <c r="Q7" s="10">
        <f>1/(1+'Inputs'!$B$11)^A7</f>
        <v>0.7129861794836683</v>
      </c>
      <c r="R7" s="10">
        <f>O7*Q7</f>
        <v>406105.03044173744</v>
      </c>
      <c r="S7" s="10">
        <f>S6+R7</f>
        <v>-4409885.518440845</v>
      </c>
      <c r="T7" s="12">
        <f>IF(AND(P7&gt;=0,P6&lt;0),A7-1-P6/O7,999)</f>
        <v>999</v>
      </c>
      <c r="U7" s="12">
        <f>IF(AND(S7&gt;=0,S6&lt;0),A7-1-S6/R7,999)</f>
        <v>999</v>
      </c>
    </row>
    <row r="8">
      <c r="A8" s="2" t="n">
        <v>6</v>
      </c>
      <c r="B8" s="9">
        <f>ROUNDUP('Inputs'!$B$3*'Inputs'!$B$4,0)</f>
        <v>20</v>
      </c>
      <c r="C8" s="9">
        <f>'Inputs'!$B$3-B8</f>
        <v>80</v>
      </c>
      <c r="D8" s="9">
        <f>IF(A8=0,0,C8*'Inputs'!$B$5*'Inputs'!$B$7*'Inputs'!$B$8*(1+'Inputs'!$B$9)^(A8-1))</f>
        <v>654499.10013696</v>
      </c>
      <c r="E8" s="9">
        <f>IF(A8=0,0,B8*'Inputs'!$B$6*'Inputs'!$B$7*'Inputs'!$B$8*(1+'Inputs'!$B$9)^(A8-1))</f>
        <v>113278.69040832</v>
      </c>
      <c r="F8" s="9">
        <f>D8+E8</f>
        <v>767777.7905452801</v>
      </c>
      <c r="G8" s="9">
        <f>F8*'Inputs'!$B$25</f>
        <v>46066.6674327168</v>
      </c>
      <c r="H8" s="9">
        <f>IF(A8=0,0,('Inputs'!$B$3*('Inputs'!$B$20+'Inputs'!$B$21)+'Inputs'!$B$22+'Inputs'!$B$23+'Inputs'!$B$24)*(1+'Inputs'!$B$10)^(A8-1))</f>
        <v>141426.02661132807</v>
      </c>
      <c r="I8" s="9">
        <f>F8-G8-H8</f>
        <v>580285.0965012352</v>
      </c>
      <c r="J8" s="9">
        <f>MAX(0,I8)*'Inputs'!$B$30</f>
        <v>0.0</v>
      </c>
      <c r="K8" s="9">
        <f>IF(A8=0,'Cost summary'!B10,0)</f>
        <v>0</v>
      </c>
      <c r="L8" s="9">
        <f>IF(A8='Inputs'!$B$27,'Inputs'!$B$26*(1+'Inputs'!$B$10)^(A8-1),0)</f>
        <v>0</v>
      </c>
      <c r="M8" s="9">
        <f>IF(A8='Inputs'!$B$2,(F8*(1+'Inputs'!$B$9)*(1-'Inputs'!$B$25)-H8*(1+'Inputs'!$B$10))/'Inputs'!$B$28*(1-'Inputs'!$B$29),0)</f>
        <v>0</v>
      </c>
      <c r="N8" s="9">
        <f>IF(A8='Inputs'!$B$2,'Inputs'!$B$19,0)</f>
        <v>0</v>
      </c>
      <c r="O8" s="9">
        <f>I8-J8-K8-L8+M8+N8</f>
        <v>580285.0965012352</v>
      </c>
      <c r="P8" s="9">
        <f>P7+O8</f>
        <v>-3329999.8123237304</v>
      </c>
      <c r="Q8" s="9">
        <f>1/(1+'Inputs'!$B$11)^A8</f>
        <v>0.6663422238165123</v>
      </c>
      <c r="R8" s="9">
        <f>O8*Q8</f>
        <v>386668.46165021247</v>
      </c>
      <c r="S8" s="9">
        <f>S7+R8</f>
        <v>-4023217.056790633</v>
      </c>
      <c r="T8" s="12">
        <f>IF(AND(P8&gt;=0,P7&lt;0),A8-1-P7/O8,999)</f>
        <v>999</v>
      </c>
      <c r="U8" s="12">
        <f>IF(AND(S8&gt;=0,S7&lt;0),A8-1-S7/R8,999)</f>
        <v>999</v>
      </c>
    </row>
    <row r="9">
      <c r="A9" s="3" t="n">
        <v>7</v>
      </c>
      <c r="B9" s="10">
        <f>ROUNDUP('Inputs'!$B$3*'Inputs'!$B$4,0)</f>
        <v>20</v>
      </c>
      <c r="C9" s="10">
        <f>'Inputs'!$B$3-B9</f>
        <v>80</v>
      </c>
      <c r="D9" s="10">
        <f>IF(A9=0,0,C9*'Inputs'!$B$5*'Inputs'!$B$7*'Inputs'!$B$8*(1+'Inputs'!$B$9)^(A9-1))</f>
        <v>667589.0821396993</v>
      </c>
      <c r="E9" s="10">
        <f>IF(A9=0,0,B9*'Inputs'!$B$6*'Inputs'!$B$7*'Inputs'!$B$8*(1+'Inputs'!$B$9)^(A9-1))</f>
        <v>115544.26421648641</v>
      </c>
      <c r="F9" s="10">
        <f>D9+E9</f>
        <v>783133.3463561856</v>
      </c>
      <c r="G9" s="10">
        <f>F9*'Inputs'!$B$25</f>
        <v>46988.000781371135</v>
      </c>
      <c r="H9" s="10">
        <f>IF(A9=0,0,('Inputs'!$B$3*('Inputs'!$B$20+'Inputs'!$B$21)+'Inputs'!$B$22+'Inputs'!$B$23+'Inputs'!$B$24)*(1+'Inputs'!$B$10)^(A9-1))</f>
        <v>144961.67727661124</v>
      </c>
      <c r="I9" s="10">
        <f>F9-G9-H9</f>
        <v>591183.6682982033</v>
      </c>
      <c r="J9" s="10">
        <f>MAX(0,I9)*'Inputs'!$B$30</f>
        <v>0.0</v>
      </c>
      <c r="K9" s="10">
        <f>IF(A9=0,'Cost summary'!B10,0)</f>
        <v>0</v>
      </c>
      <c r="L9" s="10">
        <f>IF(A9='Inputs'!$B$27,'Inputs'!$B$26*(1+'Inputs'!$B$10)^(A9-1),0)</f>
        <v>0</v>
      </c>
      <c r="M9" s="10">
        <f>IF(A9='Inputs'!$B$2,(F9*(1+'Inputs'!$B$9)*(1-'Inputs'!$B$25)-H9*(1+'Inputs'!$B$10))/'Inputs'!$B$28*(1-'Inputs'!$B$29),0)</f>
        <v>0</v>
      </c>
      <c r="N9" s="10">
        <f>IF(A9='Inputs'!$B$2,'Inputs'!$B$19,0)</f>
        <v>0</v>
      </c>
      <c r="O9" s="10">
        <f>I9-J9-K9-L9+M9+N9</f>
        <v>591183.6682982033</v>
      </c>
      <c r="P9" s="10">
        <f>P8+O9</f>
        <v>-2738816.144025527</v>
      </c>
      <c r="Q9" s="10">
        <f>1/(1+'Inputs'!$B$11)^A9</f>
        <v>0.6227497418845909</v>
      </c>
      <c r="R9" s="10">
        <f>O9*Q9</f>
        <v>368159.4768390917</v>
      </c>
      <c r="S9" s="10">
        <f>S8+R9</f>
        <v>-3655057.5799515415</v>
      </c>
      <c r="T9" s="12">
        <f>IF(AND(P9&gt;=0,P8&lt;0),A9-1-P8/O9,999)</f>
        <v>999</v>
      </c>
      <c r="U9" s="12">
        <f>IF(AND(S9&gt;=0,S8&lt;0),A9-1-S8/R9,999)</f>
        <v>999</v>
      </c>
    </row>
    <row r="10">
      <c r="A10" s="2" t="n">
        <v>8</v>
      </c>
      <c r="B10" s="9">
        <f>ROUNDUP('Inputs'!$B$3*'Inputs'!$B$4,0)</f>
        <v>20</v>
      </c>
      <c r="C10" s="9">
        <f>'Inputs'!$B$3-B10</f>
        <v>80</v>
      </c>
      <c r="D10" s="9">
        <f>IF(A10=0,0,C10*'Inputs'!$B$5*'Inputs'!$B$7*'Inputs'!$B$8*(1+'Inputs'!$B$9)^(A10-1))</f>
        <v>680940.8637824932</v>
      </c>
      <c r="E10" s="9">
        <f>IF(A10=0,0,B10*'Inputs'!$B$6*'Inputs'!$B$7*'Inputs'!$B$8*(1+'Inputs'!$B$9)^(A10-1))</f>
        <v>117855.14950081613</v>
      </c>
      <c r="F10" s="9">
        <f>D10+E10</f>
        <v>798796.0132833093</v>
      </c>
      <c r="G10" s="9">
        <f>F10*'Inputs'!$B$25</f>
        <v>47927.760796998555</v>
      </c>
      <c r="H10" s="9">
        <f>IF(A10=0,0,('Inputs'!$B$3*('Inputs'!$B$20+'Inputs'!$B$21)+'Inputs'!$B$22+'Inputs'!$B$23+'Inputs'!$B$24)*(1+'Inputs'!$B$10)^(A10-1))</f>
        <v>148585.71920852654</v>
      </c>
      <c r="I10" s="9">
        <f>F10-G10-H10</f>
        <v>602282.5332777842</v>
      </c>
      <c r="J10" s="9">
        <f>MAX(0,I10)*'Inputs'!$B$30</f>
        <v>0.0</v>
      </c>
      <c r="K10" s="9">
        <f>IF(A10=0,'Cost summary'!B10,0)</f>
        <v>0</v>
      </c>
      <c r="L10" s="9">
        <f>IF(A10='Inputs'!$B$27,'Inputs'!$B$26*(1+'Inputs'!$B$10)^(A10-1),0)</f>
        <v>0</v>
      </c>
      <c r="M10" s="9">
        <f>IF(A10='Inputs'!$B$2,(F10*(1+'Inputs'!$B$9)*(1-'Inputs'!$B$25)-H10*(1+'Inputs'!$B$10))/'Inputs'!$B$28*(1-'Inputs'!$B$29),0)</f>
        <v>0</v>
      </c>
      <c r="N10" s="9">
        <f>IF(A10='Inputs'!$B$2,'Inputs'!$B$19,0)</f>
        <v>0</v>
      </c>
      <c r="O10" s="9">
        <f>I10-J10-K10-L10+M10+N10</f>
        <v>602282.5332777842</v>
      </c>
      <c r="P10" s="9">
        <f>P9+O10</f>
        <v>-2136533.6107477425</v>
      </c>
      <c r="Q10" s="9">
        <f>1/(1+'Inputs'!$B$11)^A10</f>
        <v>0.5820091045650382</v>
      </c>
      <c r="R10" s="9">
        <f>O10*Q10</f>
        <v>350533.91788816603</v>
      </c>
      <c r="S10" s="9">
        <f>S9+R10</f>
        <v>-3304523.6620633756</v>
      </c>
      <c r="T10" s="12">
        <f>IF(AND(P10&gt;=0,P9&lt;0),A10-1-P9/O10,999)</f>
        <v>999</v>
      </c>
      <c r="U10" s="12">
        <f>IF(AND(S10&gt;=0,S9&lt;0),A10-1-S9/R10,999)</f>
        <v>999</v>
      </c>
    </row>
    <row r="11">
      <c r="A11" s="3" t="n">
        <v>9</v>
      </c>
      <c r="B11" s="10">
        <f>ROUNDUP('Inputs'!$B$3*'Inputs'!$B$4,0)</f>
        <v>20</v>
      </c>
      <c r="C11" s="10">
        <f>'Inputs'!$B$3-B11</f>
        <v>80</v>
      </c>
      <c r="D11" s="10">
        <f>IF(A11=0,0,C11*'Inputs'!$B$5*'Inputs'!$B$7*'Inputs'!$B$8*(1+'Inputs'!$B$9)^(A11-1))</f>
        <v>694559.6810581431</v>
      </c>
      <c r="E11" s="10">
        <f>IF(A11=0,0,B11*'Inputs'!$B$6*'Inputs'!$B$7*'Inputs'!$B$8*(1+'Inputs'!$B$9)^(A11-1))</f>
        <v>120212.25249083247</v>
      </c>
      <c r="F11" s="10">
        <f>D11+E11</f>
        <v>814771.9335489756</v>
      </c>
      <c r="G11" s="10">
        <f>F11*'Inputs'!$B$25</f>
        <v>48886.316012938536</v>
      </c>
      <c r="H11" s="10">
        <f>IF(A11=0,0,('Inputs'!$B$3*('Inputs'!$B$20+'Inputs'!$B$21)+'Inputs'!$B$22+'Inputs'!$B$23+'Inputs'!$B$24)*(1+'Inputs'!$B$10)^(A11-1))</f>
        <v>152300.36218873964</v>
      </c>
      <c r="I11" s="10">
        <f>F11-G11-H11</f>
        <v>613585.2553472975</v>
      </c>
      <c r="J11" s="10">
        <f>MAX(0,I11)*'Inputs'!$B$30</f>
        <v>0.0</v>
      </c>
      <c r="K11" s="10">
        <f>IF(A11=0,'Cost summary'!B10,0)</f>
        <v>0</v>
      </c>
      <c r="L11" s="10">
        <f>IF(A11='Inputs'!$B$27,'Inputs'!$B$26*(1+'Inputs'!$B$10)^(A11-1),0)</f>
        <v>0</v>
      </c>
      <c r="M11" s="10">
        <f>IF(A11='Inputs'!$B$2,(F11*(1+'Inputs'!$B$9)*(1-'Inputs'!$B$25)-H11*(1+'Inputs'!$B$10))/'Inputs'!$B$28*(1-'Inputs'!$B$29),0)</f>
        <v>0</v>
      </c>
      <c r="N11" s="10">
        <f>IF(A11='Inputs'!$B$2,'Inputs'!$B$19,0)</f>
        <v>0</v>
      </c>
      <c r="O11" s="10">
        <f>I11-J11-K11-L11+M11+N11</f>
        <v>613585.2553472975</v>
      </c>
      <c r="P11" s="10">
        <f>P10+O11</f>
        <v>-1522948.355400445</v>
      </c>
      <c r="Q11" s="10">
        <f>1/(1+'Inputs'!$B$11)^A11</f>
        <v>0.5439337425841478</v>
      </c>
      <c r="R11" s="10">
        <f>O11*Q11</f>
        <v>333749.72433550557</v>
      </c>
      <c r="S11" s="10">
        <f>S10+R11</f>
        <v>-2970773.93772787</v>
      </c>
      <c r="T11" s="12">
        <f>IF(AND(P11&gt;=0,P10&lt;0),A11-1-P10/O11,999)</f>
        <v>999</v>
      </c>
      <c r="U11" s="12">
        <f>IF(AND(S11&gt;=0,S10&lt;0),A11-1-S10/R11,999)</f>
        <v>999</v>
      </c>
    </row>
    <row r="12">
      <c r="A12" s="2" t="n">
        <v>10</v>
      </c>
      <c r="B12" s="9">
        <f>ROUNDUP('Inputs'!$B$3*'Inputs'!$B$4,0)</f>
        <v>20</v>
      </c>
      <c r="C12" s="9">
        <f>'Inputs'!$B$3-B12</f>
        <v>80</v>
      </c>
      <c r="D12" s="9">
        <f>IF(A12=0,0,C12*'Inputs'!$B$5*'Inputs'!$B$7*'Inputs'!$B$8*(1+'Inputs'!$B$9)^(A12-1))</f>
        <v>708450.8746793059</v>
      </c>
      <c r="E12" s="9">
        <f>IF(A12=0,0,B12*'Inputs'!$B$6*'Inputs'!$B$7*'Inputs'!$B$8*(1+'Inputs'!$B$9)^(A12-1))</f>
        <v>122616.49754064911</v>
      </c>
      <c r="F12" s="9">
        <f>D12+E12</f>
        <v>831067.3722199551</v>
      </c>
      <c r="G12" s="9">
        <f>F12*'Inputs'!$B$25</f>
        <v>49864.0423331973</v>
      </c>
      <c r="H12" s="9">
        <f>IF(A12=0,0,('Inputs'!$B$3*('Inputs'!$B$20+'Inputs'!$B$21)+'Inputs'!$B$22+'Inputs'!$B$23+'Inputs'!$B$24)*(1+'Inputs'!$B$10)^(A12-1))</f>
        <v>156107.87124345815</v>
      </c>
      <c r="I12" s="9">
        <f>F12-G12-H12</f>
        <v>625095.4586432996</v>
      </c>
      <c r="J12" s="9">
        <f>MAX(0,I12)*'Inputs'!$B$30</f>
        <v>0.0</v>
      </c>
      <c r="K12" s="9">
        <f>IF(A12=0,'Cost summary'!B10,0)</f>
        <v>0</v>
      </c>
      <c r="L12" s="9">
        <f>IF(A12='Inputs'!$B$27,'Inputs'!$B$26*(1+'Inputs'!$B$10)^(A12-1),0)</f>
        <v>312215.7424869163</v>
      </c>
      <c r="M12" s="9">
        <f>IF(A12='Inputs'!$B$2,(F12*(1+'Inputs'!$B$9)*(1-'Inputs'!$B$25)-H12*(1+'Inputs'!$B$10))/'Inputs'!$B$28*(1-'Inputs'!$B$29),0)</f>
        <v>0</v>
      </c>
      <c r="N12" s="9">
        <f>IF(A12='Inputs'!$B$2,'Inputs'!$B$19,0)</f>
        <v>0</v>
      </c>
      <c r="O12" s="9">
        <f>I12-J12-K12-L12+M12+N12</f>
        <v>312879.71615638334</v>
      </c>
      <c r="P12" s="9">
        <f>P11+O12</f>
        <v>-1210068.6392440617</v>
      </c>
      <c r="Q12" s="9">
        <f>1/(1+'Inputs'!$B$11)^A12</f>
        <v>0.5083492921347176</v>
      </c>
      <c r="R12" s="9">
        <f>O12*Q12</f>
        <v>159052.18223140883</v>
      </c>
      <c r="S12" s="9">
        <f>S11+R12</f>
        <v>-2811721.755496461</v>
      </c>
      <c r="T12" s="12">
        <f>IF(AND(P12&gt;=0,P11&lt;0),A12-1-P11/O12,999)</f>
        <v>999</v>
      </c>
      <c r="U12" s="12">
        <f>IF(AND(S12&gt;=0,S11&lt;0),A12-1-S11/R12,999)</f>
        <v>999</v>
      </c>
    </row>
    <row r="13">
      <c r="A13" s="3" t="n">
        <v>11</v>
      </c>
      <c r="B13" s="10">
        <f>ROUNDUP('Inputs'!$B$3*'Inputs'!$B$4,0)</f>
        <v>20</v>
      </c>
      <c r="C13" s="10">
        <f>'Inputs'!$B$3-B13</f>
        <v>80</v>
      </c>
      <c r="D13" s="10">
        <f>IF(A13=0,0,C13*'Inputs'!$B$5*'Inputs'!$B$7*'Inputs'!$B$8*(1+'Inputs'!$B$9)^(A13-1))</f>
        <v>722619.8921728921</v>
      </c>
      <c r="E13" s="10">
        <f>IF(A13=0,0,B13*'Inputs'!$B$6*'Inputs'!$B$7*'Inputs'!$B$8*(1+'Inputs'!$B$9)^(A13-1))</f>
        <v>125068.8274914621</v>
      </c>
      <c r="F13" s="10">
        <f>D13+E13</f>
        <v>847688.7196643542</v>
      </c>
      <c r="G13" s="10">
        <f>F13*'Inputs'!$B$25</f>
        <v>50861.323179861254</v>
      </c>
      <c r="H13" s="10">
        <f>IF(A13=0,0,('Inputs'!$B$3*('Inputs'!$B$20+'Inputs'!$B$21)+'Inputs'!$B$22+'Inputs'!$B$23+'Inputs'!$B$24)*(1+'Inputs'!$B$10)^(A13-1))</f>
        <v>160010.56802454457</v>
      </c>
      <c r="I13" s="10">
        <f>F13-G13-H13</f>
        <v>636816.8284599483</v>
      </c>
      <c r="J13" s="10">
        <f>MAX(0,I13)*'Inputs'!$B$30</f>
        <v>0.0</v>
      </c>
      <c r="K13" s="10">
        <f>IF(A13=0,'Cost summary'!B10,0)</f>
        <v>0</v>
      </c>
      <c r="L13" s="10">
        <f>IF(A13='Inputs'!$B$27,'Inputs'!$B$26*(1+'Inputs'!$B$10)^(A13-1),0)</f>
        <v>0</v>
      </c>
      <c r="M13" s="10">
        <f>IF(A13='Inputs'!$B$2,(F13*(1+'Inputs'!$B$9)*(1-'Inputs'!$B$25)-H13*(1+'Inputs'!$B$10))/'Inputs'!$B$28*(1-'Inputs'!$B$29),0)</f>
        <v>0</v>
      </c>
      <c r="N13" s="10">
        <f>IF(A13='Inputs'!$B$2,'Inputs'!$B$19,0)</f>
        <v>0</v>
      </c>
      <c r="O13" s="10">
        <f>I13-J13-K13-L13+M13+N13</f>
        <v>636816.8284599483</v>
      </c>
      <c r="P13" s="10">
        <f>P12+O13</f>
        <v>-573251.8107841134</v>
      </c>
      <c r="Q13" s="10">
        <f>1/(1+'Inputs'!$B$11)^A13</f>
        <v>0.4750927963875865</v>
      </c>
      <c r="R13" s="10">
        <f>O13*Q13</f>
        <v>302547.08781971084</v>
      </c>
      <c r="S13" s="10">
        <f>S12+R13</f>
        <v>-2509174.66767675</v>
      </c>
      <c r="T13" s="12">
        <f>IF(AND(P13&gt;=0,P12&lt;0),A13-1-P12/O13,999)</f>
        <v>999</v>
      </c>
      <c r="U13" s="12">
        <f>IF(AND(S13&gt;=0,S12&lt;0),A13-1-S12/R13,999)</f>
        <v>999</v>
      </c>
    </row>
    <row r="14">
      <c r="A14" s="2" t="n">
        <v>12</v>
      </c>
      <c r="B14" s="9">
        <f>ROUNDUP('Inputs'!$B$3*'Inputs'!$B$4,0)</f>
        <v>20</v>
      </c>
      <c r="C14" s="9">
        <f>'Inputs'!$B$3-B14</f>
        <v>80</v>
      </c>
      <c r="D14" s="9">
        <f>IF(A14=0,0,C14*'Inputs'!$B$5*'Inputs'!$B$7*'Inputs'!$B$8*(1+'Inputs'!$B$9)^(A14-1))</f>
        <v>737072.29001635</v>
      </c>
      <c r="E14" s="9">
        <f>IF(A14=0,0,B14*'Inputs'!$B$6*'Inputs'!$B$7*'Inputs'!$B$8*(1+'Inputs'!$B$9)^(A14-1))</f>
        <v>127570.20404129135</v>
      </c>
      <c r="F14" s="9">
        <f>D14+E14</f>
        <v>864642.4940576414</v>
      </c>
      <c r="G14" s="9">
        <f>F14*'Inputs'!$B$25</f>
        <v>51878.54964345848</v>
      </c>
      <c r="H14" s="9">
        <f>IF(A14=0,0,('Inputs'!$B$3*('Inputs'!$B$20+'Inputs'!$B$21)+'Inputs'!$B$22+'Inputs'!$B$23+'Inputs'!$B$24)*(1+'Inputs'!$B$10)^(A14-1))</f>
        <v>164010.8322251582</v>
      </c>
      <c r="I14" s="9">
        <f>F14-G14-H14</f>
        <v>648753.1121890247</v>
      </c>
      <c r="J14" s="9">
        <f>MAX(0,I14)*'Inputs'!$B$30</f>
        <v>0.0</v>
      </c>
      <c r="K14" s="9">
        <f>IF(A14=0,'Cost summary'!B10,0)</f>
        <v>0</v>
      </c>
      <c r="L14" s="9">
        <f>IF(A14='Inputs'!$B$27,'Inputs'!$B$26*(1+'Inputs'!$B$10)^(A14-1),0)</f>
        <v>0</v>
      </c>
      <c r="M14" s="9">
        <f>IF(A14='Inputs'!$B$2,(F14*(1+'Inputs'!$B$9)*(1-'Inputs'!$B$25)-H14*(1+'Inputs'!$B$10))/'Inputs'!$B$28*(1-'Inputs'!$B$29),0)</f>
        <v>0</v>
      </c>
      <c r="N14" s="9">
        <f>IF(A14='Inputs'!$B$2,'Inputs'!$B$19,0)</f>
        <v>0</v>
      </c>
      <c r="O14" s="9">
        <f>I14-J14-K14-L14+M14+N14</f>
        <v>648753.1121890247</v>
      </c>
      <c r="P14" s="9">
        <f>P13+O14</f>
        <v>75501.30140491133</v>
      </c>
      <c r="Q14" s="9">
        <f>1/(1+'Inputs'!$B$11)^A14</f>
        <v>0.444011959240735</v>
      </c>
      <c r="R14" s="9">
        <f>O14*Q14</f>
        <v>288054.1404065732</v>
      </c>
      <c r="S14" s="9">
        <f>S13+R14</f>
        <v>-2221120.527270177</v>
      </c>
      <c r="T14" s="12">
        <f>IF(AND(P14&gt;=0,P13&lt;0),A14-1-P13/O14,999)</f>
        <v>11.883620902950039</v>
      </c>
      <c r="U14" s="12">
        <f>IF(AND(S14&gt;=0,S13&lt;0),A14-1-S13/R14,999)</f>
        <v>999</v>
      </c>
    </row>
    <row r="15">
      <c r="A15" s="3" t="n">
        <v>13</v>
      </c>
      <c r="B15" s="10">
        <f>ROUNDUP('Inputs'!$B$3*'Inputs'!$B$4,0)</f>
        <v>20</v>
      </c>
      <c r="C15" s="10">
        <f>'Inputs'!$B$3-B15</f>
        <v>80</v>
      </c>
      <c r="D15" s="10">
        <f>IF(A15=0,0,C15*'Inputs'!$B$5*'Inputs'!$B$7*'Inputs'!$B$8*(1+'Inputs'!$B$9)^(A15-1))</f>
        <v>751813.735816677</v>
      </c>
      <c r="E15" s="10">
        <f>IF(A15=0,0,B15*'Inputs'!$B$6*'Inputs'!$B$7*'Inputs'!$B$8*(1+'Inputs'!$B$9)^(A15-1))</f>
        <v>130121.60812211716</v>
      </c>
      <c r="F15" s="10">
        <f>D15+E15</f>
        <v>881935.3439387941</v>
      </c>
      <c r="G15" s="10">
        <f>F15*'Inputs'!$B$25</f>
        <v>52916.12063632764</v>
      </c>
      <c r="H15" s="10">
        <f>IF(A15=0,0,('Inputs'!$B$3*('Inputs'!$B$20+'Inputs'!$B$21)+'Inputs'!$B$22+'Inputs'!$B$23+'Inputs'!$B$24)*(1+'Inputs'!$B$10)^(A15-1))</f>
        <v>168111.10303078714</v>
      </c>
      <c r="I15" s="10">
        <f>F15-G15-H15</f>
        <v>660908.1202716792</v>
      </c>
      <c r="J15" s="10">
        <f>MAX(0,I15)*'Inputs'!$B$30</f>
        <v>0.0</v>
      </c>
      <c r="K15" s="10">
        <f>IF(A15=0,'Cost summary'!B10,0)</f>
        <v>0</v>
      </c>
      <c r="L15" s="10">
        <f>IF(A15='Inputs'!$B$27,'Inputs'!$B$26*(1+'Inputs'!$B$10)^(A15-1),0)</f>
        <v>0</v>
      </c>
      <c r="M15" s="10">
        <f>IF(A15='Inputs'!$B$2,(F15*(1+'Inputs'!$B$9)*(1-'Inputs'!$B$25)-H15*(1+'Inputs'!$B$10))/'Inputs'!$B$28*(1-'Inputs'!$B$29),0)</f>
        <v>0</v>
      </c>
      <c r="N15" s="10">
        <f>IF(A15='Inputs'!$B$2,'Inputs'!$B$19,0)</f>
        <v>0</v>
      </c>
      <c r="O15" s="10">
        <f>I15-J15-K15-L15+M15+N15</f>
        <v>660908.1202716792</v>
      </c>
      <c r="P15" s="10">
        <f>P14+O15</f>
        <v>736409.4216765906</v>
      </c>
      <c r="Q15" s="10">
        <f>1/(1+'Inputs'!$B$11)^A15</f>
        <v>0.41496444788853737</v>
      </c>
      <c r="R15" s="10">
        <f>O15*Q15</f>
        <v>274253.3732335884</v>
      </c>
      <c r="S15" s="10">
        <f>S14+R15</f>
        <v>-1946867.1540365885</v>
      </c>
      <c r="T15" s="12">
        <f>IF(AND(P15&gt;=0,P14&lt;0),A15-1-P14/O15,999)</f>
        <v>999</v>
      </c>
      <c r="U15" s="12">
        <f>IF(AND(S15&gt;=0,S14&lt;0),A15-1-S14/R15,999)</f>
        <v>999</v>
      </c>
    </row>
    <row r="16">
      <c r="A16" s="2" t="n">
        <v>14</v>
      </c>
      <c r="B16" s="9">
        <f>ROUNDUP('Inputs'!$B$3*'Inputs'!$B$4,0)</f>
        <v>20</v>
      </c>
      <c r="C16" s="9">
        <f>'Inputs'!$B$3-B16</f>
        <v>80</v>
      </c>
      <c r="D16" s="9">
        <f>IF(A16=0,0,C16*'Inputs'!$B$5*'Inputs'!$B$7*'Inputs'!$B$8*(1+'Inputs'!$B$9)^(A16-1))</f>
        <v>766850.0105330106</v>
      </c>
      <c r="E16" s="9">
        <f>IF(A16=0,0,B16*'Inputs'!$B$6*'Inputs'!$B$7*'Inputs'!$B$8*(1+'Inputs'!$B$9)^(A16-1))</f>
        <v>132724.04028455954</v>
      </c>
      <c r="F16" s="9">
        <f>D16+E16</f>
        <v>899574.0508175702</v>
      </c>
      <c r="G16" s="9">
        <f>F16*'Inputs'!$B$25</f>
        <v>53974.44304905421</v>
      </c>
      <c r="H16" s="9">
        <f>IF(A16=0,0,('Inputs'!$B$3*('Inputs'!$B$20+'Inputs'!$B$21)+'Inputs'!$B$22+'Inputs'!$B$23+'Inputs'!$B$24)*(1+'Inputs'!$B$10)^(A16-1))</f>
        <v>172313.88060655678</v>
      </c>
      <c r="I16" s="9">
        <f>F16-G16-H16</f>
        <v>673285.7271619592</v>
      </c>
      <c r="J16" s="9">
        <f>MAX(0,I16)*'Inputs'!$B$30</f>
        <v>0.0</v>
      </c>
      <c r="K16" s="9">
        <f>IF(A16=0,'Cost summary'!B10,0)</f>
        <v>0</v>
      </c>
      <c r="L16" s="9">
        <f>IF(A16='Inputs'!$B$27,'Inputs'!$B$26*(1+'Inputs'!$B$10)^(A16-1),0)</f>
        <v>0</v>
      </c>
      <c r="M16" s="9">
        <f>IF(A16='Inputs'!$B$2,(F16*(1+'Inputs'!$B$9)*(1-'Inputs'!$B$25)-H16*(1+'Inputs'!$B$10))/'Inputs'!$B$28*(1-'Inputs'!$B$29),0)</f>
        <v>0</v>
      </c>
      <c r="N16" s="9">
        <f>IF(A16='Inputs'!$B$2,'Inputs'!$B$19,0)</f>
        <v>0</v>
      </c>
      <c r="O16" s="9">
        <f>I16-J16-K16-L16+M16+N16</f>
        <v>673285.7271619592</v>
      </c>
      <c r="P16" s="9">
        <f>P15+O16</f>
        <v>1409695.1488385499</v>
      </c>
      <c r="Q16" s="9">
        <f>1/(1+'Inputs'!$B$11)^A16</f>
        <v>0.3878172410173246</v>
      </c>
      <c r="R16" s="9">
        <f>O16*Q16</f>
        <v>261111.8131242942</v>
      </c>
      <c r="S16" s="9">
        <f>S15+R16</f>
        <v>-1685755.3409122943</v>
      </c>
      <c r="T16" s="12">
        <f>IF(AND(P16&gt;=0,P15&lt;0),A16-1-P15/O16,999)</f>
        <v>999</v>
      </c>
      <c r="U16" s="12">
        <f>IF(AND(S16&gt;=0,S15&lt;0),A16-1-S15/R16,999)</f>
        <v>999</v>
      </c>
    </row>
    <row r="17">
      <c r="A17" s="3" t="n">
        <v>15</v>
      </c>
      <c r="B17" s="10">
        <f>ROUNDUP('Inputs'!$B$3*'Inputs'!$B$4,0)</f>
        <v>20</v>
      </c>
      <c r="C17" s="10">
        <f>'Inputs'!$B$3-B17</f>
        <v>80</v>
      </c>
      <c r="D17" s="10">
        <f>IF(A17=0,0,C17*'Inputs'!$B$5*'Inputs'!$B$7*'Inputs'!$B$8*(1+'Inputs'!$B$9)^(A17-1))</f>
        <v>782187.0107436707</v>
      </c>
      <c r="E17" s="10">
        <f>IF(A17=0,0,B17*'Inputs'!$B$6*'Inputs'!$B$7*'Inputs'!$B$8*(1+'Inputs'!$B$9)^(A17-1))</f>
        <v>135378.5210902507</v>
      </c>
      <c r="F17" s="10">
        <f>D17+E17</f>
        <v>917565.5318339214</v>
      </c>
      <c r="G17" s="10">
        <f>F17*'Inputs'!$B$25</f>
        <v>55053.93191003529</v>
      </c>
      <c r="H17" s="10">
        <f>IF(A17=0,0,('Inputs'!$B$3*('Inputs'!$B$20+'Inputs'!$B$21)+'Inputs'!$B$22+'Inputs'!$B$23+'Inputs'!$B$24)*(1+'Inputs'!$B$10)^(A17-1))</f>
        <v>176621.7276217207</v>
      </c>
      <c r="I17" s="10">
        <f>F17-G17-H17</f>
        <v>685889.8723021655</v>
      </c>
      <c r="J17" s="10">
        <f>MAX(0,I17)*'Inputs'!$B$30</f>
        <v>0.0</v>
      </c>
      <c r="K17" s="10">
        <f>IF(A17=0,'Cost summary'!B10,0)</f>
        <v>0</v>
      </c>
      <c r="L17" s="10">
        <f>IF(A17='Inputs'!$B$27,'Inputs'!$B$26*(1+'Inputs'!$B$10)^(A17-1),0)</f>
        <v>0</v>
      </c>
      <c r="M17" s="10">
        <f>IF(A17='Inputs'!$B$2,(F17*(1+'Inputs'!$B$9)*(1-'Inputs'!$B$25)-H17*(1+'Inputs'!$B$10))/'Inputs'!$B$28*(1-'Inputs'!$B$29),0)</f>
        <v>0</v>
      </c>
      <c r="N17" s="10">
        <f>IF(A17='Inputs'!$B$2,'Inputs'!$B$19,0)</f>
        <v>0</v>
      </c>
      <c r="O17" s="10">
        <f>I17-J17-K17-L17+M17+N17</f>
        <v>685889.8723021655</v>
      </c>
      <c r="P17" s="10">
        <f>P16+O17</f>
        <v>2095585.0211407153</v>
      </c>
      <c r="Q17" s="10">
        <f>1/(1+'Inputs'!$B$11)^A17</f>
        <v>0.36244601964235945</v>
      </c>
      <c r="R17" s="10">
        <f>O17*Q17</f>
        <v>248598.0541289261</v>
      </c>
      <c r="S17" s="10">
        <f>S16+R17</f>
        <v>-1437157.2867833683</v>
      </c>
      <c r="T17" s="12">
        <f>IF(AND(P17&gt;=0,P16&lt;0),A17-1-P16/O17,999)</f>
        <v>999</v>
      </c>
      <c r="U17" s="12">
        <f>IF(AND(S17&gt;=0,S16&lt;0),A17-1-S16/R17,999)</f>
        <v>999</v>
      </c>
    </row>
    <row r="18">
      <c r="A18" s="2" t="n">
        <v>16</v>
      </c>
      <c r="B18" s="9">
        <f>ROUNDUP('Inputs'!$B$3*'Inputs'!$B$4,0)</f>
        <v>20</v>
      </c>
      <c r="C18" s="9">
        <f>'Inputs'!$B$3-B18</f>
        <v>80</v>
      </c>
      <c r="D18" s="9">
        <f>IF(A18=0,0,C18*'Inputs'!$B$5*'Inputs'!$B$7*'Inputs'!$B$8*(1+'Inputs'!$B$9)^(A18-1))</f>
        <v>797830.7509585442</v>
      </c>
      <c r="E18" s="9">
        <f>IF(A18=0,0,B18*'Inputs'!$B$6*'Inputs'!$B$7*'Inputs'!$B$8*(1+'Inputs'!$B$9)^(A18-1))</f>
        <v>138086.09151205572</v>
      </c>
      <c r="F18" s="9">
        <f>D18+E18</f>
        <v>935916.8424705999</v>
      </c>
      <c r="G18" s="9">
        <f>F18*'Inputs'!$B$25</f>
        <v>56155.010548235994</v>
      </c>
      <c r="H18" s="9">
        <f>IF(A18=0,0,('Inputs'!$B$3*('Inputs'!$B$20+'Inputs'!$B$21)+'Inputs'!$B$22+'Inputs'!$B$23+'Inputs'!$B$24)*(1+'Inputs'!$B$10)^(A18-1))</f>
        <v>181037.2708122637</v>
      </c>
      <c r="I18" s="9">
        <f>F18-G18-H18</f>
        <v>698724.5611101002</v>
      </c>
      <c r="J18" s="9">
        <f>MAX(0,I18)*'Inputs'!$B$30</f>
        <v>0.0</v>
      </c>
      <c r="K18" s="9">
        <f>IF(A18=0,'Cost summary'!B10,0)</f>
        <v>0</v>
      </c>
      <c r="L18" s="9">
        <f>IF(A18='Inputs'!$B$27,'Inputs'!$B$26*(1+'Inputs'!$B$10)^(A18-1),0)</f>
        <v>0</v>
      </c>
      <c r="M18" s="9">
        <f>IF(A18='Inputs'!$B$2,(F18*(1+'Inputs'!$B$9)*(1-'Inputs'!$B$25)-H18*(1+'Inputs'!$B$10))/'Inputs'!$B$28*(1-'Inputs'!$B$29),0)</f>
        <v>0</v>
      </c>
      <c r="N18" s="9">
        <f>IF(A18='Inputs'!$B$2,'Inputs'!$B$19,0)</f>
        <v>0</v>
      </c>
      <c r="O18" s="9">
        <f>I18-J18-K18-L18+M18+N18</f>
        <v>698724.5611101002</v>
      </c>
      <c r="P18" s="9">
        <f>P17+O18</f>
        <v>2794309.582250816</v>
      </c>
      <c r="Q18" s="9">
        <f>1/(1+'Inputs'!$B$11)^A18</f>
        <v>0.3387345977965976</v>
      </c>
      <c r="R18" s="9">
        <f>O18*Q18</f>
        <v>236682.18317823397</v>
      </c>
      <c r="S18" s="9">
        <f>S17+R18</f>
        <v>-1200475.1036051344</v>
      </c>
      <c r="T18" s="12">
        <f>IF(AND(P18&gt;=0,P17&lt;0),A18-1-P17/O18,999)</f>
        <v>999</v>
      </c>
      <c r="U18" s="12">
        <f>IF(AND(S18&gt;=0,S17&lt;0),A18-1-S17/R18,999)</f>
        <v>999</v>
      </c>
    </row>
    <row r="19">
      <c r="A19" s="3" t="n">
        <v>17</v>
      </c>
      <c r="B19" s="10">
        <f>ROUNDUP('Inputs'!$B$3*'Inputs'!$B$4,0)</f>
        <v>20</v>
      </c>
      <c r="C19" s="10">
        <f>'Inputs'!$B$3-B19</f>
        <v>80</v>
      </c>
      <c r="D19" s="10">
        <f>IF(A19=0,0,C19*'Inputs'!$B$5*'Inputs'!$B$7*'Inputs'!$B$8*(1+'Inputs'!$B$9)^(A19-1))</f>
        <v>813787.3659777151</v>
      </c>
      <c r="E19" s="10">
        <f>IF(A19=0,0,B19*'Inputs'!$B$6*'Inputs'!$B$7*'Inputs'!$B$8*(1+'Inputs'!$B$9)^(A19-1))</f>
        <v>140847.81334229684</v>
      </c>
      <c r="F19" s="10">
        <f>D19+E19</f>
        <v>954635.179320012</v>
      </c>
      <c r="G19" s="10">
        <f>F19*'Inputs'!$B$25</f>
        <v>57278.11075920072</v>
      </c>
      <c r="H19" s="10">
        <f>IF(A19=0,0,('Inputs'!$B$3*('Inputs'!$B$20+'Inputs'!$B$21)+'Inputs'!$B$22+'Inputs'!$B$23+'Inputs'!$B$24)*(1+'Inputs'!$B$10)^(A19-1))</f>
        <v>185563.2025825703</v>
      </c>
      <c r="I19" s="10">
        <f>F19-G19-H19</f>
        <v>711793.865978241</v>
      </c>
      <c r="J19" s="10">
        <f>MAX(0,I19)*'Inputs'!$B$30</f>
        <v>0.0</v>
      </c>
      <c r="K19" s="10">
        <f>IF(A19=0,'Cost summary'!B10,0)</f>
        <v>0</v>
      </c>
      <c r="L19" s="10">
        <f>IF(A19='Inputs'!$B$27,'Inputs'!$B$26*(1+'Inputs'!$B$10)^(A19-1),0)</f>
        <v>0</v>
      </c>
      <c r="M19" s="10">
        <f>IF(A19='Inputs'!$B$2,(F19*(1+'Inputs'!$B$9)*(1-'Inputs'!$B$25)-H19*(1+'Inputs'!$B$10))/'Inputs'!$B$28*(1-'Inputs'!$B$29),0)</f>
        <v>0</v>
      </c>
      <c r="N19" s="10">
        <f>IF(A19='Inputs'!$B$2,'Inputs'!$B$19,0)</f>
        <v>0</v>
      </c>
      <c r="O19" s="10">
        <f>I19-J19-K19-L19+M19+N19</f>
        <v>711793.865978241</v>
      </c>
      <c r="P19" s="10">
        <f>P18+O19</f>
        <v>3506103.448229057</v>
      </c>
      <c r="Q19" s="10">
        <f>1/(1+'Inputs'!$B$11)^A19</f>
        <v>0.31657439046410984</v>
      </c>
      <c r="R19" s="10">
        <f>O19*Q19</f>
        <v>225335.70925815392</v>
      </c>
      <c r="S19" s="10">
        <f>S18+R19</f>
        <v>-975139.3943469805</v>
      </c>
      <c r="T19" s="12">
        <f>IF(AND(P19&gt;=0,P18&lt;0),A19-1-P18/O19,999)</f>
        <v>999</v>
      </c>
      <c r="U19" s="12">
        <f>IF(AND(S19&gt;=0,S18&lt;0),A19-1-S18/R19,999)</f>
        <v>999</v>
      </c>
    </row>
    <row r="20">
      <c r="A20" s="2" t="n">
        <v>18</v>
      </c>
      <c r="B20" s="9">
        <f>ROUNDUP('Inputs'!$B$3*'Inputs'!$B$4,0)</f>
        <v>20</v>
      </c>
      <c r="C20" s="9">
        <f>'Inputs'!$B$3-B20</f>
        <v>80</v>
      </c>
      <c r="D20" s="9">
        <f>IF(A20=0,0,C20*'Inputs'!$B$5*'Inputs'!$B$7*'Inputs'!$B$8*(1+'Inputs'!$B$9)^(A20-1))</f>
        <v>830063.1132972694</v>
      </c>
      <c r="E20" s="9">
        <f>IF(A20=0,0,B20*'Inputs'!$B$6*'Inputs'!$B$7*'Inputs'!$B$8*(1+'Inputs'!$B$9)^(A20-1))</f>
        <v>143664.7696091428</v>
      </c>
      <c r="F20" s="9">
        <f>D20+E20</f>
        <v>973727.8829064122</v>
      </c>
      <c r="G20" s="9">
        <f>F20*'Inputs'!$B$25</f>
        <v>58423.67297438473</v>
      </c>
      <c r="H20" s="9">
        <f>IF(A20=0,0,('Inputs'!$B$3*('Inputs'!$B$20+'Inputs'!$B$21)+'Inputs'!$B$22+'Inputs'!$B$23+'Inputs'!$B$24)*(1+'Inputs'!$B$10)^(A20-1))</f>
        <v>190202.2826471345</v>
      </c>
      <c r="I20" s="9">
        <f>F20-G20-H20</f>
        <v>725101.927284893</v>
      </c>
      <c r="J20" s="9">
        <f>MAX(0,I20)*'Inputs'!$B$30</f>
        <v>0.0</v>
      </c>
      <c r="K20" s="9">
        <f>IF(A20=0,'Cost summary'!B10,0)</f>
        <v>0</v>
      </c>
      <c r="L20" s="9">
        <f>IF(A20='Inputs'!$B$27,'Inputs'!$B$26*(1+'Inputs'!$B$10)^(A20-1),0)</f>
        <v>0</v>
      </c>
      <c r="M20" s="9">
        <f>IF(A20='Inputs'!$B$2,(F20*(1+'Inputs'!$B$9)*(1-'Inputs'!$B$25)-H20*(1+'Inputs'!$B$10))/'Inputs'!$B$28*(1-'Inputs'!$B$29),0)</f>
        <v>0</v>
      </c>
      <c r="N20" s="9">
        <f>IF(A20='Inputs'!$B$2,'Inputs'!$B$19,0)</f>
        <v>0</v>
      </c>
      <c r="O20" s="9">
        <f>I20-J20-K20-L20+M20+N20</f>
        <v>725101.927284893</v>
      </c>
      <c r="P20" s="9">
        <f>P19+O20</f>
        <v>4231205.375513949</v>
      </c>
      <c r="Q20" s="9">
        <f>1/(1+'Inputs'!$B$11)^A20</f>
        <v>0.295863916321598</v>
      </c>
      <c r="R20" s="9">
        <f>O20*Q20</f>
        <v>214531.495938847</v>
      </c>
      <c r="S20" s="9">
        <f>S19+R20</f>
        <v>-760607.8984081335</v>
      </c>
      <c r="T20" s="12">
        <f>IF(AND(P20&gt;=0,P19&lt;0),A20-1-P19/O20,999)</f>
        <v>999</v>
      </c>
      <c r="U20" s="12">
        <f>IF(AND(S20&gt;=0,S19&lt;0),A20-1-S19/R20,999)</f>
        <v>999</v>
      </c>
    </row>
    <row r="21">
      <c r="A21" s="3" t="n">
        <v>19</v>
      </c>
      <c r="B21" s="10">
        <f>ROUNDUP('Inputs'!$B$3*'Inputs'!$B$4,0)</f>
        <v>20</v>
      </c>
      <c r="C21" s="10">
        <f>'Inputs'!$B$3-B21</f>
        <v>80</v>
      </c>
      <c r="D21" s="10">
        <f>IF(A21=0,0,C21*'Inputs'!$B$5*'Inputs'!$B$7*'Inputs'!$B$8*(1+'Inputs'!$B$9)^(A21-1))</f>
        <v>846664.3755632149</v>
      </c>
      <c r="E21" s="10">
        <f>IF(A21=0,0,B21*'Inputs'!$B$6*'Inputs'!$B$7*'Inputs'!$B$8*(1+'Inputs'!$B$9)^(A21-1))</f>
        <v>146538.06500132565</v>
      </c>
      <c r="F21" s="10">
        <f>D21+E21</f>
        <v>993202.4405645406</v>
      </c>
      <c r="G21" s="10">
        <f>F21*'Inputs'!$B$25</f>
        <v>59592.14643387243</v>
      </c>
      <c r="H21" s="10">
        <f>IF(A21=0,0,('Inputs'!$B$3*('Inputs'!$B$20+'Inputs'!$B$21)+'Inputs'!$B$22+'Inputs'!$B$23+'Inputs'!$B$24)*(1+'Inputs'!$B$10)^(A21-1))</f>
        <v>194957.33971331286</v>
      </c>
      <c r="I21" s="10">
        <f>F21-G21-H21</f>
        <v>738652.9544173554</v>
      </c>
      <c r="J21" s="10">
        <f>MAX(0,I21)*'Inputs'!$B$30</f>
        <v>0.0</v>
      </c>
      <c r="K21" s="10">
        <f>IF(A21=0,'Cost summary'!B10,0)</f>
        <v>0</v>
      </c>
      <c r="L21" s="10">
        <f>IF(A21='Inputs'!$B$27,'Inputs'!$B$26*(1+'Inputs'!$B$10)^(A21-1),0)</f>
        <v>0</v>
      </c>
      <c r="M21" s="10">
        <f>IF(A21='Inputs'!$B$2,(F21*(1+'Inputs'!$B$9)*(1-'Inputs'!$B$25)-H21*(1+'Inputs'!$B$10))/'Inputs'!$B$28*(1-'Inputs'!$B$29),0)</f>
        <v>0</v>
      </c>
      <c r="N21" s="10">
        <f>IF(A21='Inputs'!$B$2,'Inputs'!$B$19,0)</f>
        <v>0</v>
      </c>
      <c r="O21" s="10">
        <f>I21-J21-K21-L21+M21+N21</f>
        <v>738652.9544173554</v>
      </c>
      <c r="P21" s="10">
        <f>P20+O21</f>
        <v>4969858.329931305</v>
      </c>
      <c r="Q21" s="10">
        <f>1/(1+'Inputs'!$B$11)^A21</f>
        <v>0.2765083330108392</v>
      </c>
      <c r="R21" s="10">
        <f>O21*Q21</f>
        <v>204243.69709947435</v>
      </c>
      <c r="S21" s="10">
        <f>S20+R21</f>
        <v>-556364.2013086592</v>
      </c>
      <c r="T21" s="12">
        <f>IF(AND(P21&gt;=0,P20&lt;0),A21-1-P20/O21,999)</f>
        <v>999</v>
      </c>
      <c r="U21" s="12">
        <f>IF(AND(S21&gt;=0,S20&lt;0),A21-1-S20/R21,999)</f>
        <v>999</v>
      </c>
    </row>
    <row r="22">
      <c r="A22" s="2" t="n">
        <v>20</v>
      </c>
      <c r="B22" s="9">
        <f>ROUNDUP('Inputs'!$B$3*'Inputs'!$B$4,0)</f>
        <v>20</v>
      </c>
      <c r="C22" s="9">
        <f>'Inputs'!$B$3-B22</f>
        <v>80</v>
      </c>
      <c r="D22" s="9">
        <f>IF(A22=0,0,C22*'Inputs'!$B$5*'Inputs'!$B$7*'Inputs'!$B$8*(1+'Inputs'!$B$9)^(A22-1))</f>
        <v>863597.6630744791</v>
      </c>
      <c r="E22" s="9">
        <f>IF(A22=0,0,B22*'Inputs'!$B$6*'Inputs'!$B$7*'Inputs'!$B$8*(1+'Inputs'!$B$9)^(A22-1))</f>
        <v>149468.82630135215</v>
      </c>
      <c r="F22" s="9">
        <f>D22+E22</f>
        <v>1013066.4893758312</v>
      </c>
      <c r="G22" s="9">
        <f>F22*'Inputs'!$B$25</f>
        <v>60783.98936254987</v>
      </c>
      <c r="H22" s="9">
        <f>IF(A22=0,0,('Inputs'!$B$3*('Inputs'!$B$20+'Inputs'!$B$21)+'Inputs'!$B$22+'Inputs'!$B$23+'Inputs'!$B$24)*(1+'Inputs'!$B$10)^(A22-1))</f>
        <v>199831.27320614565</v>
      </c>
      <c r="I22" s="9">
        <f>F22-G22-H22</f>
        <v>752451.2268071357</v>
      </c>
      <c r="J22" s="9">
        <f>MAX(0,I22)*'Inputs'!$B$30</f>
        <v>0.0</v>
      </c>
      <c r="K22" s="9">
        <f>IF(A22=0,'Cost summary'!B10,0)</f>
        <v>0</v>
      </c>
      <c r="L22" s="9">
        <f>IF(A22='Inputs'!$B$27,'Inputs'!$B$26*(1+'Inputs'!$B$10)^(A22-1),0)</f>
        <v>0</v>
      </c>
      <c r="M22" s="9">
        <f>IF(A22='Inputs'!$B$2,(F22*(1+'Inputs'!$B$9)*(1-'Inputs'!$B$25)-H22*(1+'Inputs'!$B$10))/'Inputs'!$B$28*(1-'Inputs'!$B$29),0)</f>
        <v>13657655.874140048</v>
      </c>
      <c r="N22" s="9">
        <f>IF(A22='Inputs'!$B$2,'Inputs'!$B$19,0)</f>
        <v>25000</v>
      </c>
      <c r="O22" s="9">
        <f>I22-J22-K22-L22+M22+N22</f>
        <v>14435107.100947184</v>
      </c>
      <c r="P22" s="9">
        <f>P21+O22</f>
        <v>19404965.43087849</v>
      </c>
      <c r="Q22" s="9">
        <f>1/(1+'Inputs'!$B$11)^A22</f>
        <v>0.2584190028138684</v>
      </c>
      <c r="R22" s="9">
        <f>O22*Q22</f>
        <v>3730305.9825381627</v>
      </c>
      <c r="S22" s="9">
        <f>S21+R22</f>
        <v>3173941.7812295035</v>
      </c>
      <c r="T22" s="12">
        <f>IF(AND(P22&gt;=0,P21&lt;0),A22-1-P21/O22,999)</f>
        <v>999</v>
      </c>
      <c r="U22" s="12">
        <f>IF(AND(S22&gt;=0,S21&lt;0),A22-1-S21/R22,999)</f>
        <v>19.14914706834052</v>
      </c>
    </row>
  </sheetData>
  <autoFilter ref="A1:S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ht="32" customHeight="1">
      <c r="A1" s="1" t="inlineStr">
        <is>
          <t>Candidate</t>
        </is>
      </c>
      <c r="B1" s="1" t="inlineStr">
        <is>
          <t>VUB Etterbeek min</t>
        </is>
      </c>
      <c r="C1" s="1" t="inlineStr">
        <is>
          <t>ULB Solbosch min</t>
        </is>
      </c>
      <c r="D1" s="1" t="inlineStr">
        <is>
          <t>VUB Jette min</t>
        </is>
      </c>
      <c r="E1" s="1" t="inlineStr">
        <is>
          <t>Weighted commute min</t>
        </is>
      </c>
      <c r="F1" s="1" t="inlineStr">
        <is>
          <t>Status</t>
        </is>
      </c>
    </row>
    <row r="2" ht="42" customHeight="1">
      <c r="A2" s="2" t="inlineStr">
        <is>
          <t>Etterbeek / Ixelles</t>
        </is>
      </c>
      <c r="B2" s="2" t="n">
        <v>10</v>
      </c>
      <c r="C2" s="2" t="n">
        <v>15</v>
      </c>
      <c r="D2" s="2" t="n">
        <v>50</v>
      </c>
      <c r="E2" s="9">
        <f>SUMPRODUCT(B2:D2,$B$7:$D$7)</f>
        <v>16.25</v>
      </c>
      <c r="F2" s="2" t="inlineStr">
        <is>
          <t>Illustrative times; provisional candidate</t>
        </is>
      </c>
    </row>
    <row r="3" ht="42" customHeight="1">
      <c r="A3" s="3" t="inlineStr">
        <is>
          <t>Brussels centre</t>
        </is>
      </c>
      <c r="B3" s="3" t="n">
        <v>25</v>
      </c>
      <c r="C3" s="3" t="n">
        <v>30</v>
      </c>
      <c r="D3" s="3" t="n">
        <v>30</v>
      </c>
      <c r="E3" s="10">
        <f>SUMPRODUCT(B3:D3,$B$7:$D$7)</f>
        <v>27.75</v>
      </c>
      <c r="F3" s="3" t="inlineStr">
        <is>
          <t>Illustrative times</t>
        </is>
      </c>
    </row>
    <row r="4" ht="42" customHeight="1">
      <c r="A4" s="2" t="inlineStr">
        <is>
          <t>Jette</t>
        </is>
      </c>
      <c r="B4" s="2" t="n">
        <v>50</v>
      </c>
      <c r="C4" s="2" t="n">
        <v>55</v>
      </c>
      <c r="D4" s="2" t="n">
        <v>10</v>
      </c>
      <c r="E4" s="9">
        <f>SUMPRODUCT(B4:D4,$B$7:$D$7)</f>
        <v>48.25</v>
      </c>
      <c r="F4" s="2" t="inlineStr">
        <is>
          <t>Illustrative times</t>
        </is>
      </c>
    </row>
    <row r="5" ht="42" customHeight="1">
      <c r="A5" s="3" t="inlineStr">
        <is>
          <t>Travel times are assumptions, not verified transit measurements.</t>
        </is>
      </c>
      <c r="B5" s="3" t="n"/>
      <c r="C5" s="3" t="n"/>
      <c r="D5" s="3" t="n"/>
      <c r="E5" s="3" t="n"/>
      <c r="F5" s="3" t="n"/>
    </row>
    <row r="6" ht="42" customHeight="1">
      <c r="A6" s="2" t="inlineStr">
        <is>
          <t>Weights reflect target students; change to match institution agreements.</t>
        </is>
      </c>
      <c r="B6" s="2" t="n"/>
      <c r="C6" s="2" t="n"/>
      <c r="D6" s="2" t="n"/>
      <c r="E6" s="2" t="n"/>
      <c r="F6" s="2" t="n"/>
    </row>
    <row r="7" ht="42" customHeight="1">
      <c r="A7" s="3" t="inlineStr">
        <is>
          <t>Student weights</t>
        </is>
      </c>
      <c r="B7" s="3" t="n">
        <v>0.45</v>
      </c>
      <c r="C7" s="3" t="n">
        <v>0.45</v>
      </c>
      <c r="D7" s="3" t="n">
        <v>0.1</v>
      </c>
      <c r="E7" s="10">
        <f>SUM(B7:D7)</f>
        <v>1</v>
      </c>
      <c r="F7" s="3" t="inlineStr">
        <is>
          <t>Weights must sum to 1</t>
        </is>
      </c>
    </row>
    <row r="8" ht="42" customHeight="1">
      <c r="A8" s="2" t="inlineStr">
        <is>
          <t>Lowest weighted commute</t>
        </is>
      </c>
      <c r="B8" s="9">
        <f>MIN(E2:E4)</f>
        <v>16.25</v>
      </c>
      <c r="C8" s="2" t="n"/>
      <c r="D8" s="2" t="n"/>
      <c r="E8" s="2" t="n"/>
      <c r="F8" s="2" t="n"/>
    </row>
    <row r="9" ht="42" customHeight="1">
      <c r="A9" s="3" t="inlineStr">
        <is>
          <t>Preferred candidate</t>
        </is>
      </c>
      <c r="B9" s="10" t="str">
        <f>INDEX(A2:A4,MATCH(B8,E2:E4,0))</f>
        <v>Etterbeek / Ixelles</v>
      </c>
      <c r="C9" s="3" t="n"/>
      <c r="D9" s="3" t="n"/>
      <c r="E9" s="3" t="n"/>
      <c r="F9" s="3" t="n"/>
    </row>
  </sheetData>
  <autoFilter ref="A1:A1"/>
  <pageMargins left="0.75" right="0.75" top="1" bottom="1" header="0.5" footer="0.5"/>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D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65" customWidth="1" min="2" max="2"/>
    <col width="55" customWidth="1" min="3" max="3"/>
    <col width="70" customWidth="1" min="4" max="4"/>
  </cols>
  <sheetData>
    <row r="1" ht="32" customHeight="1">
      <c r="A1" s="1" t="inlineStr">
        <is>
          <t>TOPIC</t>
        </is>
      </c>
      <c r="B1" s="1" t="inlineStr">
        <is>
          <t>SOURCE / URL</t>
        </is>
      </c>
      <c r="C1" s="1" t="inlineStr">
        <is>
          <t>STATUS</t>
        </is>
      </c>
      <c r="D1" s="1" t="inlineStr">
        <is>
          <t>MODEL IMPLICATION</t>
        </is>
      </c>
    </row>
    <row r="2" ht="78" customHeight="1">
      <c r="A2" s="2" t="inlineStr">
        <is>
          <t>All financial inputs</t>
        </is>
      </c>
      <c r="B2" s="2" t="inlineStr">
        <is>
          <t>Analyst assumptions</t>
        </is>
      </c>
      <c r="C2" s="2" t="inlineStr">
        <is>
          <t>Unverified</t>
        </is>
      </c>
      <c r="D2" s="2" t="inlineStr">
        <is>
          <t>Replace with actual quotations; no claim of market accuracy</t>
        </is>
      </c>
    </row>
    <row r="3" ht="78" customHeight="1">
      <c r="A3" s="3" t="inlineStr">
        <is>
          <t>Social room quota</t>
        </is>
      </c>
      <c r="B3" s="13" t="inlineStr">
        <is>
          <t>https://www.bruxelles.be/sites/default/files/bxl/Recommandations_logements_etudiants_VBX_17juin2021.pdf</t>
        </is>
      </c>
      <c r="C3" s="3" t="inlineStr">
        <is>
          <t>City guidance, 17 June 2021; search-index excerpt; full PDF fetch blocked</t>
        </is>
      </c>
      <c r="D3" s="3" t="inlineStr">
        <is>
          <t>20% social student units from 30 units; City of Brussels scope. Confirm current permit conditions locally.</t>
        </is>
      </c>
    </row>
    <row r="4" ht="78" customHeight="1">
      <c r="A4" s="3" t="inlineStr">
        <is>
          <t>Registration duty</t>
        </is>
      </c>
      <c r="B4" s="13" t="inlineStr">
        <is>
          <t>https://be.brussels/fr/impots-financement/impots-et-taxes/fiscalite-immobiliere/droits-denregistrement</t>
        </is>
      </c>
      <c r="C4" s="3" t="inlineStr">
        <is>
          <t>Official Brussels Region; reviewed 2026-10-14</t>
        </is>
      </c>
      <c r="D4" s="3" t="inlineStr">
        <is>
          <t>Standard rate 12.5%; applied to acquisition proxy; transaction basis needs notary confirmation.</t>
        </is>
      </c>
    </row>
    <row r="5" ht="78" customHeight="1">
      <c r="A5" s="3" t="inlineStr">
        <is>
          <t>VAT alternative</t>
        </is>
      </c>
      <c r="B5" s="13" t="inlineStr">
        <is>
          <t>https://financien.belgium.be/fr/particuliers/habitation/acheter-vendre/droits-enregistrement/bruxelles</t>
        </is>
      </c>
      <c r="C5" s="3" t="inlineStr">
        <is>
          <t>Federal Finance; reviewed 2026-10-14</t>
        </is>
      </c>
      <c r="D5" s="3" t="inlineStr">
        <is>
          <t>New property purchase may trigger VAT instead of registration duty. Avoid double counting.</t>
        </is>
      </c>
    </row>
    <row r="6" ht="78" customHeight="1">
      <c r="A6" s="3" t="inlineStr">
        <is>
          <t>Student quality label</t>
        </is>
      </c>
      <c r="B6" s="13" t="inlineStr">
        <is>
          <t>https://be.brussels/en/housing/rental/conformity-for-rental-properties/ensuring-quality-student-housing</t>
        </is>
      </c>
      <c r="C6" s="3" t="inlineStr">
        <is>
          <t>Official Brussels Region; reviewed 2026-10-14</t>
        </is>
      </c>
      <c r="D6" s="3" t="inlineStr">
        <is>
          <t>Housing Code conformity, compliant student lease and valid EPB required for label application; label lasts five years.</t>
        </is>
      </c>
    </row>
    <row r="7" ht="78" customHeight="1">
      <c r="A7" s="3" t="inlineStr">
        <is>
          <t>Student social eligibility</t>
        </is>
      </c>
      <c r="B7" s="13" t="inlineStr">
        <is>
          <t>https://www.vub.be/sites/default/files/2026-04/2026_Huurinformatie_VUB_Koten_Handleiding_aanvraag_SVKS_ENG_0.pdf</t>
        </is>
      </c>
      <c r="C7" s="3" t="inlineStr">
        <is>
          <t>VUB 2026 SVKS guidance; reviewed search excerpt</t>
        </is>
      </c>
      <c r="D7" s="3" t="inlineStr">
        <is>
          <t>SVKS route requires student enrolment and social income eligibility; use VUB/AISE to validate allocation rules.</t>
        </is>
      </c>
    </row>
    <row r="8" ht="78" customHeight="1">
      <c r="A8" s="3" t="inlineStr">
        <is>
          <t>Institution collaboration</t>
        </is>
      </c>
      <c r="B8" s="13" t="inlineStr">
        <is>
          <t>https://www.ulb.be/medias/fichier/20250725-ulb-environnement-et-mobilite-rapport-de-durabilite-en_1753692398626-pdf?ID_FICHE=1020633&amp;INLINE=FALSE</t>
        </is>
      </c>
      <c r="C8" s="3" t="inlineStr">
        <is>
          <t>ULB sustainability report 2025; reviewed search excerpt</t>
        </is>
      </c>
      <c r="D8" s="3" t="inlineStr">
        <is>
          <t>ULB describes AISE partnership. Candidate counterpart, not a secured agreement for this project.</t>
        </is>
      </c>
    </row>
    <row r="9" ht="78" customHeight="1">
      <c r="A9" s="3" t="inlineStr">
        <is>
          <t>AISE contact</t>
        </is>
      </c>
      <c r="B9" s="13" t="inlineStr">
        <is>
          <t>https://www.aise-svks.brussels/proprietaires/</t>
        </is>
      </c>
      <c r="C9" s="3" t="inlineStr">
        <is>
          <t>Site under construction when checked 2026-10-14</t>
        </is>
      </c>
      <c r="D9" s="3" t="inlineStr">
        <is>
          <t>Published contact info@aise-svks.brussels; negotiate landlord contract, allocation and rent terms.</t>
        </is>
      </c>
    </row>
    <row r="10" ht="78" customHeight="1">
      <c r="A10" s="3" t="inlineStr">
        <is>
          <t>Municipal housing tax</t>
        </is>
      </c>
      <c r="B10" s="13" t="inlineStr">
        <is>
          <t>https://www.brussels.be/student-housing</t>
        </is>
      </c>
      <c r="C10" s="3" t="inlineStr">
        <is>
          <t>City of Brussels; reviewed 2026-10-14</t>
        </is>
      </c>
      <c r="D10" s="3" t="inlineStr">
        <is>
          <t>City distinguishes student second-home exemption from furnished letting tax on landlord. Check municipality of actual site.</t>
        </is>
      </c>
    </row>
    <row r="11" ht="78" customHeight="1">
      <c r="A11" s="3" t="inlineStr">
        <is>
          <t>Travel / financial market data</t>
        </is>
      </c>
      <c r="B11" s="3" t="inlineStr">
        <is>
          <t>Analyst scenario assumptions</t>
        </is>
      </c>
      <c r="C11" s="3" t="inlineStr">
        <is>
          <t>Not independently measured or quoted</t>
        </is>
      </c>
      <c r="D11" s="3" t="inlineStr">
        <is>
          <t>Rents, capital costs and travel times are illustrative; require property quotations and timetable measurements.</t>
        </is>
      </c>
    </row>
  </sheetData>
  <autoFilter ref="A1:A1"/>
  <hyperlinks>
    <hyperlink ref="B3" r:id="rId1"/>
    <hyperlink ref="B4" r:id="rId2"/>
    <hyperlink ref="B5" r:id="rId3"/>
    <hyperlink ref="B6" r:id="rId4"/>
    <hyperlink ref="B7" r:id="rId5"/>
    <hyperlink ref="B8" r:id="rId6"/>
    <hyperlink ref="B9" r:id="rId7"/>
    <hyperlink ref="B10"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0" customWidth="1" min="1" max="1"/>
    <col width="110" customWidth="1" min="2" max="2"/>
  </cols>
  <sheetData>
    <row r="1" ht="32" customHeight="1">
      <c r="A1" s="1" t="inlineStr">
        <is>
          <t>REUSABLE PROJECT PROMPT</t>
        </is>
      </c>
    </row>
    <row r="2" ht="280" customHeight="1">
      <c r="A2" s="2" t="inlineStr">
        <is>
          <t>Build an auditable Excel workbook for the VUB master course Decision Analytics: a basic student housing investment in Brussels over 20 years. Include cost summary, editable inputs, annual mathematical cash flow model with cumulative and discounted cash flows, and a final results tab for NPV, IRR, simple and discounted payback. Separate market and social rooms, rents, occupancy, escalation, acquisition, works, transaction costs, management, maintenance, taxes, replacement capital expenditure, working capital and terminal sale. Use year 0 investment and years 1–20 operations. Document every assumption and cite official sources for any legal claims. Do not invent a minimum social housing percentage: provide a separate editable required quota and a verification flag, and identify project-specific planning and university agreement checks. Compare candidate locations using student-weighted commute times to VUB/ULB campuses, clearly marking unverified travel times. Distinguish unlevered project returns from financed equity returns. Include an investment recommendation conditional on financial and legal assumptions. Save as model.xlsx. Note the City of Brussels 2021 student housing recommendations specify a 20% social share from 30 units; verify current applicability to the selected municipality and permit. Supply a numeric baseline while keeping formulas editable, show the impact of excluding terminal sale, and provide a source and status for each legal assumption.</t>
        </is>
      </c>
    </row>
  </sheetData>
  <autoFilter ref="A1:A1"/>
  <pageMargins left="0.75" right="0.75" top="1" bottom="1" header="0.5" footer="0.5"/>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C1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66" customWidth="1" min="3" max="3"/>
  </cols>
  <sheetData>
    <row r="1" ht="32" customHeight="1">
      <c r="A1" s="1" t="inlineStr">
        <is>
          <t>RESULT</t>
        </is>
      </c>
      <c r="B1" s="1" t="inlineStr">
        <is>
          <t>VALUE</t>
        </is>
      </c>
      <c r="C1" s="1" t="inlineStr">
        <is>
          <t>INTERPRETATION</t>
        </is>
      </c>
    </row>
    <row r="2" ht="38" customHeight="1">
      <c r="A2" s="2" t="inlineStr">
        <is>
          <t>NPV</t>
        </is>
      </c>
      <c r="B2" s="9">
        <f>SUM(Model!R2:R22)</f>
        <v>3173941.7812295035</v>
      </c>
      <c r="C2" s="2" t="inlineStr">
        <is>
          <t>Nominal discount rate; includes exit</t>
        </is>
      </c>
    </row>
    <row r="3" ht="38" customHeight="1">
      <c r="A3" s="3" t="inlineStr">
        <is>
          <t>IRR</t>
        </is>
      </c>
      <c r="B3" s="8">
        <f>IFERROR(IRR(Model!O2:O22),"No IRR")</f>
        <v>0.10516992116250246</v>
      </c>
      <c r="C3" s="3" t="inlineStr">
        <is>
          <t>Annual project return; includes exit</t>
        </is>
      </c>
    </row>
    <row r="4" ht="38" customHeight="1">
      <c r="A4" s="2" t="inlineStr">
        <is>
          <t>Initial investment</t>
        </is>
      </c>
      <c r="B4" s="9">
        <f>'Cost summary'!B10</f>
        <v>6655000.0</v>
      </c>
      <c r="C4" s="2" t="inlineStr">
        <is>
          <t>Year 0 outflow</t>
        </is>
      </c>
    </row>
    <row r="5" ht="38" customHeight="1">
      <c r="A5" s="3" t="inlineStr">
        <is>
          <t>Year 1 NOI</t>
        </is>
      </c>
      <c r="B5" s="10">
        <f>Model!I3</f>
        <v>528676.0</v>
      </c>
      <c r="C5" s="3" t="inlineStr">
        <is>
          <t>Revenue less operating costs</t>
        </is>
      </c>
    </row>
    <row r="6" ht="38" customHeight="1">
      <c r="A6" s="2" t="inlineStr">
        <is>
          <t>Net exit proceeds</t>
        </is>
      </c>
      <c r="B6" s="9">
        <f>Model!M22</f>
        <v>13657655.874140048</v>
      </c>
      <c r="C6" s="2" t="inlineStr">
        <is>
          <t>Year 21 NOI / exit cap rate less sale costs</t>
        </is>
      </c>
    </row>
    <row r="7" ht="38" customHeight="1">
      <c r="A7" s="3" t="inlineStr">
        <is>
          <t>NPV excluding exit</t>
        </is>
      </c>
      <c r="B7" s="10">
        <f>B2-Model!M22*Model!Q22</f>
        <v>-355456.0305407401</v>
      </c>
      <c r="C7" s="3" t="inlineStr">
        <is>
          <t>Shows dependence on disposal</t>
        </is>
      </c>
    </row>
    <row r="8" ht="38" customHeight="1">
      <c r="A8" s="2" t="inlineStr">
        <is>
          <t>Simple payback years</t>
        </is>
      </c>
      <c r="B8" s="9">
        <f>IF(MIN(Model!T2:T22)=999,"Not reached in 20 years",MIN(Model!T2:T22))</f>
        <v>11.883620902950039</v>
      </c>
      <c r="C8" s="2" t="inlineStr">
        <is>
          <t>Linear interpolation; includes sale</t>
        </is>
      </c>
    </row>
    <row r="9" ht="38" customHeight="1">
      <c r="A9" s="3" t="inlineStr">
        <is>
          <t>Discounted payback years</t>
        </is>
      </c>
      <c r="B9" s="10">
        <f>IF(MIN(Model!U2:U22)=999,"Not reached in 20 years",MIN(Model!U2:U22))</f>
        <v>19.14914706834052</v>
      </c>
      <c r="C9" s="3" t="inlineStr">
        <is>
          <t>Linear interpolation; includes sale</t>
        </is>
      </c>
    </row>
    <row r="10" ht="38" customHeight="1">
      <c r="A10" s="2" t="inlineStr">
        <is>
          <t>Financial indication</t>
        </is>
      </c>
      <c r="B10" s="9" t="str">
        <f>IF(B2&gt;0,"Positive NPV","Negative / zero NPV")</f>
        <v>Positive NPV</v>
      </c>
      <c r="C10" s="2" t="inlineStr">
        <is>
          <t>At selected discount rate</t>
        </is>
      </c>
    </row>
    <row r="11" ht="38" customHeight="1">
      <c r="A11" s="3" t="inlineStr">
        <is>
          <t>Social / partnership status</t>
        </is>
      </c>
      <c r="B11" s="10" t="str">
        <f>IF(AND('Inputs'!$B$32=1,'Inputs'!$B$33=1,'Inputs'!$B$4&gt;='Inputs'!$B$31),"Checks recorded","Pending verification / agreement")</f>
        <v>Pending verification / agreement</v>
      </c>
      <c r="C11" s="3" t="inlineStr">
        <is>
          <t>No automatic legal certification</t>
        </is>
      </c>
    </row>
    <row r="12" ht="38" customHeight="1">
      <c r="A12" s="2" t="inlineStr">
        <is>
          <t>Provisional location</t>
        </is>
      </c>
      <c r="B12" s="9" t="str">
        <f>Locations!B9</f>
        <v>Etterbeek / Ixelles</v>
      </c>
      <c r="C12" s="2" t="inlineStr">
        <is>
          <t>Among illustrative candidates only</t>
        </is>
      </c>
    </row>
    <row r="13" ht="38" customHeight="1">
      <c r="A13" s="3" t="inlineStr">
        <is>
          <t>Location constraint</t>
        </is>
      </c>
      <c r="B13" s="10" t="str">
        <f>IF(Locations!B8&lt;='Inputs'!$B$34,"Meets assumed target","Above target")</f>
        <v>Meets assumed target</v>
      </c>
      <c r="C13" s="3" t="inlineStr">
        <is>
          <t>Assumed student weights and times</t>
        </is>
      </c>
    </row>
    <row r="14" ht="38" customHeight="1">
      <c r="A14" s="2" t="inlineStr">
        <is>
          <t>Decision</t>
        </is>
      </c>
      <c r="B14" s="9" t="str">
        <f>IF(AND(B2&gt;0,'Inputs'!$B$32=1,'Inputs'!$B$33=1,'Inputs'!$B$4&gt;='Inputs'!$B$31,Locations!B8&lt;='Inputs'!$B$34),"Proceed to detailed due diligence","Revise / verify before committing")</f>
        <v>Revise / verify before committing</v>
      </c>
      <c r="C14" s="2" t="inlineStr">
        <is>
          <t>Screening only</t>
        </is>
      </c>
    </row>
    <row r="15" ht="38" customHeight="1">
      <c r="A15" s="3" t="n"/>
      <c r="B15" s="3" t="n"/>
      <c r="C15" s="3" t="n"/>
    </row>
    <row r="16" ht="38" customHeight="1">
      <c r="A16" s="3" t="inlineStr">
        <is>
          <t>Total undiscounted net cash</t>
        </is>
      </c>
      <c r="B16" s="10">
        <f>SUM(Model!O2:O22)</f>
        <v>19404965.43087849</v>
      </c>
      <c r="C16" s="3" t="inlineStr">
        <is>
          <t>Includes initial investment and disposal</t>
        </is>
      </c>
    </row>
    <row r="17" ht="38" customHeight="1">
      <c r="A17" s="3" t="inlineStr">
        <is>
          <t>Social rooms</t>
        </is>
      </c>
      <c r="B17" s="10">
        <f>Model!B3</f>
        <v>20</v>
      </c>
      <c r="C17" s="3" t="inlineStr">
        <is>
          <t>Rounded up to whole rooms</t>
        </is>
      </c>
    </row>
    <row r="18" ht="38" customHeight="1">
      <c r="A18" s="3" t="inlineStr">
        <is>
          <t>Cumulative operations at year 20</t>
        </is>
      </c>
      <c r="B18" s="10">
        <f>Model!P22-Model!M22-Model!N22</f>
        <v>5722309.556738442</v>
      </c>
      <c r="C18" s="3" t="inlineStr">
        <is>
          <t>Excludes sale proceeds and working capital release</t>
        </is>
      </c>
    </row>
    <row r="19" ht="38" customHeight="1">
      <c r="A19" s="3" t="inlineStr">
        <is>
          <t>Model checks</t>
        </is>
      </c>
      <c r="B19" s="10" t="str">
        <f>IF(AND('Inputs'!$B$2=20,Locations!E7=1,Model!B3+Model!C3='Inputs'!$B$3),"OK","CHECK INPUTS")</f>
        <v>OK</v>
      </c>
      <c r="C19" s="3" t="inlineStr">
        <is>
          <t>20-year horizon, student weights sum to 1, room counts reconcile</t>
        </is>
      </c>
    </row>
  </sheetData>
  <autoFilter ref="A1:A1"/>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2026-10-14T19:26:55Z</dcterms:created>
  <dcterms:modified xsi:type="dcterms:W3CDTF">2026-10-14T19:28:40Z</dcterms:modified>
</cp:coreProperties>
</file>