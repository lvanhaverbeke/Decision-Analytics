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Read me" sheetId="1" state="visible" r:id="rId1"/>
    <sheet name="Inputs" sheetId="2" state="visible" r:id="rId2"/>
    <sheet name="Room mix" sheetId="3" state="visible" r:id="rId3"/>
    <sheet name="Development" sheetId="4" state="visible" r:id="rId4"/>
    <sheet name="Cash flow" sheetId="5" state="visible" r:id="rId5"/>
    <sheet name="Dashboard" sheetId="6" state="visible" r:id="rId6"/>
    <sheet name="Sources" sheetId="7" state="visible" r:id="rId7"/>
    <sheet name="Demand &amp; competition" sheetId="8" state="visible" r:id="rId8"/>
    <sheet name="Rent rules" sheetId="9" state="visible" r:id="rId9"/>
    <sheet name="Scenarios" sheetId="10" state="visible" r:id="rId10"/>
    <sheet name="Sensitivity" sheetId="11" state="visible" r:id="rId11"/>
    <sheet name="Checks" sheetId="12" state="visible" r:id="rId12"/>
    <sheet name="Capacity options" sheetId="13" state="visible" r:id="rId13"/>
  </sheets>
  <definedNames>
    <definedName name="_xlnm._FilterDatabase" localSheetId="0" hidden="1">'Read me'!$A$1:$A$18</definedName>
    <definedName name="_xlnm.Print_Titles" localSheetId="0">'Read me'!$1:$1</definedName>
    <definedName name="_xlnm._FilterDatabase" localSheetId="1" hidden="1">'Inputs'!$A$1:$C$36</definedName>
    <definedName name="_xlnm.Print_Titles" localSheetId="1">'Inputs'!$1:$1</definedName>
    <definedName name="_xlnm._FilterDatabase" localSheetId="2" hidden="1">'Room mix'!$A$1:$H$5</definedName>
    <definedName name="_xlnm.Print_Titles" localSheetId="2">'Room mix'!$1:$1</definedName>
    <definedName name="_xlnm._FilterDatabase" localSheetId="3" hidden="1">'Development'!$A$1:$B$16</definedName>
    <definedName name="_xlnm.Print_Titles" localSheetId="3">'Development'!$1:$1</definedName>
    <definedName name="_xlnm._FilterDatabase" localSheetId="4" hidden="1">'Cash flow'!$A$1:$R$26</definedName>
    <definedName name="_xlnm.Print_Titles" localSheetId="4">'Cash flow'!$1:$1</definedName>
    <definedName name="_xlnm._FilterDatabase" localSheetId="5" hidden="1">'Dashboard'!$A$1:$B$23</definedName>
    <definedName name="_xlnm.Print_Titles" localSheetId="5">'Dashboard'!$1:$1</definedName>
    <definedName name="_xlnm._FilterDatabase" localSheetId="6" hidden="1">'Sources'!$A$1:$D$10</definedName>
    <definedName name="_xlnm.Print_Titles" localSheetId="6">'Sources'!$1:$1</definedName>
    <definedName name="_xlnm._FilterDatabase" localSheetId="7" hidden="1">'Demand &amp; competition'!$A$1:$E$28</definedName>
    <definedName name="_xlnm.Print_Titles" localSheetId="7">'Demand &amp; competition'!$1:$1</definedName>
    <definedName name="_xlnm._FilterDatabase" localSheetId="8" hidden="1">'Rent rules'!$A$1:$G$11</definedName>
    <definedName name="_xlnm.Print_Titles" localSheetId="8">'Rent rules'!$1:$1</definedName>
    <definedName name="_xlnm._FilterDatabase" localSheetId="9" hidden="1">'Scenarios'!$A$1:$AD$7</definedName>
    <definedName name="_xlnm.Print_Titles" localSheetId="9">'Scenarios'!$1:$1</definedName>
    <definedName name="_xlnm._FilterDatabase" localSheetId="10" hidden="1">'Sensitivity'!$A$1:$D$6</definedName>
    <definedName name="_xlnm.Print_Titles" localSheetId="10">'Sensitivity'!$1:$1</definedName>
    <definedName name="_xlnm._FilterDatabase" localSheetId="11" hidden="1">'Checks'!$A$1:$C$11</definedName>
    <definedName name="_xlnm.Print_Titles" localSheetId="11">'Checks'!$1:$1</definedName>
    <definedName name="_xlnm._FilterDatabase" localSheetId="12" hidden="1">'Capacity options'!$A$1:$M$8</definedName>
    <definedName name="_xlnm.Print_Titles" localSheetId="12">'Capacity options'!$1:$1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;[Red](#,##0.00);–"/>
    <numFmt numFmtId="165" formatCode="0.0%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70C0"/>
    </font>
    <font>
      <color rgb="00172D42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8F2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1" fillId="2" borderId="0" applyAlignment="1" pivotButton="0" quotePrefix="0" xfId="0">
      <alignment vertical="center" wrapText="1"/>
    </xf>
    <xf numFmtId="4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9" fontId="1" fillId="2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 NPV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'Scenarios'!F1</f>
            </strRef>
          </tx>
          <spPr>
            <a:ln>
              <a:prstDash val="solid"/>
            </a:ln>
          </spPr>
          <cat>
            <numRef>
              <f>'Scenarios'!$A$2:$A$4</f>
            </numRef>
          </cat>
          <val>
            <numRef>
              <f>'Scenarios'!$F$2:$F$4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perspective.brussels/fr/actualites/un-etudiant-sur-trois-trouve-un-kot-dans-un-logement-qui-lui-est-destine" TargetMode="External" Id="rId1" /><Relationship Type="http://schemas.openxmlformats.org/officeDocument/2006/relationships/hyperlink" Target="https://msi.brussels/nieuws/usquare-de-msi-dient-vergunningsaanvraag-voor-465-studentenwoningen" TargetMode="External" Id="rId2" /><Relationship Type="http://schemas.openxmlformats.org/officeDocument/2006/relationships/hyperlink" Target="https://usquare.brussels/en/schedule" TargetMode="External" Id="rId3" /><Relationship Type="http://schemas.openxmlformats.org/officeDocument/2006/relationships/hyperlink" Target="https://www.upkot.be/en/locations/brussels/bru-upkot" TargetMode="External" Id="rId4" /><Relationship Type="http://schemas.openxmlformats.org/officeDocument/2006/relationships/hyperlink" Target="https://www.vub.be/en/studying-vub/practical-info-for-students/student-housing" TargetMode="External" Id="rId5" /><Relationship Type="http://schemas.openxmlformats.org/officeDocument/2006/relationships/hyperlink" Target="https://www.vub.be/en/studying-vub/practical-info-for-students/student-housing/practical-housing-information" TargetMode="External" Id="rId6" /><Relationship Type="http://schemas.openxmlformats.org/officeDocument/2006/relationships/hyperlink" Target="https://be.brussels/fr/logement/location/bail-dhabitation/loyers-de-reference" TargetMode="External" Id="rId7" /><Relationship Type="http://schemas.openxmlformats.org/officeDocument/2006/relationships/hyperlink" Target="https://loyers.brussels/" TargetMode="External" Id="rId8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A1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65" customWidth="1" min="2" max="2"/>
    <col width="8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VUB student housing | investment feasibility</t>
        </is>
      </c>
    </row>
    <row r="2" ht="36" customHeight="1">
      <c r="A2" s="2" t="n"/>
    </row>
    <row r="3" ht="36" customHeight="1">
      <c r="A3" s="2" t="inlineStr">
        <is>
          <t>Research version | 14 October 2026 | educational feasibility, pre-tax cash flows</t>
        </is>
      </c>
    </row>
    <row r="4" ht="36" customHeight="1">
      <c r="A4" s="2" t="inlineStr">
        <is>
          <t>Location: assumed site within walking/cycling distance of VUB Etterbeek campus; no land secured.</t>
        </is>
      </c>
    </row>
    <row r="5" ht="36" customHeight="1">
      <c r="A5" s="2" t="inlineStr">
        <is>
          <t>No classroom workbook supplied in the working folder; model built from first principles.</t>
        </is>
      </c>
    </row>
    <row r="6" ht="36" customHeight="1">
      <c r="A6" s="2" t="inlineStr">
        <is>
          <t>Shared studio means two students per studio. Rents exclude separately billed actual utilities.</t>
        </is>
      </c>
    </row>
    <row r="7" ht="36" customHeight="1">
      <c r="A7" s="2" t="inlineStr">
        <is>
          <t>Blue cells = editable inputs; black cells = formulas. EUR nominal, annual periods.</t>
        </is>
      </c>
    </row>
    <row r="8" ht="36" customHeight="1">
      <c r="A8" s="2" t="inlineStr">
        <is>
          <t>Recommendation: test 120 beds in 100 units (60 normal, 20 two-person studios, 20 single studios). Demand case is plausible; financial acceptance depends on dashboard.</t>
        </is>
      </c>
    </row>
    <row r="9" ht="36" customHeight="1">
      <c r="A9" s="2" t="inlineStr">
        <is>
          <t>120 beds limits exposure to the 465-room Usquare pipeline. No verified VUB waiting-list count or secured plot: capacity remains a testable proposal.</t>
        </is>
      </c>
    </row>
    <row r="10" ht="36" customHeight="1">
      <c r="A10" s="2" t="inlineStr">
        <is>
          <t>Model timeline: year 0 = 2027, year 1 = 2028 construction, year 2 = 2029 opening; 20 operating years; sale at end of year 21.</t>
        </is>
      </c>
    </row>
    <row r="11" ht="36" customHeight="1">
      <c r="A11" s="2" t="inlineStr">
        <is>
          <t>Cash flows are year-end; debt draws are half in each construction year. Construction interest uses midyear draws; first debt repayment at opening.</t>
        </is>
      </c>
    </row>
    <row r="12" ht="36" customHeight="1">
      <c r="A12" s="2" t="inlineStr">
        <is>
          <t>Nonrecoverable VAT 21%, land transaction allowance 15%, construction price, land price and financing are assumptions requiring professional quotations.</t>
        </is>
      </c>
    </row>
    <row r="13" ht="36" customHeight="1">
      <c r="A13" s="2" t="inlineStr">
        <is>
          <t>Utilities are reimbursed at actual cost, outside revenue and expenses. Operating ratio includes management, insurance, owner property tax, maintenance and administration.</t>
        </is>
      </c>
    </row>
    <row r="14" ht="36" customHeight="1">
      <c r="A14" s="2" t="inlineStr">
        <is>
          <t>Rent growth of 2% is a financial scenario, not permission to index: check lease registration, EPC rules, health index and reference rent annually.</t>
        </is>
      </c>
    </row>
    <row r="15" ht="36" customHeight="1">
      <c r="A15" s="2" t="inlineStr">
        <is>
          <t>No corporate income tax, depreciation tax shield, grant or subsidy. No plot-specific planning, fire safety, accessibility or shared-occupancy approval obtained.</t>
        </is>
      </c>
    </row>
    <row r="16" ht="36" customHeight="1">
      <c r="A16" s="2" t="inlineStr">
        <is>
          <t>Fixed 2 construction years / 20 operating years. Change the Python generator to change these periods; all other blue financial inputs can be edited in Excel.</t>
        </is>
      </c>
    </row>
    <row r="17" ht="36" customHeight="1">
      <c r="A17" s="2" t="inlineStr">
        <is>
          <t>Official reference rents are missing: proposed rents are planning inputs. Workbook blocks legal clearance until references are supplied. Do not interpret affordability caps as government tariffs.</t>
        </is>
      </c>
    </row>
    <row r="18" ht="36" customHeight="1">
      <c r="A18" s="2" t="inlineStr">
        <is>
          <t>Shared studio is let as one unit to two occupants; divide the unit rent by two for per-person affordability. Validate compatibility with actual tenant arrangements.</t>
        </is>
      </c>
    </row>
  </sheetData>
  <autoFilter ref="A1:A18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C3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Assumption</t>
        </is>
      </c>
      <c r="B1" s="8" t="inlineStr">
        <is>
          <t>Value</t>
        </is>
      </c>
      <c r="C1" s="8" t="inlineStr">
        <is>
          <t>Basis / unit</t>
        </is>
      </c>
    </row>
    <row r="2" ht="30" customHeight="1">
      <c r="A2" s="2" t="inlineStr">
        <is>
          <t>Normal rooms</t>
        </is>
      </c>
      <c r="B2" s="3" t="n">
        <v>60</v>
      </c>
      <c r="C2" s="2" t="inlineStr">
        <is>
          <t>units</t>
        </is>
      </c>
    </row>
    <row r="3" ht="30" customHeight="1">
      <c r="A3" s="2" t="inlineStr">
        <is>
          <t>Shared studios</t>
        </is>
      </c>
      <c r="B3" s="9" t="n">
        <v>20</v>
      </c>
      <c r="C3" s="2" t="inlineStr">
        <is>
          <t>units; 2 beds each</t>
        </is>
      </c>
    </row>
    <row r="4" ht="30" customHeight="1">
      <c r="A4" s="2" t="inlineStr">
        <is>
          <t>Single studios</t>
        </is>
      </c>
      <c r="B4" s="9" t="n">
        <v>20</v>
      </c>
      <c r="C4" s="2" t="inlineStr">
        <is>
          <t>units</t>
        </is>
      </c>
    </row>
    <row r="5" ht="30" customHeight="1">
      <c r="A5" s="2" t="inlineStr">
        <is>
          <t>Normal monthly rent</t>
        </is>
      </c>
      <c r="B5" s="9" t="n">
        <v>480</v>
      </c>
      <c r="C5" s="2" t="inlineStr">
        <is>
          <t>EUR per room; provisional</t>
        </is>
      </c>
    </row>
    <row r="6" ht="30" customHeight="1">
      <c r="A6" s="2" t="inlineStr">
        <is>
          <t>Shared monthly rent</t>
        </is>
      </c>
      <c r="B6" s="9" t="n">
        <v>390</v>
      </c>
      <c r="C6" s="2" t="inlineStr">
        <is>
          <t>EUR per person; provisional</t>
        </is>
      </c>
    </row>
    <row r="7" ht="30" customHeight="1">
      <c r="A7" s="2" t="inlineStr">
        <is>
          <t>Single studio monthly rent</t>
        </is>
      </c>
      <c r="B7" s="9" t="n">
        <v>650</v>
      </c>
      <c r="C7" s="2" t="inlineStr">
        <is>
          <t>EUR per unit; provisional</t>
        </is>
      </c>
    </row>
    <row r="8" ht="30" customHeight="1">
      <c r="A8" s="2" t="inlineStr">
        <is>
          <t>Letting months</t>
        </is>
      </c>
      <c r="B8" s="9" t="n">
        <v>12</v>
      </c>
      <c r="C8" s="2" t="inlineStr">
        <is>
          <t>months/year</t>
        </is>
      </c>
    </row>
    <row r="9" ht="30" customHeight="1">
      <c r="A9" s="2" t="inlineStr">
        <is>
          <t>Occupancy</t>
        </is>
      </c>
      <c r="B9" s="10" t="n">
        <v>0.95</v>
      </c>
      <c r="C9" s="2" t="inlineStr">
        <is>
          <t>stabilised</t>
        </is>
      </c>
    </row>
    <row r="10" ht="30" customHeight="1">
      <c r="A10" s="2" t="inlineStr">
        <is>
          <t>Rent growth</t>
        </is>
      </c>
      <c r="B10" s="10" t="n">
        <v>0.02</v>
      </c>
      <c r="C10" s="2" t="inlineStr">
        <is>
          <t>annual</t>
        </is>
      </c>
    </row>
    <row r="11" ht="30" customHeight="1">
      <c r="A11" s="2" t="inlineStr">
        <is>
          <t>Operating expense ratio</t>
        </is>
      </c>
      <c r="B11" s="10" t="n">
        <v>0.28</v>
      </c>
      <c r="C11" s="2" t="inlineStr">
        <is>
          <t>share of effective rent</t>
        </is>
      </c>
    </row>
    <row r="12" ht="30" customHeight="1">
      <c r="A12" s="2" t="inlineStr">
        <is>
          <t>Reserve per bed</t>
        </is>
      </c>
      <c r="B12" s="9" t="n">
        <v>150</v>
      </c>
      <c r="C12" s="2" t="inlineStr">
        <is>
          <t>EUR/year</t>
        </is>
      </c>
    </row>
    <row r="13" ht="30" customHeight="1">
      <c r="A13" s="2" t="inlineStr">
        <is>
          <t>Hard cost per gross sqm</t>
        </is>
      </c>
      <c r="B13" s="9" t="n">
        <v>2200</v>
      </c>
      <c r="C13" s="2" t="inlineStr">
        <is>
          <t>EUR; assumption</t>
        </is>
      </c>
    </row>
    <row r="14" ht="30" customHeight="1">
      <c r="A14" s="2" t="inlineStr">
        <is>
          <t>Land cost</t>
        </is>
      </c>
      <c r="B14" s="9" t="n">
        <v>1800000</v>
      </c>
      <c r="C14" s="2" t="inlineStr">
        <is>
          <t>EUR; assumption</t>
        </is>
      </c>
    </row>
    <row r="15" ht="30" customHeight="1">
      <c r="A15" s="2" t="inlineStr">
        <is>
          <t>Soft cost ratio</t>
        </is>
      </c>
      <c r="B15" s="10" t="n">
        <v>0.15</v>
      </c>
      <c r="C15" s="2" t="inlineStr">
        <is>
          <t>share of hard costs</t>
        </is>
      </c>
    </row>
    <row r="16" ht="30" customHeight="1">
      <c r="A16" s="2" t="inlineStr">
        <is>
          <t>Contingency</t>
        </is>
      </c>
      <c r="B16" s="10" t="n">
        <v>0.1</v>
      </c>
      <c r="C16" s="2" t="inlineStr">
        <is>
          <t>share hard + soft</t>
        </is>
      </c>
    </row>
    <row r="17" ht="30" customHeight="1">
      <c r="A17" s="2" t="inlineStr">
        <is>
          <t>VAT / nonrecoverable tax</t>
        </is>
      </c>
      <c r="B17" s="10" t="n">
        <v>0.21</v>
      </c>
      <c r="C17" s="2" t="inlineStr">
        <is>
          <t>conservative assumption on hard + soft + contingency</t>
        </is>
      </c>
    </row>
    <row r="18" ht="30" customHeight="1">
      <c r="A18" s="2" t="inlineStr">
        <is>
          <t>Debt share</t>
        </is>
      </c>
      <c r="B18" s="10" t="n">
        <v>0.55</v>
      </c>
      <c r="C18" s="2" t="inlineStr">
        <is>
          <t>share of total development cost</t>
        </is>
      </c>
    </row>
    <row r="19" ht="30" customHeight="1">
      <c r="A19" s="2" t="inlineStr">
        <is>
          <t>Interest rate</t>
        </is>
      </c>
      <c r="B19" s="10" t="n">
        <v>0.045</v>
      </c>
      <c r="C19" s="2" t="inlineStr">
        <is>
          <t>annual</t>
        </is>
      </c>
    </row>
    <row r="20" ht="30" customHeight="1">
      <c r="A20" s="2" t="inlineStr">
        <is>
          <t>Loan term</t>
        </is>
      </c>
      <c r="B20" s="9" t="n">
        <v>25</v>
      </c>
      <c r="C20" s="2" t="inlineStr">
        <is>
          <t>years</t>
        </is>
      </c>
    </row>
    <row r="21" ht="30" customHeight="1">
      <c r="A21" s="2" t="inlineStr">
        <is>
          <t>Discount rate</t>
        </is>
      </c>
      <c r="B21" s="10" t="n">
        <v>0.08</v>
      </c>
      <c r="C21" s="2" t="inlineStr">
        <is>
          <t>unlevered</t>
        </is>
      </c>
    </row>
    <row r="22" ht="30" customHeight="1">
      <c r="A22" s="2" t="inlineStr">
        <is>
          <t>Exit cap rate</t>
        </is>
      </c>
      <c r="B22" s="10" t="n">
        <v>0.055</v>
      </c>
      <c r="C22" s="2" t="inlineStr">
        <is>
          <t>NOI / terminal value</t>
        </is>
      </c>
    </row>
    <row r="23" ht="30" customHeight="1">
      <c r="A23" s="2" t="inlineStr">
        <is>
          <t>Selling cost</t>
        </is>
      </c>
      <c r="B23" s="10" t="n">
        <v>0.02</v>
      </c>
      <c r="C23" s="2" t="inlineStr">
        <is>
          <t>share exit value</t>
        </is>
      </c>
    </row>
    <row r="24" ht="30" customHeight="1">
      <c r="A24" s="2" t="inlineStr">
        <is>
          <t>Construction years</t>
        </is>
      </c>
      <c r="B24" s="11" t="inlineStr">
        <is>
          <t>2 years fixed</t>
        </is>
      </c>
      <c r="C24" s="2" t="inlineStr">
        <is>
          <t>fixed 2-year baseline</t>
        </is>
      </c>
    </row>
    <row r="25" ht="30" customHeight="1">
      <c r="A25" s="2" t="inlineStr">
        <is>
          <t>Normal room net area</t>
        </is>
      </c>
      <c r="B25" s="9" t="n">
        <v>18</v>
      </c>
      <c r="C25" s="2" t="inlineStr">
        <is>
          <t>sqm</t>
        </is>
      </c>
    </row>
    <row r="26" ht="30" customHeight="1">
      <c r="A26" s="2" t="inlineStr">
        <is>
          <t>Shared studio net area</t>
        </is>
      </c>
      <c r="B26" s="9" t="n">
        <v>32</v>
      </c>
      <c r="C26" s="2" t="inlineStr">
        <is>
          <t>sqm per unit</t>
        </is>
      </c>
    </row>
    <row r="27" ht="30" customHeight="1">
      <c r="A27" s="2" t="inlineStr">
        <is>
          <t>Single studio net area</t>
        </is>
      </c>
      <c r="B27" s="9" t="n">
        <v>25</v>
      </c>
      <c r="C27" s="2" t="inlineStr">
        <is>
          <t>sqm</t>
        </is>
      </c>
    </row>
    <row r="28" ht="30" customHeight="1">
      <c r="A28" s="2" t="inlineStr">
        <is>
          <t>Grossing factor</t>
        </is>
      </c>
      <c r="B28" s="9" t="n">
        <v>1.4</v>
      </c>
      <c r="C28" s="2" t="inlineStr">
        <is>
          <t>gross / net</t>
        </is>
      </c>
    </row>
    <row r="29" ht="30" customHeight="1">
      <c r="A29" s="2" t="inlineStr">
        <is>
          <t>Opening occupancy</t>
        </is>
      </c>
      <c r="B29" s="10" t="n">
        <v>0.85</v>
      </c>
      <c r="C29" s="2" t="inlineStr">
        <is>
          <t>first operating year</t>
        </is>
      </c>
    </row>
    <row r="30" ht="30" customHeight="1">
      <c r="A30" s="2" t="inlineStr">
        <is>
          <t>Operating years</t>
        </is>
      </c>
      <c r="B30" s="11" t="inlineStr">
        <is>
          <t>20 years fixed</t>
        </is>
      </c>
      <c r="C30" s="2" t="inlineStr">
        <is>
          <t>fixed baseline</t>
        </is>
      </c>
    </row>
    <row r="31" ht="30" customHeight="1">
      <c r="A31" s="2" t="inlineStr">
        <is>
          <t>Equity discount rate</t>
        </is>
      </c>
      <c r="B31" s="10" t="n">
        <v>0.1</v>
      </c>
      <c r="C31" s="2" t="inlineStr">
        <is>
          <t>annual</t>
        </is>
      </c>
    </row>
    <row r="32" ht="30" customHeight="1">
      <c r="A32" s="2" t="inlineStr">
        <is>
          <t>Land acquisition allowance</t>
        </is>
      </c>
      <c r="B32" s="10" t="n">
        <v>0.15</v>
      </c>
      <c r="C32" s="2" t="inlineStr">
        <is>
          <t>assumption; land price includes no transaction fees</t>
        </is>
      </c>
    </row>
    <row r="33" ht="30" customHeight="1">
      <c r="A33" s="2" t="inlineStr">
        <is>
          <t>Furniture per bed</t>
        </is>
      </c>
      <c r="B33" s="9" t="n">
        <v>1800</v>
      </c>
      <c r="C33" s="2" t="inlineStr">
        <is>
          <t>EUR; initial furnishing</t>
        </is>
      </c>
    </row>
    <row r="34" ht="30" customHeight="1">
      <c r="A34" s="2" t="inlineStr">
        <is>
          <t>Initial working capital</t>
        </is>
      </c>
      <c r="B34" s="9" t="n">
        <v>50000</v>
      </c>
      <c r="C34" s="2" t="inlineStr">
        <is>
          <t>EUR; conservatively unrecovered at exit</t>
        </is>
      </c>
    </row>
    <row r="35" ht="30" customHeight="1">
      <c r="A35" s="2" t="inlineStr">
        <is>
          <t>Reference rent policy factor</t>
        </is>
      </c>
      <c r="B35" s="10" t="n">
        <v>1</v>
      </c>
      <c r="C35" s="2" t="inlineStr">
        <is>
          <t>stay at/below reference when supplied; max 1.2 screening threshold</t>
        </is>
      </c>
    </row>
    <row r="36" ht="30" customHeight="1">
      <c r="A36" s="2" t="inlineStr">
        <is>
          <t>Candidate beds</t>
        </is>
      </c>
      <c r="B36" s="9" t="n">
        <v>120</v>
      </c>
      <c r="C36" s="2" t="inlineStr">
        <is>
          <t>planning target; mix on rows 2:4 drives actual capacity</t>
        </is>
      </c>
    </row>
  </sheetData>
  <autoFilter ref="A1:C36"/>
  <dataValidations count="3">
    <dataValidation sqref="B9:B11" showDropDown="0" showInputMessage="0" showErrorMessage="1" allowBlank="0" errorTitle="Input outside model bounds" error="Enter a value within the permitted range." type="decimal" operator="between">
      <formula1>0</formula1>
      <formula2>1</formula2>
    </dataValidation>
    <dataValidation sqref="B2:B4" showDropDown="0" showInputMessage="0" showErrorMessage="1" allowBlank="0" errorTitle="Input outside model bounds" error="Enter a value within the permitted range." type="whole" operator="between">
      <formula1>0</formula1>
      <formula2>1000</formula2>
    </dataValidation>
    <dataValidation sqref="B35" showDropDown="0" showInputMessage="0" showErrorMessage="1" allowBlank="0" errorTitle="Input outside model bounds" error="Enter a value within the permitted range." type="decimal" operator="between">
      <formula1>0</formula1>
      <formula2>1.2</formula2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H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Type</t>
        </is>
      </c>
      <c r="B1" s="8" t="inlineStr">
        <is>
          <t>Units</t>
        </is>
      </c>
      <c r="C1" s="8" t="inlineStr">
        <is>
          <t>Beds per unit</t>
        </is>
      </c>
      <c r="D1" s="8" t="inlineStr">
        <is>
          <t>Beds</t>
        </is>
      </c>
      <c r="E1" s="8" t="inlineStr">
        <is>
          <t>Net sqm/unit</t>
        </is>
      </c>
      <c r="F1" s="8" t="inlineStr">
        <is>
          <t>Gross sqm</t>
        </is>
      </c>
      <c r="G1" s="8" t="inlineStr">
        <is>
          <t>Rent/person/month</t>
        </is>
      </c>
      <c r="H1" s="8" t="inlineStr">
        <is>
          <t>Annual gross rent</t>
        </is>
      </c>
    </row>
    <row r="2" ht="30" customHeight="1">
      <c r="A2" s="2" t="inlineStr">
        <is>
          <t>Normal dorm</t>
        </is>
      </c>
      <c r="B2" s="5">
        <f>Inputs!B2</f>
        <v>60</v>
      </c>
      <c r="C2" s="11" t="n">
        <v>1</v>
      </c>
      <c r="D2" s="5">
        <f>B2*C2</f>
        <v>60</v>
      </c>
      <c r="E2" s="5">
        <f>Inputs!B25</f>
        <v>18</v>
      </c>
      <c r="F2" s="5">
        <f>B2*E2*Inputs!B28</f>
        <v>1512.0</v>
      </c>
      <c r="G2" s="5">
        <f>'Rent rules'!F2</f>
        <v>480.0</v>
      </c>
      <c r="H2" s="5">
        <f>D2*G2*Inputs!B8</f>
        <v>345600.0</v>
      </c>
    </row>
    <row r="3" ht="30" customHeight="1">
      <c r="A3" s="2" t="inlineStr">
        <is>
          <t>Shared studio</t>
        </is>
      </c>
      <c r="B3" s="5">
        <f>Inputs!B3</f>
        <v>20</v>
      </c>
      <c r="C3" s="11" t="n">
        <v>2</v>
      </c>
      <c r="D3" s="5">
        <f>B3*C3</f>
        <v>40</v>
      </c>
      <c r="E3" s="5">
        <f>Inputs!B26</f>
        <v>32</v>
      </c>
      <c r="F3" s="5">
        <f>B3*E3*Inputs!B28</f>
        <v>896.0</v>
      </c>
      <c r="G3" s="5">
        <f>'Rent rules'!F3</f>
        <v>390.0</v>
      </c>
      <c r="H3" s="5">
        <f>D3*G3*Inputs!B8</f>
        <v>187200.0</v>
      </c>
    </row>
    <row r="4" ht="30" customHeight="1">
      <c r="A4" s="2" t="inlineStr">
        <is>
          <t>Single studio</t>
        </is>
      </c>
      <c r="B4" s="5">
        <f>Inputs!B4</f>
        <v>20</v>
      </c>
      <c r="C4" s="11" t="n">
        <v>1</v>
      </c>
      <c r="D4" s="5">
        <f>B4*C4</f>
        <v>20</v>
      </c>
      <c r="E4" s="5">
        <f>Inputs!B27</f>
        <v>25</v>
      </c>
      <c r="F4" s="5">
        <f>B4*E4*Inputs!B28</f>
        <v>700.0</v>
      </c>
      <c r="G4" s="5">
        <f>'Rent rules'!F4</f>
        <v>650.0</v>
      </c>
      <c r="H4" s="5">
        <f>D4*G4*Inputs!B8</f>
        <v>156000.0</v>
      </c>
    </row>
    <row r="5" ht="30" customHeight="1">
      <c r="A5" s="2" t="inlineStr">
        <is>
          <t>Total</t>
        </is>
      </c>
      <c r="B5" s="5">
        <f>SUM(B2:B4)</f>
        <v>100</v>
      </c>
      <c r="C5" s="2" t="n"/>
      <c r="D5" s="5">
        <f>SUM(D2:D4)</f>
        <v>120</v>
      </c>
      <c r="E5" s="2" t="n"/>
      <c r="F5" s="5">
        <f>SUM(F2:F4)</f>
        <v>3108.0</v>
      </c>
      <c r="G5" s="2" t="n"/>
      <c r="H5" s="5">
        <f>SUM(H2:H4)</f>
        <v>688800.0</v>
      </c>
    </row>
  </sheetData>
  <autoFilter ref="A1:H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B1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Development budget</t>
        </is>
      </c>
      <c r="B1" s="8" t="inlineStr">
        <is>
          <t>EUR</t>
        </is>
      </c>
    </row>
    <row r="2" ht="30" customHeight="1">
      <c r="A2" s="2" t="inlineStr">
        <is>
          <t>Land</t>
        </is>
      </c>
      <c r="B2" s="5">
        <f>Inputs!B14</f>
        <v>1800000</v>
      </c>
    </row>
    <row r="3" ht="30" customHeight="1">
      <c r="A3" s="2" t="inlineStr">
        <is>
          <t>Hard costs</t>
        </is>
      </c>
      <c r="B3" s="5">
        <f>'Room mix'!F5*Inputs!B13</f>
        <v>6837600.0</v>
      </c>
    </row>
    <row r="4" ht="30" customHeight="1">
      <c r="A4" s="2" t="inlineStr">
        <is>
          <t>Soft costs</t>
        </is>
      </c>
      <c r="B4" s="5">
        <f>B3*Inputs!B15</f>
        <v>1025640.0</v>
      </c>
    </row>
    <row r="5" ht="30" customHeight="1">
      <c r="A5" s="2" t="inlineStr">
        <is>
          <t>Contingency</t>
        </is>
      </c>
      <c r="B5" s="5">
        <f>SUM(B3:B4)*Inputs!B16</f>
        <v>786324.0</v>
      </c>
    </row>
    <row r="6" ht="30" customHeight="1">
      <c r="A6" s="2" t="inlineStr">
        <is>
          <t>Nonrecoverable VAT</t>
        </is>
      </c>
      <c r="B6" s="5">
        <f>SUM(B3:B5)*Inputs!B17</f>
        <v>1816408.44</v>
      </c>
    </row>
    <row r="7" ht="30" customHeight="1">
      <c r="A7" s="2" t="inlineStr">
        <is>
          <t>Total funding need</t>
        </is>
      </c>
      <c r="B7" s="5">
        <f>B15+B14</f>
        <v>13118821.25789</v>
      </c>
    </row>
    <row r="8" ht="30" customHeight="1">
      <c r="A8" s="2" t="inlineStr">
        <is>
          <t>Debt</t>
        </is>
      </c>
      <c r="B8" s="5">
        <f>B15*Inputs!B18</f>
        <v>7041084.842</v>
      </c>
    </row>
    <row r="9" ht="30" customHeight="1">
      <c r="A9" s="2" t="inlineStr">
        <is>
          <t>Equity</t>
        </is>
      </c>
      <c r="B9" s="5">
        <f>B7-B8</f>
        <v>6077736.415889999</v>
      </c>
    </row>
    <row r="10" ht="30" customHeight="1">
      <c r="A10" s="2" t="inlineStr">
        <is>
          <t>Annual debt service</t>
        </is>
      </c>
      <c r="B10" s="5">
        <f>-PMT(Inputs!B19,Inputs!B20,B8)</f>
        <v>474843.9180824651</v>
      </c>
    </row>
    <row r="11" ht="30" customHeight="1">
      <c r="A11" s="2" t="inlineStr">
        <is>
          <t>Land transaction allowance</t>
        </is>
      </c>
      <c r="B11" s="5">
        <f>B2*Inputs!B32</f>
        <v>270000.0</v>
      </c>
    </row>
    <row r="12" ht="30" customHeight="1">
      <c r="A12" s="2" t="inlineStr">
        <is>
          <t>Furniture</t>
        </is>
      </c>
      <c r="B12" s="5">
        <f>'Room mix'!D5*Inputs!B33</f>
        <v>216000</v>
      </c>
    </row>
    <row r="13" ht="30" customHeight="1">
      <c r="A13" s="2" t="inlineStr">
        <is>
          <t>Working capital</t>
        </is>
      </c>
      <c r="B13" s="5">
        <f>Inputs!B34</f>
        <v>50000</v>
      </c>
    </row>
    <row r="14" ht="30" customHeight="1">
      <c r="A14" s="2" t="inlineStr">
        <is>
          <t>Construction interest (equity-funded)</t>
        </is>
      </c>
      <c r="B14" s="5">
        <f>B8*Inputs!B19</f>
        <v>316848.81789</v>
      </c>
    </row>
    <row r="15" ht="30" customHeight="1">
      <c r="A15" s="2" t="inlineStr">
        <is>
          <t>Unlevered project cost</t>
        </is>
      </c>
      <c r="B15" s="5">
        <f>SUM(B2:B6,B11:B13)</f>
        <v>12801972.44</v>
      </c>
    </row>
    <row r="16" ht="30" customHeight="1">
      <c r="A16" s="2" t="inlineStr">
        <is>
          <t>Cost per bed</t>
        </is>
      </c>
      <c r="B16" s="5">
        <f>B7/'Room mix'!D5</f>
        <v>109323.51048241666</v>
      </c>
    </row>
  </sheetData>
  <autoFilter ref="A1:B16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R2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1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outlineLevel="1" width="13" customWidth="1" min="15" max="18"/>
  </cols>
  <sheetData>
    <row r="1" ht="48" customHeight="1">
      <c r="A1" s="8" t="inlineStr">
        <is>
          <t>Year</t>
        </is>
      </c>
      <c r="B1" s="8" t="inlineStr">
        <is>
          <t>Gross rent</t>
        </is>
      </c>
      <c r="C1" s="8" t="inlineStr">
        <is>
          <t>Occupancy</t>
        </is>
      </c>
      <c r="D1" s="8" t="inlineStr">
        <is>
          <t>Effective rent</t>
        </is>
      </c>
      <c r="E1" s="8" t="inlineStr">
        <is>
          <t>Operating cost</t>
        </is>
      </c>
      <c r="F1" s="8" t="inlineStr">
        <is>
          <t>Reserve</t>
        </is>
      </c>
      <c r="G1" s="8" t="inlineStr">
        <is>
          <t>NOI</t>
        </is>
      </c>
      <c r="H1" s="8" t="inlineStr">
        <is>
          <t>Development spend</t>
        </is>
      </c>
      <c r="I1" s="8" t="inlineStr">
        <is>
          <t>Debt draw</t>
        </is>
      </c>
      <c r="J1" s="8" t="inlineStr">
        <is>
          <t>Debt service</t>
        </is>
      </c>
      <c r="K1" s="8" t="inlineStr">
        <is>
          <t>Exit proceeds</t>
        </is>
      </c>
      <c r="L1" s="8" t="inlineStr">
        <is>
          <t>Debt outstanding</t>
        </is>
      </c>
      <c r="M1" s="8" t="inlineStr">
        <is>
          <t>Unlevered CF</t>
        </is>
      </c>
      <c r="N1" s="8" t="inlineStr">
        <is>
          <t>Equity CF</t>
        </is>
      </c>
      <c r="O1" s="8" t="inlineStr">
        <is>
          <t>Interest paid</t>
        </is>
      </c>
      <c r="P1" s="8" t="inlineStr">
        <is>
          <t>Principal repaid</t>
        </is>
      </c>
      <c r="Q1" s="8" t="inlineStr">
        <is>
          <t>Calendar year</t>
        </is>
      </c>
      <c r="R1" s="8" t="inlineStr">
        <is>
          <t>DSCR</t>
        </is>
      </c>
    </row>
    <row r="2" ht="30" customHeight="1">
      <c r="A2" s="11" t="n">
        <v>0</v>
      </c>
      <c r="B2" s="11" t="n">
        <v>0</v>
      </c>
      <c r="C2" s="12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5">
        <f>Development!B15*0.5</f>
        <v>6400986.22</v>
      </c>
      <c r="I2" s="5">
        <f>Development!B8*0.5</f>
        <v>3520542.421</v>
      </c>
      <c r="J2" s="11" t="n">
        <v>0</v>
      </c>
      <c r="K2" s="11" t="n">
        <v>0</v>
      </c>
      <c r="L2" s="5">
        <f>SUM(I$2:I2)</f>
        <v>3520542.421</v>
      </c>
      <c r="M2" s="5">
        <f>G2-H2+K2</f>
        <v>-6400986.22</v>
      </c>
      <c r="N2" s="5">
        <f>M2+I2-J2-Development!B14*0.5</f>
        <v>-3038868.2079449994</v>
      </c>
      <c r="O2" s="11" t="n">
        <v>0</v>
      </c>
      <c r="P2" s="11" t="n">
        <v>0</v>
      </c>
      <c r="Q2" s="13">
        <f>A2+2027</f>
        <v>2027</v>
      </c>
      <c r="R2" s="14" t="n">
        <v>0</v>
      </c>
    </row>
    <row r="3" ht="30" customHeight="1">
      <c r="A3" s="11" t="n">
        <v>1</v>
      </c>
      <c r="B3" s="11" t="n">
        <v>0</v>
      </c>
      <c r="C3" s="12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5">
        <f>Development!B15*0.5</f>
        <v>6400986.22</v>
      </c>
      <c r="I3" s="5">
        <f>Development!B8*0.5</f>
        <v>3520542.421</v>
      </c>
      <c r="J3" s="11" t="n">
        <v>0</v>
      </c>
      <c r="K3" s="11" t="n">
        <v>0</v>
      </c>
      <c r="L3" s="5">
        <f>SUM(I$2:I3)</f>
        <v>7041084.842</v>
      </c>
      <c r="M3" s="5">
        <f>G3-H3+K3</f>
        <v>-6400986.22</v>
      </c>
      <c r="N3" s="5">
        <f>M3+I3-J3-Development!B14*0.5</f>
        <v>-3038868.2079449994</v>
      </c>
      <c r="O3" s="11" t="n">
        <v>0</v>
      </c>
      <c r="P3" s="11" t="n">
        <v>0</v>
      </c>
      <c r="Q3" s="13">
        <f>A3+2027</f>
        <v>2028</v>
      </c>
      <c r="R3" s="14" t="n">
        <v>0</v>
      </c>
    </row>
    <row r="4" ht="30" customHeight="1">
      <c r="A4" s="11" t="n">
        <v>2</v>
      </c>
      <c r="B4" s="5">
        <f>'Room mix'!H5*(1+Inputs!B10)^(1-1)</f>
        <v>688800.0</v>
      </c>
      <c r="C4" s="6">
        <f>Inputs!B29</f>
        <v>0.85</v>
      </c>
      <c r="D4" s="5">
        <f>B4*C4</f>
        <v>585480.0</v>
      </c>
      <c r="E4" s="5">
        <f>D4*Inputs!B11</f>
        <v>163934.40000000002</v>
      </c>
      <c r="F4" s="5">
        <f>'Room mix'!D5*Inputs!B12*(1+Inputs!B10)^(1-1)</f>
        <v>18000.0</v>
      </c>
      <c r="G4" s="5">
        <f>D4-E4-F4</f>
        <v>403545.6</v>
      </c>
      <c r="H4" s="11" t="n">
        <v>0</v>
      </c>
      <c r="I4" s="11" t="n">
        <v>0</v>
      </c>
      <c r="J4" s="5">
        <f>IF(A4-1&lt;=Inputs!B20,Development!B10,0)</f>
        <v>474843.9180824651</v>
      </c>
      <c r="K4" s="11" t="n">
        <v>0</v>
      </c>
      <c r="L4" s="5">
        <f>MAX(0,L3*(1+Inputs!B19)-J4)</f>
        <v>6883089.741807534</v>
      </c>
      <c r="M4" s="5">
        <f>G4-H4+K4</f>
        <v>403545.6</v>
      </c>
      <c r="N4" s="5">
        <f>M4+I4-J4</f>
        <v>-71298.31808246515</v>
      </c>
      <c r="O4" s="5">
        <f>L3*Inputs!B19</f>
        <v>316848.81789</v>
      </c>
      <c r="P4" s="5">
        <f>J4-O4</f>
        <v>157995.10019246512</v>
      </c>
      <c r="Q4" s="13">
        <f>A4+2027</f>
        <v>2029</v>
      </c>
      <c r="R4" s="15">
        <f>IF(J4&gt;0,G4/J4,0)</f>
        <v>0.8498489390568904</v>
      </c>
    </row>
    <row r="5" ht="30" customHeight="1">
      <c r="A5" s="11" t="n">
        <v>3</v>
      </c>
      <c r="B5" s="5">
        <f>'Room mix'!H5*(1+Inputs!B10)^(2-1)</f>
        <v>702576.0</v>
      </c>
      <c r="C5" s="6">
        <f>Inputs!B9</f>
        <v>0.95</v>
      </c>
      <c r="D5" s="5">
        <f>B5*C5</f>
        <v>667447.2</v>
      </c>
      <c r="E5" s="5">
        <f>D5*Inputs!B11</f>
        <v>186885.21600000001</v>
      </c>
      <c r="F5" s="5">
        <f>'Room mix'!D5*Inputs!B12*(1+Inputs!B10)^(2-1)</f>
        <v>18360.0</v>
      </c>
      <c r="G5" s="5">
        <f>D5-E5-F5</f>
        <v>462201.98399999994</v>
      </c>
      <c r="H5" s="11" t="n">
        <v>0</v>
      </c>
      <c r="I5" s="11" t="n">
        <v>0</v>
      </c>
      <c r="J5" s="5">
        <f>IF(A5-1&lt;=Inputs!B20,Development!B10,0)</f>
        <v>474843.9180824651</v>
      </c>
      <c r="K5" s="11" t="n">
        <v>0</v>
      </c>
      <c r="L5" s="5">
        <f>MAX(0,L4*(1+Inputs!B19)-J5)</f>
        <v>6717984.862106407</v>
      </c>
      <c r="M5" s="5">
        <f>G5-H5+K5</f>
        <v>462201.98399999994</v>
      </c>
      <c r="N5" s="5">
        <f>M5+I5-J5</f>
        <v>-12641.934082465188</v>
      </c>
      <c r="O5" s="5">
        <f>L4*Inputs!B19</f>
        <v>309739.03838133905</v>
      </c>
      <c r="P5" s="5">
        <f>J5-O5</f>
        <v>165104.87970112608</v>
      </c>
      <c r="Q5" s="13">
        <f>A5+2027</f>
        <v>2030</v>
      </c>
      <c r="R5" s="15">
        <f>IF(J5&gt;0,G5/J5,0)</f>
        <v>0.9733766536728187</v>
      </c>
    </row>
    <row r="6" ht="30" customHeight="1">
      <c r="A6" s="11" t="n">
        <v>4</v>
      </c>
      <c r="B6" s="5">
        <f>'Room mix'!H5*(1+Inputs!B10)^(3-1)</f>
        <v>716627.52</v>
      </c>
      <c r="C6" s="6">
        <f>Inputs!B9</f>
        <v>0.95</v>
      </c>
      <c r="D6" s="5">
        <f>B6*C6</f>
        <v>680796.144</v>
      </c>
      <c r="E6" s="5">
        <f>D6*Inputs!B11</f>
        <v>190622.92032</v>
      </c>
      <c r="F6" s="5">
        <f>'Room mix'!D5*Inputs!B12*(1+Inputs!B10)^(3-1)</f>
        <v>18727.2</v>
      </c>
      <c r="G6" s="5">
        <f>D6-E6-F6</f>
        <v>471446.0236799999</v>
      </c>
      <c r="H6" s="11" t="n">
        <v>0</v>
      </c>
      <c r="I6" s="11" t="n">
        <v>0</v>
      </c>
      <c r="J6" s="5">
        <f>IF(A6-1&lt;=Inputs!B20,Development!B10,0)</f>
        <v>474843.9180824651</v>
      </c>
      <c r="K6" s="11" t="n">
        <v>0</v>
      </c>
      <c r="L6" s="5">
        <f>MAX(0,L5*(1+Inputs!B19)-J6)</f>
        <v>6545450.2628187295</v>
      </c>
      <c r="M6" s="5">
        <f>G6-H6+K6</f>
        <v>471446.0236799999</v>
      </c>
      <c r="N6" s="5">
        <f>M6+I6-J6</f>
        <v>-3397.894402465201</v>
      </c>
      <c r="O6" s="5">
        <f>L5*Inputs!B19</f>
        <v>302309.3187947883</v>
      </c>
      <c r="P6" s="5">
        <f>J6-O6</f>
        <v>172534.5992876768</v>
      </c>
      <c r="Q6" s="13">
        <f>A6+2027</f>
        <v>2031</v>
      </c>
      <c r="R6" s="15">
        <f>IF(J6&gt;0,G6/J6,0)</f>
        <v>0.9928441867462751</v>
      </c>
    </row>
    <row r="7" ht="30" customHeight="1">
      <c r="A7" s="11" t="n">
        <v>5</v>
      </c>
      <c r="B7" s="5">
        <f>'Room mix'!H5*(1+Inputs!B10)^(4-1)</f>
        <v>730960.0704000001</v>
      </c>
      <c r="C7" s="6">
        <f>Inputs!B9</f>
        <v>0.95</v>
      </c>
      <c r="D7" s="5">
        <f>B7*C7</f>
        <v>694412.06688</v>
      </c>
      <c r="E7" s="5">
        <f>D7*Inputs!B11</f>
        <v>194435.37872640003</v>
      </c>
      <c r="F7" s="5">
        <f>'Room mix'!D5*Inputs!B12*(1+Inputs!B10)^(4-1)</f>
        <v>19101.744000000002</v>
      </c>
      <c r="G7" s="5">
        <f>D7-E7-F7</f>
        <v>480874.9441536</v>
      </c>
      <c r="H7" s="11" t="n">
        <v>0</v>
      </c>
      <c r="I7" s="11" t="n">
        <v>0</v>
      </c>
      <c r="J7" s="5">
        <f>IF(A7-1&lt;=Inputs!B20,Development!B10,0)</f>
        <v>474843.9180824651</v>
      </c>
      <c r="K7" s="11" t="n">
        <v>0</v>
      </c>
      <c r="L7" s="5">
        <f>MAX(0,L6*(1+Inputs!B19)-J7)</f>
        <v>6365151.606563106</v>
      </c>
      <c r="M7" s="5">
        <f>G7-H7+K7</f>
        <v>480874.9441536</v>
      </c>
      <c r="N7" s="5">
        <f>M7+I7-J7</f>
        <v>6031.0260711348965</v>
      </c>
      <c r="O7" s="5">
        <f>L6*Inputs!B19</f>
        <v>294545.2618268428</v>
      </c>
      <c r="P7" s="5">
        <f>J7-O7</f>
        <v>180298.65625562234</v>
      </c>
      <c r="Q7" s="13">
        <f>A7+2027</f>
        <v>2032</v>
      </c>
      <c r="R7" s="15">
        <f>IF(J7&gt;0,G7/J7,0)</f>
        <v>1.0127010704812007</v>
      </c>
    </row>
    <row r="8" ht="30" customHeight="1">
      <c r="A8" s="11" t="n">
        <v>6</v>
      </c>
      <c r="B8" s="5">
        <f>'Room mix'!H5*(1+Inputs!B10)^(5-1)</f>
        <v>745579.2718079999</v>
      </c>
      <c r="C8" s="6">
        <f>Inputs!B9</f>
        <v>0.95</v>
      </c>
      <c r="D8" s="5">
        <f>B8*C8</f>
        <v>708300.3082175999</v>
      </c>
      <c r="E8" s="5">
        <f>D8*Inputs!B11</f>
        <v>198324.08630092797</v>
      </c>
      <c r="F8" s="5">
        <f>'Room mix'!D5*Inputs!B12*(1+Inputs!B10)^(5-1)</f>
        <v>19483.778879999998</v>
      </c>
      <c r="G8" s="5">
        <f>D8-E8-F8</f>
        <v>490492.4430366719</v>
      </c>
      <c r="H8" s="11" t="n">
        <v>0</v>
      </c>
      <c r="I8" s="11" t="n">
        <v>0</v>
      </c>
      <c r="J8" s="5">
        <f>IF(A8-1&lt;=Inputs!B20,Development!B10,0)</f>
        <v>474843.9180824651</v>
      </c>
      <c r="K8" s="11" t="n">
        <v>0</v>
      </c>
      <c r="L8" s="5">
        <f>MAX(0,L7*(1+Inputs!B19)-J8)</f>
        <v>6176739.510775981</v>
      </c>
      <c r="M8" s="5">
        <f>G8-H8+K8</f>
        <v>490492.4430366719</v>
      </c>
      <c r="N8" s="5">
        <f>M8+I8-J8</f>
        <v>15648.524954206776</v>
      </c>
      <c r="O8" s="5">
        <f>L7*Inputs!B19</f>
        <v>286431.8222953398</v>
      </c>
      <c r="P8" s="5">
        <f>J8-O8</f>
        <v>188412.09578712535</v>
      </c>
      <c r="Q8" s="13">
        <f>A8+2027</f>
        <v>2033</v>
      </c>
      <c r="R8" s="15">
        <f>IF(J8&gt;0,G8/J8,0)</f>
        <v>1.0329550918908246</v>
      </c>
    </row>
    <row r="9" ht="30" customHeight="1">
      <c r="A9" s="11" t="n">
        <v>7</v>
      </c>
      <c r="B9" s="5">
        <f>'Room mix'!H5*(1+Inputs!B10)^(6-1)</f>
        <v>760490.85724416</v>
      </c>
      <c r="C9" s="6">
        <f>Inputs!B9</f>
        <v>0.95</v>
      </c>
      <c r="D9" s="5">
        <f>B9*C9</f>
        <v>722466.314381952</v>
      </c>
      <c r="E9" s="5">
        <f>D9*Inputs!B11</f>
        <v>202290.5680269466</v>
      </c>
      <c r="F9" s="5">
        <f>'Room mix'!D5*Inputs!B12*(1+Inputs!B10)^(6-1)</f>
        <v>19873.4544576</v>
      </c>
      <c r="G9" s="5">
        <f>D9-E9-F9</f>
        <v>500302.2918974054</v>
      </c>
      <c r="H9" s="11" t="n">
        <v>0</v>
      </c>
      <c r="I9" s="11" t="n">
        <v>0</v>
      </c>
      <c r="J9" s="5">
        <f>IF(A9-1&lt;=Inputs!B20,Development!B10,0)</f>
        <v>474843.9180824651</v>
      </c>
      <c r="K9" s="11" t="n">
        <v>0</v>
      </c>
      <c r="L9" s="5">
        <f>MAX(0,L8*(1+Inputs!B19)-J9)</f>
        <v>5979848.870678434</v>
      </c>
      <c r="M9" s="5">
        <f>G9-H9+K9</f>
        <v>500302.2918974054</v>
      </c>
      <c r="N9" s="5">
        <f>M9+I9-J9</f>
        <v>25458.373814940278</v>
      </c>
      <c r="O9" s="5">
        <f>L8*Inputs!B19</f>
        <v>277953.27798491914</v>
      </c>
      <c r="P9" s="5">
        <f>J9-O9</f>
        <v>196890.64009754598</v>
      </c>
      <c r="Q9" s="13">
        <f>A9+2027</f>
        <v>2034</v>
      </c>
      <c r="R9" s="15">
        <f>IF(J9&gt;0,G9/J9,0)</f>
        <v>1.0536141937286412</v>
      </c>
    </row>
    <row r="10" ht="30" customHeight="1">
      <c r="A10" s="11" t="n">
        <v>8</v>
      </c>
      <c r="B10" s="5">
        <f>'Room mix'!H5*(1+Inputs!B10)^(7-1)</f>
        <v>775700.6743890432</v>
      </c>
      <c r="C10" s="6">
        <f>Inputs!B9</f>
        <v>0.95</v>
      </c>
      <c r="D10" s="5">
        <f>B10*C10</f>
        <v>736915.640669591</v>
      </c>
      <c r="E10" s="5">
        <f>D10*Inputs!B11</f>
        <v>206336.3793874855</v>
      </c>
      <c r="F10" s="5">
        <f>'Room mix'!D5*Inputs!B12*(1+Inputs!B10)^(7-1)</f>
        <v>20270.923546752</v>
      </c>
      <c r="G10" s="5">
        <f>D10-E10-F10</f>
        <v>510308.33773535345</v>
      </c>
      <c r="H10" s="11" t="n">
        <v>0</v>
      </c>
      <c r="I10" s="11" t="n">
        <v>0</v>
      </c>
      <c r="J10" s="5">
        <f>IF(A10-1&lt;=Inputs!B20,Development!B10,0)</f>
        <v>474843.9180824651</v>
      </c>
      <c r="K10" s="11" t="n">
        <v>0</v>
      </c>
      <c r="L10" s="5">
        <f>MAX(0,L9*(1+Inputs!B19)-J10)</f>
        <v>5774098.151776498</v>
      </c>
      <c r="M10" s="5">
        <f>G10-H10+K10</f>
        <v>510308.33773535345</v>
      </c>
      <c r="N10" s="5">
        <f>M10+I10-J10</f>
        <v>35464.41965288832</v>
      </c>
      <c r="O10" s="5">
        <f>L9*Inputs!B19</f>
        <v>269093.1991805295</v>
      </c>
      <c r="P10" s="5">
        <f>J10-O10</f>
        <v>205750.71890193562</v>
      </c>
      <c r="Q10" s="13">
        <f>A10+2027</f>
        <v>2035</v>
      </c>
      <c r="R10" s="15">
        <f>IF(J10&gt;0,G10/J10,0)</f>
        <v>1.074686477603214</v>
      </c>
    </row>
    <row r="11" ht="30" customHeight="1">
      <c r="A11" s="11" t="n">
        <v>9</v>
      </c>
      <c r="B11" s="5">
        <f>'Room mix'!H5*(1+Inputs!B10)^(8-1)</f>
        <v>791214.687876824</v>
      </c>
      <c r="C11" s="6">
        <f>Inputs!B9</f>
        <v>0.95</v>
      </c>
      <c r="D11" s="5">
        <f>B11*C11</f>
        <v>751653.9534829828</v>
      </c>
      <c r="E11" s="5">
        <f>D11*Inputs!B11</f>
        <v>210463.10697523522</v>
      </c>
      <c r="F11" s="5">
        <f>'Room mix'!D5*Inputs!B12*(1+Inputs!B10)^(8-1)</f>
        <v>20676.342017687042</v>
      </c>
      <c r="G11" s="5">
        <f>D11-E11-F11</f>
        <v>520514.5044900606</v>
      </c>
      <c r="H11" s="11" t="n">
        <v>0</v>
      </c>
      <c r="I11" s="11" t="n">
        <v>0</v>
      </c>
      <c r="J11" s="5">
        <f>IF(A11-1&lt;=Inputs!B20,Development!B10,0)</f>
        <v>474843.9180824651</v>
      </c>
      <c r="K11" s="11" t="n">
        <v>0</v>
      </c>
      <c r="L11" s="5">
        <f>MAX(0,L10*(1+Inputs!B19)-J11)</f>
        <v>5559088.650523975</v>
      </c>
      <c r="M11" s="5">
        <f>G11-H11+K11</f>
        <v>520514.5044900606</v>
      </c>
      <c r="N11" s="5">
        <f>M11+I11-J11</f>
        <v>45670.58640759549</v>
      </c>
      <c r="O11" s="5">
        <f>L10*Inputs!B19</f>
        <v>259834.4168299424</v>
      </c>
      <c r="P11" s="5">
        <f>J11-O11</f>
        <v>215009.50125252272</v>
      </c>
      <c r="Q11" s="13">
        <f>A11+2027</f>
        <v>2036</v>
      </c>
      <c r="R11" s="15">
        <f>IF(J11&gt;0,G11/J11,0)</f>
        <v>1.0961802071552782</v>
      </c>
    </row>
    <row r="12" ht="30" customHeight="1">
      <c r="A12" s="11" t="n">
        <v>10</v>
      </c>
      <c r="B12" s="5">
        <f>'Room mix'!H5*(1+Inputs!B10)^(9-1)</f>
        <v>807038.9816343606</v>
      </c>
      <c r="C12" s="6">
        <f>Inputs!B9</f>
        <v>0.95</v>
      </c>
      <c r="D12" s="5">
        <f>B12*C12</f>
        <v>766687.0325526425</v>
      </c>
      <c r="E12" s="5">
        <f>D12*Inputs!B11</f>
        <v>214672.36911473994</v>
      </c>
      <c r="F12" s="5">
        <f>'Room mix'!D5*Inputs!B12*(1+Inputs!B10)^(9-1)</f>
        <v>21089.868858040783</v>
      </c>
      <c r="G12" s="5">
        <f>D12-E12-F12</f>
        <v>530924.7945798618</v>
      </c>
      <c r="H12" s="11" t="n">
        <v>0</v>
      </c>
      <c r="I12" s="11" t="n">
        <v>0</v>
      </c>
      <c r="J12" s="5">
        <f>IF(A12-1&lt;=Inputs!B20,Development!B10,0)</f>
        <v>474843.9180824651</v>
      </c>
      <c r="K12" s="11" t="n">
        <v>0</v>
      </c>
      <c r="L12" s="5">
        <f>MAX(0,L11*(1+Inputs!B19)-J12)</f>
        <v>5334403.721715088</v>
      </c>
      <c r="M12" s="5">
        <f>G12-H12+K12</f>
        <v>530924.7945798618</v>
      </c>
      <c r="N12" s="5">
        <f>M12+I12-J12</f>
        <v>56080.876497396675</v>
      </c>
      <c r="O12" s="5">
        <f>L11*Inputs!B19</f>
        <v>250158.98927357886</v>
      </c>
      <c r="P12" s="5">
        <f>J12-O12</f>
        <v>224684.92880888627</v>
      </c>
      <c r="Q12" s="13">
        <f>A12+2027</f>
        <v>2037</v>
      </c>
      <c r="R12" s="15">
        <f>IF(J12&gt;0,G12/J12,0)</f>
        <v>1.1181038112983839</v>
      </c>
    </row>
    <row r="13" ht="30" customHeight="1">
      <c r="A13" s="11" t="n">
        <v>11</v>
      </c>
      <c r="B13" s="5">
        <f>'Room mix'!H5*(1+Inputs!B10)^(10-1)</f>
        <v>823179.7612670478</v>
      </c>
      <c r="C13" s="6">
        <f>Inputs!B9</f>
        <v>0.95</v>
      </c>
      <c r="D13" s="5">
        <f>B13*C13</f>
        <v>782020.7732036954</v>
      </c>
      <c r="E13" s="5">
        <f>D13*Inputs!B11</f>
        <v>218965.81649703474</v>
      </c>
      <c r="F13" s="5">
        <f>'Room mix'!D5*Inputs!B12*(1+Inputs!B10)^(10-1)</f>
        <v>21511.6662352016</v>
      </c>
      <c r="G13" s="5">
        <f>D13-E13-F13</f>
        <v>541543.290471459</v>
      </c>
      <c r="H13" s="11" t="n">
        <v>0</v>
      </c>
      <c r="I13" s="11" t="n">
        <v>0</v>
      </c>
      <c r="J13" s="5">
        <f>IF(A13-1&lt;=Inputs!B20,Development!B10,0)</f>
        <v>474843.9180824651</v>
      </c>
      <c r="K13" s="11" t="n">
        <v>0</v>
      </c>
      <c r="L13" s="5">
        <f>MAX(0,L12*(1+Inputs!B19)-J13)</f>
        <v>5099607.971109801</v>
      </c>
      <c r="M13" s="5">
        <f>G13-H13+K13</f>
        <v>541543.290471459</v>
      </c>
      <c r="N13" s="5">
        <f>M13+I13-J13</f>
        <v>66699.37238899391</v>
      </c>
      <c r="O13" s="5">
        <f>L12*Inputs!B19</f>
        <v>240048.16747717894</v>
      </c>
      <c r="P13" s="5">
        <f>J13-O13</f>
        <v>234795.7506052862</v>
      </c>
      <c r="Q13" s="13">
        <f>A13+2027</f>
        <v>2038</v>
      </c>
      <c r="R13" s="15">
        <f>IF(J13&gt;0,G13/J13,0)</f>
        <v>1.1404658875243514</v>
      </c>
    </row>
    <row r="14" ht="30" customHeight="1">
      <c r="A14" s="11" t="n">
        <v>12</v>
      </c>
      <c r="B14" s="5">
        <f>'Room mix'!H5*(1+Inputs!B10)^(11-1)</f>
        <v>839643.3564923889</v>
      </c>
      <c r="C14" s="6">
        <f>Inputs!B9</f>
        <v>0.95</v>
      </c>
      <c r="D14" s="5">
        <f>B14*C14</f>
        <v>797661.1886677694</v>
      </c>
      <c r="E14" s="5">
        <f>D14*Inputs!B11</f>
        <v>223345.13282697546</v>
      </c>
      <c r="F14" s="5">
        <f>'Room mix'!D5*Inputs!B12*(1+Inputs!B10)^(11-1)</f>
        <v>21941.899559905632</v>
      </c>
      <c r="G14" s="5">
        <f>D14-E14-F14</f>
        <v>552374.1562808884</v>
      </c>
      <c r="H14" s="11" t="n">
        <v>0</v>
      </c>
      <c r="I14" s="11" t="n">
        <v>0</v>
      </c>
      <c r="J14" s="5">
        <f>IF(A14-1&lt;=Inputs!B20,Development!B10,0)</f>
        <v>474843.9180824651</v>
      </c>
      <c r="K14" s="11" t="n">
        <v>0</v>
      </c>
      <c r="L14" s="5">
        <f>MAX(0,L13*(1+Inputs!B19)-J14)</f>
        <v>4854246.411727277</v>
      </c>
      <c r="M14" s="5">
        <f>G14-H14+K14</f>
        <v>552374.1562808884</v>
      </c>
      <c r="N14" s="5">
        <f>M14+I14-J14</f>
        <v>77530.23819842323</v>
      </c>
      <c r="O14" s="5">
        <f>L13*Inputs!B19</f>
        <v>229482.35869994105</v>
      </c>
      <c r="P14" s="5">
        <f>J14-O14</f>
        <v>245361.55938252408</v>
      </c>
      <c r="Q14" s="13">
        <f>A14+2027</f>
        <v>2039</v>
      </c>
      <c r="R14" s="15">
        <f>IF(J14&gt;0,G14/J14,0)</f>
        <v>1.1632752052748387</v>
      </c>
    </row>
    <row r="15" ht="30" customHeight="1">
      <c r="A15" s="11" t="n">
        <v>13</v>
      </c>
      <c r="B15" s="5">
        <f>'Room mix'!H5*(1+Inputs!B10)^(12-1)</f>
        <v>856436.2236222366</v>
      </c>
      <c r="C15" s="6">
        <f>Inputs!B9</f>
        <v>0.95</v>
      </c>
      <c r="D15" s="5">
        <f>B15*C15</f>
        <v>813614.4124411248</v>
      </c>
      <c r="E15" s="5">
        <f>D15*Inputs!B11</f>
        <v>227812.03548351498</v>
      </c>
      <c r="F15" s="5">
        <f>'Room mix'!D5*Inputs!B12*(1+Inputs!B10)^(12-1)</f>
        <v>22380.737551103743</v>
      </c>
      <c r="G15" s="5">
        <f>D15-E15-F15</f>
        <v>563421.6394065061</v>
      </c>
      <c r="H15" s="11" t="n">
        <v>0</v>
      </c>
      <c r="I15" s="11" t="n">
        <v>0</v>
      </c>
      <c r="J15" s="5">
        <f>IF(A15-1&lt;=Inputs!B20,Development!B10,0)</f>
        <v>474843.9180824651</v>
      </c>
      <c r="K15" s="11" t="n">
        <v>0</v>
      </c>
      <c r="L15" s="5">
        <f>MAX(0,L14*(1+Inputs!B19)-J15)</f>
        <v>4597843.582172538</v>
      </c>
      <c r="M15" s="5">
        <f>G15-H15+K15</f>
        <v>563421.6394065061</v>
      </c>
      <c r="N15" s="5">
        <f>M15+I15-J15</f>
        <v>88577.72132404096</v>
      </c>
      <c r="O15" s="5">
        <f>L14*Inputs!B19</f>
        <v>218441.08852772744</v>
      </c>
      <c r="P15" s="5">
        <f>J15-O15</f>
        <v>256402.8295547377</v>
      </c>
      <c r="Q15" s="13">
        <f>A15+2027</f>
        <v>2040</v>
      </c>
      <c r="R15" s="15">
        <f>IF(J15&gt;0,G15/J15,0)</f>
        <v>1.1865407093803355</v>
      </c>
    </row>
    <row r="16" ht="30" customHeight="1">
      <c r="A16" s="11" t="n">
        <v>14</v>
      </c>
      <c r="B16" s="5">
        <f>'Room mix'!H5*(1+Inputs!B10)^(13-1)</f>
        <v>873564.9480946814</v>
      </c>
      <c r="C16" s="6">
        <f>Inputs!B9</f>
        <v>0.95</v>
      </c>
      <c r="D16" s="5">
        <f>B16*C16</f>
        <v>829886.7006899472</v>
      </c>
      <c r="E16" s="5">
        <f>D16*Inputs!B11</f>
        <v>232368.27619318524</v>
      </c>
      <c r="F16" s="5">
        <f>'Room mix'!D5*Inputs!B12*(1+Inputs!B10)^(13-1)</f>
        <v>22828.35230212582</v>
      </c>
      <c r="G16" s="5">
        <f>D16-E16-F16</f>
        <v>574690.0721946362</v>
      </c>
      <c r="H16" s="11" t="n">
        <v>0</v>
      </c>
      <c r="I16" s="11" t="n">
        <v>0</v>
      </c>
      <c r="J16" s="5">
        <f>IF(A16-1&lt;=Inputs!B20,Development!B10,0)</f>
        <v>474843.9180824651</v>
      </c>
      <c r="K16" s="11" t="n">
        <v>0</v>
      </c>
      <c r="L16" s="5">
        <f>MAX(0,L15*(1+Inputs!B19)-J16)</f>
        <v>4329902.625287836</v>
      </c>
      <c r="M16" s="5">
        <f>G16-H16+K16</f>
        <v>574690.0721946362</v>
      </c>
      <c r="N16" s="5">
        <f>M16+I16-J16</f>
        <v>99846.15411217109</v>
      </c>
      <c r="O16" s="5">
        <f>L15*Inputs!B19</f>
        <v>206902.9611977642</v>
      </c>
      <c r="P16" s="5">
        <f>J16-O16</f>
        <v>267940.9568847009</v>
      </c>
      <c r="Q16" s="13">
        <f>A16+2027</f>
        <v>2041</v>
      </c>
      <c r="R16" s="15">
        <f>IF(J16&gt;0,G16/J16,0)</f>
        <v>1.2102715235679422</v>
      </c>
    </row>
    <row r="17" ht="30" customHeight="1">
      <c r="A17" s="11" t="n">
        <v>15</v>
      </c>
      <c r="B17" s="5">
        <f>'Room mix'!H5*(1+Inputs!B10)^(14-1)</f>
        <v>891036.247056575</v>
      </c>
      <c r="C17" s="6">
        <f>Inputs!B9</f>
        <v>0.95</v>
      </c>
      <c r="D17" s="5">
        <f>B17*C17</f>
        <v>846484.4347037462</v>
      </c>
      <c r="E17" s="5">
        <f>D17*Inputs!B11</f>
        <v>237015.64171704897</v>
      </c>
      <c r="F17" s="5">
        <f>'Room mix'!D5*Inputs!B12*(1+Inputs!B10)^(14-1)</f>
        <v>23284.919348168336</v>
      </c>
      <c r="G17" s="5">
        <f>D17-E17-F17</f>
        <v>586183.873638529</v>
      </c>
      <c r="H17" s="11" t="n">
        <v>0</v>
      </c>
      <c r="I17" s="11" t="n">
        <v>0</v>
      </c>
      <c r="J17" s="5">
        <f>IF(A17-1&lt;=Inputs!B20,Development!B10,0)</f>
        <v>474843.9180824651</v>
      </c>
      <c r="K17" s="11" t="n">
        <v>0</v>
      </c>
      <c r="L17" s="5">
        <f>MAX(0,L16*(1+Inputs!B19)-J17)</f>
        <v>4049904.3253433234</v>
      </c>
      <c r="M17" s="5">
        <f>G17-H17+K17</f>
        <v>586183.873638529</v>
      </c>
      <c r="N17" s="5">
        <f>M17+I17-J17</f>
        <v>111339.95555606385</v>
      </c>
      <c r="O17" s="5">
        <f>L16*Inputs!B19</f>
        <v>194845.61813795264</v>
      </c>
      <c r="P17" s="5">
        <f>J17-O17</f>
        <v>279998.2999445125</v>
      </c>
      <c r="Q17" s="13">
        <f>A17+2027</f>
        <v>2042</v>
      </c>
      <c r="R17" s="15">
        <f>IF(J17&gt;0,G17/J17,0)</f>
        <v>1.2344769540393012</v>
      </c>
    </row>
    <row r="18" ht="30" customHeight="1">
      <c r="A18" s="11" t="n">
        <v>16</v>
      </c>
      <c r="B18" s="5">
        <f>'Room mix'!H5*(1+Inputs!B10)^(15-1)</f>
        <v>908856.9719977065</v>
      </c>
      <c r="C18" s="6">
        <f>Inputs!B9</f>
        <v>0.95</v>
      </c>
      <c r="D18" s="5">
        <f>B18*C18</f>
        <v>863414.1233978211</v>
      </c>
      <c r="E18" s="5">
        <f>D18*Inputs!B11</f>
        <v>241755.95455138994</v>
      </c>
      <c r="F18" s="5">
        <f>'Room mix'!D5*Inputs!B12*(1+Inputs!B10)^(15-1)</f>
        <v>23750.617735131702</v>
      </c>
      <c r="G18" s="5">
        <f>D18-E18-F18</f>
        <v>597907.5511112995</v>
      </c>
      <c r="H18" s="11" t="n">
        <v>0</v>
      </c>
      <c r="I18" s="11" t="n">
        <v>0</v>
      </c>
      <c r="J18" s="5">
        <f>IF(A18-1&lt;=Inputs!B20,Development!B10,0)</f>
        <v>474843.9180824651</v>
      </c>
      <c r="K18" s="11" t="n">
        <v>0</v>
      </c>
      <c r="L18" s="5">
        <f>MAX(0,L17*(1+Inputs!B19)-J18)</f>
        <v>3757306.101901308</v>
      </c>
      <c r="M18" s="5">
        <f>G18-H18+K18</f>
        <v>597907.5511112995</v>
      </c>
      <c r="N18" s="5">
        <f>M18+I18-J18</f>
        <v>123063.63302883442</v>
      </c>
      <c r="O18" s="5">
        <f>L17*Inputs!B19</f>
        <v>182245.69464044954</v>
      </c>
      <c r="P18" s="5">
        <f>J18-O18</f>
        <v>292598.2234420156</v>
      </c>
      <c r="Q18" s="13">
        <f>A18+2027</f>
        <v>2043</v>
      </c>
      <c r="R18" s="15">
        <f>IF(J18&gt;0,G18/J18,0)</f>
        <v>1.2591664931200872</v>
      </c>
    </row>
    <row r="19" ht="30" customHeight="1">
      <c r="A19" s="11" t="n">
        <v>17</v>
      </c>
      <c r="B19" s="5">
        <f>'Room mix'!H5*(1+Inputs!B10)^(16-1)</f>
        <v>927034.1114376606</v>
      </c>
      <c r="C19" s="6">
        <f>Inputs!B9</f>
        <v>0.95</v>
      </c>
      <c r="D19" s="5">
        <f>B19*C19</f>
        <v>880682.4058657775</v>
      </c>
      <c r="E19" s="5">
        <f>D19*Inputs!B11</f>
        <v>246591.07364241773</v>
      </c>
      <c r="F19" s="5">
        <f>'Room mix'!D5*Inputs!B12*(1+Inputs!B10)^(16-1)</f>
        <v>24225.63008983434</v>
      </c>
      <c r="G19" s="5">
        <f>D19-E19-F19</f>
        <v>609865.7021335254</v>
      </c>
      <c r="H19" s="11" t="n">
        <v>0</v>
      </c>
      <c r="I19" s="11" t="n">
        <v>0</v>
      </c>
      <c r="J19" s="5">
        <f>IF(A19-1&lt;=Inputs!B20,Development!B10,0)</f>
        <v>474843.9180824651</v>
      </c>
      <c r="K19" s="11" t="n">
        <v>0</v>
      </c>
      <c r="L19" s="5">
        <f>MAX(0,L18*(1+Inputs!B19)-J19)</f>
        <v>3451540.958404402</v>
      </c>
      <c r="M19" s="5">
        <f>G19-H19+K19</f>
        <v>609865.7021335254</v>
      </c>
      <c r="N19" s="5">
        <f>M19+I19-J19</f>
        <v>135021.78405106027</v>
      </c>
      <c r="O19" s="5">
        <f>L18*Inputs!B19</f>
        <v>169078.77458555886</v>
      </c>
      <c r="P19" s="5">
        <f>J19-O19</f>
        <v>305765.14349690627</v>
      </c>
      <c r="Q19" s="13">
        <f>A19+2027</f>
        <v>2044</v>
      </c>
      <c r="R19" s="15">
        <f>IF(J19&gt;0,G19/J19,0)</f>
        <v>1.2843498229824886</v>
      </c>
    </row>
    <row r="20" ht="30" customHeight="1">
      <c r="A20" s="11" t="n">
        <v>18</v>
      </c>
      <c r="B20" s="5">
        <f>'Room mix'!H5*(1+Inputs!B10)^(17-1)</f>
        <v>945574.7936664139</v>
      </c>
      <c r="C20" s="6">
        <f>Inputs!B9</f>
        <v>0.95</v>
      </c>
      <c r="D20" s="5">
        <f>B20*C20</f>
        <v>898296.0539830931</v>
      </c>
      <c r="E20" s="5">
        <f>D20*Inputs!B11</f>
        <v>251522.8951152661</v>
      </c>
      <c r="F20" s="5">
        <f>'Room mix'!D5*Inputs!B12*(1+Inputs!B10)^(17-1)</f>
        <v>24710.142691631027</v>
      </c>
      <c r="G20" s="5">
        <f>D20-E20-F20</f>
        <v>622063.016176196</v>
      </c>
      <c r="H20" s="11" t="n">
        <v>0</v>
      </c>
      <c r="I20" s="11" t="n">
        <v>0</v>
      </c>
      <c r="J20" s="5">
        <f>IF(A20-1&lt;=Inputs!B20,Development!B10,0)</f>
        <v>474843.9180824651</v>
      </c>
      <c r="K20" s="11" t="n">
        <v>0</v>
      </c>
      <c r="L20" s="5">
        <f>MAX(0,L19*(1+Inputs!B19)-J20)</f>
        <v>3132016.3834501347</v>
      </c>
      <c r="M20" s="5">
        <f>G20-H20+K20</f>
        <v>622063.016176196</v>
      </c>
      <c r="N20" s="5">
        <f>M20+I20-J20</f>
        <v>147219.09809373092</v>
      </c>
      <c r="O20" s="5">
        <f>L19*Inputs!B19</f>
        <v>155319.3431281981</v>
      </c>
      <c r="P20" s="5">
        <f>J20-O20</f>
        <v>319524.574954267</v>
      </c>
      <c r="Q20" s="13">
        <f>A20+2027</f>
        <v>2045</v>
      </c>
      <c r="R20" s="15">
        <f>IF(J20&gt;0,G20/J20,0)</f>
        <v>1.3100368194421386</v>
      </c>
    </row>
    <row r="21" ht="30" customHeight="1">
      <c r="A21" s="11" t="n">
        <v>19</v>
      </c>
      <c r="B21" s="5">
        <f>'Room mix'!H5*(1+Inputs!B10)^(18-1)</f>
        <v>964486.2895397423</v>
      </c>
      <c r="C21" s="6">
        <f>Inputs!B9</f>
        <v>0.95</v>
      </c>
      <c r="D21" s="5">
        <f>B21*C21</f>
        <v>916261.9750627552</v>
      </c>
      <c r="E21" s="5">
        <f>D21*Inputs!B11</f>
        <v>256553.35301757147</v>
      </c>
      <c r="F21" s="5">
        <f>'Room mix'!D5*Inputs!B12*(1+Inputs!B10)^(18-1)</f>
        <v>25204.345545463646</v>
      </c>
      <c r="G21" s="5">
        <f>D21-E21-F21</f>
        <v>634504.27649972</v>
      </c>
      <c r="H21" s="11" t="n">
        <v>0</v>
      </c>
      <c r="I21" s="11" t="n">
        <v>0</v>
      </c>
      <c r="J21" s="5">
        <f>IF(A21-1&lt;=Inputs!B20,Development!B10,0)</f>
        <v>474843.9180824651</v>
      </c>
      <c r="K21" s="11" t="n">
        <v>0</v>
      </c>
      <c r="L21" s="5">
        <f>MAX(0,L20*(1+Inputs!B19)-J21)</f>
        <v>2798113.2026229254</v>
      </c>
      <c r="M21" s="5">
        <f>G21-H21+K21</f>
        <v>634504.27649972</v>
      </c>
      <c r="N21" s="5">
        <f>M21+I21-J21</f>
        <v>159660.35841725493</v>
      </c>
      <c r="O21" s="5">
        <f>L20*Inputs!B19</f>
        <v>140940.73725525604</v>
      </c>
      <c r="P21" s="5">
        <f>J21-O21</f>
        <v>333903.1808272091</v>
      </c>
      <c r="Q21" s="13">
        <f>A21+2027</f>
        <v>2046</v>
      </c>
      <c r="R21" s="15">
        <f>IF(J21&gt;0,G21/J21,0)</f>
        <v>1.3362375558309816</v>
      </c>
    </row>
    <row r="22" ht="30" customHeight="1">
      <c r="A22" s="11" t="n">
        <v>20</v>
      </c>
      <c r="B22" s="5">
        <f>'Room mix'!H5*(1+Inputs!B10)^(19-1)</f>
        <v>983776.0153305371</v>
      </c>
      <c r="C22" s="6">
        <f>Inputs!B9</f>
        <v>0.95</v>
      </c>
      <c r="D22" s="5">
        <f>B22*C22</f>
        <v>934587.2145640102</v>
      </c>
      <c r="E22" s="5">
        <f>D22*Inputs!B11</f>
        <v>261684.42007792287</v>
      </c>
      <c r="F22" s="5">
        <f>'Room mix'!D5*Inputs!B12*(1+Inputs!B10)^(19-1)</f>
        <v>25708.43245637292</v>
      </c>
      <c r="G22" s="5">
        <f>D22-E22-F22</f>
        <v>647194.3620297144</v>
      </c>
      <c r="H22" s="11" t="n">
        <v>0</v>
      </c>
      <c r="I22" s="11" t="n">
        <v>0</v>
      </c>
      <c r="J22" s="5">
        <f>IF(A22-1&lt;=Inputs!B20,Development!B10,0)</f>
        <v>474843.9180824651</v>
      </c>
      <c r="K22" s="11" t="n">
        <v>0</v>
      </c>
      <c r="L22" s="5">
        <f>MAX(0,L21*(1+Inputs!B19)-J22)</f>
        <v>2449184.378658492</v>
      </c>
      <c r="M22" s="5">
        <f>G22-H22+K22</f>
        <v>647194.3620297144</v>
      </c>
      <c r="N22" s="5">
        <f>M22+I22-J22</f>
        <v>172350.44394724927</v>
      </c>
      <c r="O22" s="5">
        <f>L21*Inputs!B19</f>
        <v>125915.09411803164</v>
      </c>
      <c r="P22" s="5">
        <f>J22-O22</f>
        <v>348928.8239644335</v>
      </c>
      <c r="Q22" s="13">
        <f>A22+2027</f>
        <v>2047</v>
      </c>
      <c r="R22" s="15">
        <f>IF(J22&gt;0,G22/J22,0)</f>
        <v>1.3629623069476011</v>
      </c>
    </row>
    <row r="23" ht="30" customHeight="1">
      <c r="A23" s="11" t="n">
        <v>21</v>
      </c>
      <c r="B23" s="5">
        <f>'Room mix'!H5*(1+Inputs!B10)^(20-1)</f>
        <v>1003451.5356371478</v>
      </c>
      <c r="C23" s="6">
        <f>Inputs!B9</f>
        <v>0.95</v>
      </c>
      <c r="D23" s="5">
        <f>B23*C23</f>
        <v>953278.9588552904</v>
      </c>
      <c r="E23" s="5">
        <f>D23*Inputs!B11</f>
        <v>266918.10847948137</v>
      </c>
      <c r="F23" s="5">
        <f>'Room mix'!D5*Inputs!B12*(1+Inputs!B10)^(20-1)</f>
        <v>26222.60110550038</v>
      </c>
      <c r="G23" s="5">
        <f>D23-E23-F23</f>
        <v>660138.2492703086</v>
      </c>
      <c r="H23" s="11" t="n">
        <v>0</v>
      </c>
      <c r="I23" s="11" t="n">
        <v>0</v>
      </c>
      <c r="J23" s="5">
        <f>IF(A23-1&lt;=Inputs!B20,Development!B10,0)</f>
        <v>474843.9180824651</v>
      </c>
      <c r="K23" s="5">
        <f>G23*(1+Inputs!B10)/Inputs!B22*(1-Inputs!B23)</f>
        <v>11997712.617647283</v>
      </c>
      <c r="L23" s="5">
        <f>MAX(0,L22*(1+Inputs!B19)-J23)</f>
        <v>2084553.7576156587</v>
      </c>
      <c r="M23" s="5">
        <f>G23-H23+K23</f>
        <v>12657850.866917592</v>
      </c>
      <c r="N23" s="5">
        <f>M23+I23-J23-L23</f>
        <v>10098453.191219468</v>
      </c>
      <c r="O23" s="5">
        <f>L22*Inputs!B19</f>
        <v>110213.29703963215</v>
      </c>
      <c r="P23" s="5">
        <f>J23-O23</f>
        <v>364630.62104283297</v>
      </c>
      <c r="Q23" s="13">
        <f>A23+2027</f>
        <v>2048</v>
      </c>
      <c r="R23" s="15">
        <f>IF(J23&gt;0,G23/J23,0)</f>
        <v>1.3902215530865532</v>
      </c>
    </row>
    <row r="24" ht="30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30" customHeight="1">
      <c r="A25" s="2" t="inlineStr">
        <is>
          <t>Development costs exclude financing interest; equity cash flow includes it. NOI is after a replacement reserve.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 ht="30" customHeight="1">
      <c r="A26" s="2" t="inlineStr">
        <is>
          <t>First operating NOI is G4. G5 is the second operating year (stabilised occupancy). Exit uses next-year NOI.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autoFilter ref="A1:R26"/>
  <mergeCells count="2">
    <mergeCell ref="A25:N25"/>
    <mergeCell ref="A26:N26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0"/>
    <pageSetUpPr fitToPage="1"/>
  </sheetPr>
  <dimension ref="A1:B2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Decision dashboard</t>
        </is>
      </c>
      <c r="B1" s="8" t="inlineStr">
        <is>
          <t>Value</t>
        </is>
      </c>
    </row>
    <row r="2" ht="30" customHeight="1">
      <c r="A2" s="2" t="n"/>
      <c r="B2" s="2" t="n"/>
    </row>
    <row r="3" ht="30" customHeight="1">
      <c r="A3" s="2" t="inlineStr">
        <is>
          <t>Total beds</t>
        </is>
      </c>
      <c r="B3" s="13">
        <f>'Room mix'!D5</f>
        <v>120</v>
      </c>
    </row>
    <row r="4" ht="30" customHeight="1">
      <c r="A4" s="2" t="inlineStr">
        <is>
          <t>Total units</t>
        </is>
      </c>
      <c r="B4" s="5">
        <f>'Room mix'!B5</f>
        <v>100</v>
      </c>
    </row>
    <row r="5" ht="30" customHeight="1">
      <c r="A5" s="2" t="inlineStr">
        <is>
          <t>Total gross area</t>
        </is>
      </c>
      <c r="B5" s="5">
        <f>'Room mix'!F5</f>
        <v>3108.0</v>
      </c>
    </row>
    <row r="6" ht="30" customHeight="1">
      <c r="A6" s="2" t="inlineStr">
        <is>
          <t>Total development cost</t>
        </is>
      </c>
      <c r="B6" s="5">
        <f>Development!B7</f>
        <v>13118821.25789</v>
      </c>
    </row>
    <row r="7" ht="30" customHeight="1">
      <c r="A7" s="2" t="inlineStr">
        <is>
          <t>Stabilised NOI</t>
        </is>
      </c>
      <c r="B7" s="5">
        <f>'Cash flow'!G5</f>
        <v>462201.98399999994</v>
      </c>
    </row>
    <row r="8" ht="30" customHeight="1">
      <c r="A8" s="2" t="inlineStr">
        <is>
          <t>Yield on cost</t>
        </is>
      </c>
      <c r="B8" s="6">
        <f>B7/B6</f>
        <v>0.03523197510767362</v>
      </c>
    </row>
    <row r="9" ht="30" customHeight="1">
      <c r="A9" s="2" t="inlineStr">
        <is>
          <t>Unlevered NPV</t>
        </is>
      </c>
      <c r="B9" s="5">
        <f>NPV(Inputs!B21,'Cash flow'!M3:M23)+'Cash flow'!M2</f>
        <v>-5223424.748954908</v>
      </c>
    </row>
    <row r="10" ht="30" customHeight="1">
      <c r="A10" s="2" t="inlineStr">
        <is>
          <t>Unlevered IRR</t>
        </is>
      </c>
      <c r="B10" s="6">
        <f>IFERROR(IRR('Cash flow'!M2:M23),0)</f>
        <v>0.03815739619420444</v>
      </c>
    </row>
    <row r="11" ht="30" customHeight="1">
      <c r="A11" s="2" t="inlineStr">
        <is>
          <t>Equity NPV</t>
        </is>
      </c>
      <c r="B11" s="5">
        <f>NPV(Inputs!B31,'Cash flow'!N3:N23)+'Cash flow'!N2</f>
        <v>-4166047.7488172865</v>
      </c>
    </row>
    <row r="12" ht="30" customHeight="1">
      <c r="A12" s="2" t="inlineStr">
        <is>
          <t>Equity IRR</t>
        </is>
      </c>
      <c r="B12" s="6">
        <f>IFERROR(IRR('Cash flow'!N2:N23),0)</f>
        <v>0.031977438370682454</v>
      </c>
    </row>
    <row r="13" ht="30" customHeight="1">
      <c r="A13" s="2" t="inlineStr">
        <is>
          <t>Stabilised DSCR</t>
        </is>
      </c>
      <c r="B13" s="15">
        <f>B7/Development!B10</f>
        <v>0.9733766536728187</v>
      </c>
    </row>
    <row r="14" ht="60" customHeight="1">
      <c r="A14" s="2" t="inlineStr">
        <is>
          <t>Preliminary decision</t>
        </is>
      </c>
      <c r="B14" s="5" t="str">
        <f>IF(B9&gt;0,"Financially viable under assumptions","Redesign / lower land and construction cost")</f>
        <v>Redesign / lower land and construction cost</v>
      </c>
    </row>
    <row r="15" ht="30" customHeight="1">
      <c r="A15" s="2" t="n"/>
      <c r="B15" s="2" t="n"/>
    </row>
    <row r="16" ht="60" customHeight="1">
      <c r="A16" s="2" t="inlineStr">
        <is>
          <t>Rent reference status</t>
        </is>
      </c>
      <c r="B16" s="5" t="str">
        <f>IF(COUNTIF('Rent rules'!C2:C4,"&gt;0")=3,"Reference inputs supplied; final legal review required","NOT VERIFIED - enter official references")</f>
        <v>NOT VERIFIED - enter official references</v>
      </c>
    </row>
    <row r="17" ht="30" customHeight="1">
      <c r="A17" s="2" t="inlineStr">
        <is>
          <t>Demand screen</t>
        </is>
      </c>
      <c r="B17" s="5" t="str">
        <f>'Demand &amp; competition'!B12</f>
        <v>Within planning envelope</v>
      </c>
    </row>
    <row r="18" ht="30" customHeight="1">
      <c r="A18" s="2" t="inlineStr">
        <is>
          <t>Opening calendar year</t>
        </is>
      </c>
      <c r="B18" s="11" t="n">
        <v>2029</v>
      </c>
    </row>
    <row r="19" ht="30" customHeight="1">
      <c r="A19" s="2" t="inlineStr">
        <is>
          <t>Funding per bed</t>
        </is>
      </c>
      <c r="B19" s="5">
        <f>Development!B16</f>
        <v>109323.51048241666</v>
      </c>
    </row>
    <row r="20" ht="30" customHeight="1">
      <c r="A20" s="2" t="inlineStr">
        <is>
          <t>Break-even occupancy (NOI covers debt)</t>
        </is>
      </c>
      <c r="B20" s="6">
        <f>(Development!B10+'Cash flow'!F5)/('Cash flow'!B5*(1-Inputs!B11))</f>
        <v>0.9749912348005079</v>
      </c>
    </row>
    <row r="21" ht="60" customHeight="1">
      <c r="A21" s="2" t="inlineStr">
        <is>
          <t>Operating rent multiplier for NPV=0</t>
        </is>
      </c>
      <c r="B21" s="2" t="inlineStr">
        <is>
          <t>See sensitivity and scenarios; increases remain subject to reference-rent rules.</t>
        </is>
      </c>
    </row>
    <row r="22" ht="30" customHeight="1">
      <c r="A22" s="2" t="n"/>
      <c r="B22" s="2" t="n"/>
    </row>
    <row r="23" ht="60" customHeight="1">
      <c r="A23" s="2" t="inlineStr">
        <is>
          <t>Investment gate</t>
        </is>
      </c>
      <c r="B23" s="5" t="str">
        <f>IF(AND(B9&gt;0,B13&gt;=1.2,COUNTIF('Rent rules'!C2:C4,"&gt;0")=3),"Proceed to detailed due diligence","HOLD: financial and/or rent-reference gate unmet")</f>
        <v>HOLD: financial and/or rent-reference gate unmet</v>
      </c>
    </row>
  </sheetData>
  <autoFilter ref="A1:B23"/>
  <pageMargins left="0.75" right="0.75" top="1" bottom="1" header="0.5" footer="0.5"/>
  <pageSetup orientation="landscape" paperSize="8" fitToHeight="0" fitToWidth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0"/>
    <pageSetUpPr fitToPage="1"/>
  </sheetPr>
  <dimension ref="A1:D1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65" customWidth="1" min="2" max="2"/>
    <col width="8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ID / topic</t>
        </is>
      </c>
      <c r="B1" s="8" t="inlineStr">
        <is>
          <t>Primary URL</t>
        </is>
      </c>
      <c r="C1" s="8" t="inlineStr">
        <is>
          <t>Evidence / model treatment</t>
        </is>
      </c>
      <c r="D1" s="8" t="inlineStr">
        <is>
          <t>Publication / access</t>
        </is>
      </c>
    </row>
    <row r="2" ht="76" customHeight="1">
      <c r="A2" s="2" t="inlineStr">
        <is>
          <t>S1 Demand</t>
        </is>
      </c>
      <c r="B2" s="7" t="inlineStr">
        <is>
          <t>https://perspective.brussels/fr/actualites/un-etudiant-sur-trois-trouve-un-kot-dans-un-logement-qui-lui-est-destine</t>
        </is>
      </c>
      <c r="C2" s="2" t="inlineStr">
        <is>
          <t>137,000+ students; 37,000+ housing users; 11,305 dedicated units. Cross-year regional proxy only.</t>
        </is>
      </c>
      <c r="D2" s="2" t="inlineStr">
        <is>
          <t>6 Jan 2026 / 14 Oct 2026</t>
        </is>
      </c>
    </row>
    <row r="3" ht="76" customHeight="1">
      <c r="A3" s="2" t="inlineStr">
        <is>
          <t>S2 Usquare permit</t>
        </is>
      </c>
      <c r="B3" s="7" t="inlineStr">
        <is>
          <t>https://msi.brussels/nieuws/usquare-de-msi-dient-vergunningsaanvraag-voor-465-studentenwoningen</t>
        </is>
      </c>
      <c r="C3" s="2" t="inlineStr">
        <is>
          <t>465 student rooms in permit application; replaces older 460-room concept.</t>
        </is>
      </c>
      <c r="D3" s="2" t="inlineStr">
        <is>
          <t>25 Aug 2026 / 14 Oct 2026</t>
        </is>
      </c>
    </row>
    <row r="4" ht="76" customHeight="1">
      <c r="A4" s="2" t="inlineStr">
        <is>
          <t>S3 Usquare schedule</t>
        </is>
      </c>
      <c r="B4" s="7" t="inlineStr">
        <is>
          <t>https://usquare.brussels/en/schedule</t>
        </is>
      </c>
      <c r="C4" s="2" t="inlineStr">
        <is>
          <t>Provisional September 2029 commissioning; 30-36 month works. Not a completion guarantee.</t>
        </is>
      </c>
      <c r="D4" s="2" t="inlineStr">
        <is>
          <t>Access 14 Oct 2026</t>
        </is>
      </c>
    </row>
    <row r="5" ht="76" customHeight="1">
      <c r="A5" s="2" t="inlineStr">
        <is>
          <t>S4 Bru Upkot</t>
        </is>
      </c>
      <c r="B5" s="7" t="inlineStr">
        <is>
          <t>https://www.upkot.be/en/locations/brussels/bru-upkot</t>
        </is>
      </c>
      <c r="C5" s="2" t="inlineStr">
        <is>
          <t>216 rooms; 2026-27 prices: entry 589+119; 1p studio 769+134; 2p studio 859+164 EUR/month.</t>
        </is>
      </c>
      <c r="D5" s="2" t="inlineStr">
        <is>
          <t>2026-27 / 14 Oct 2026</t>
        </is>
      </c>
    </row>
    <row r="6" ht="76" customHeight="1">
      <c r="A6" s="2" t="inlineStr">
        <is>
          <t>S5 VUB stock</t>
        </is>
      </c>
      <c r="B6" s="7" t="inlineStr">
        <is>
          <t>https://www.vub.be/en/studying-vub/practical-info-for-students/student-housing</t>
        </is>
      </c>
      <c r="C6" s="2" t="inlineStr">
        <is>
          <t>1,540 rooms across campus network, not Etterbeek alone.</t>
        </is>
      </c>
      <c r="D6" s="2" t="inlineStr">
        <is>
          <t>Access 14 Oct 2026</t>
        </is>
      </c>
    </row>
    <row r="7" ht="76" customHeight="1">
      <c r="A7" s="2" t="inlineStr">
        <is>
          <t>S6 VUB rents</t>
        </is>
      </c>
      <c r="B7" s="7" t="inlineStr">
        <is>
          <t>https://www.vub.be/en/studying-vub/practical-info-for-students/student-housing/practical-housing-information</t>
        </is>
      </c>
      <c r="C7" s="2" t="inlineStr">
        <is>
          <t>2026-27: room 449.30, single studio 561.60, two-person flat 674 EUR/month including listed services; demand exceeds supply.</t>
        </is>
      </c>
      <c r="D7" s="2" t="inlineStr">
        <is>
          <t>Updated 18 Sep 2026 / 14 Oct 2026</t>
        </is>
      </c>
    </row>
    <row r="8" ht="76" customHeight="1">
      <c r="A8" s="2" t="inlineStr">
        <is>
          <t>S7 Rent regulation</t>
        </is>
      </c>
      <c r="B8" s="7" t="inlineStr">
        <is>
          <t>https://be.brussels/fr/logement/location/bail-dhabitation/loyers-de-reference</t>
        </is>
      </c>
      <c r="C8" s="2" t="inlineStr">
        <is>
          <t>Reference must be in lease; &gt;20% above reference presumed excessive with potential justification; quality issues can affect lower rents; obligation from 1 May 2025.</t>
        </is>
      </c>
      <c r="D8" s="2" t="inlineStr">
        <is>
          <t>Access 14 Oct 2026</t>
        </is>
      </c>
    </row>
    <row r="9" ht="76" customHeight="1">
      <c r="A9" s="2" t="inlineStr">
        <is>
          <t>S8 Calculator</t>
        </is>
      </c>
      <c r="B9" s="7" t="inlineStr">
        <is>
          <t>https://loyers.brussels/</t>
        </is>
      </c>
      <c r="C9" s="2" t="inlineStr">
        <is>
          <t>Exact site and property details required. No official reference amount assumed in this model.</t>
        </is>
      </c>
      <c r="D9" s="2" t="inlineStr">
        <is>
          <t>Not calculated: missing site</t>
        </is>
      </c>
    </row>
    <row r="10" ht="76" customHeight="1">
      <c r="A10" s="2" t="inlineStr">
        <is>
          <t>A1 Cost / finance</t>
        </is>
      </c>
      <c r="B10" s="2" t="inlineStr">
        <is>
          <t>Analyst assumptions, not market quotes</t>
        </is>
      </c>
      <c r="C10" s="2" t="inlineStr">
        <is>
          <t>Hard costs 2200 EUR/gross sqm, land 1.8m, 21% nonrecoverable VAT, financing 4.5%, land fees 15%; obtain quotations.</t>
        </is>
      </c>
      <c r="D10" s="2" t="inlineStr">
        <is>
          <t>14 Oct 2026</t>
        </is>
      </c>
    </row>
  </sheetData>
  <autoFilter ref="A1:D10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E2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Evidence / planning assumption</t>
        </is>
      </c>
      <c r="B1" s="8" t="inlineStr">
        <is>
          <t>Value</t>
        </is>
      </c>
      <c r="C1" s="8" t="inlineStr">
        <is>
          <t>Interpretation / source ID</t>
        </is>
      </c>
      <c r="D1" s="8" t="n"/>
      <c r="E1" s="8" t="n"/>
    </row>
    <row r="2" ht="30" customHeight="1">
      <c r="A2" s="2" t="inlineStr">
        <is>
          <t>Brussels students, 2022-23</t>
        </is>
      </c>
      <c r="B2" s="11" t="n">
        <v>137000</v>
      </c>
      <c r="C2" s="2" t="inlineStr">
        <is>
          <t>Lower-bound rounded figure; S1</t>
        </is>
      </c>
      <c r="D2" s="2" t="n"/>
      <c r="E2" s="2" t="n"/>
    </row>
    <row r="3" ht="30" customHeight="1">
      <c r="A3" s="2" t="inlineStr">
        <is>
          <t>Students using accommodation, 2022-23</t>
        </is>
      </c>
      <c r="B3" s="11" t="n">
        <v>37000</v>
      </c>
      <c r="C3" s="2" t="inlineStr">
        <is>
          <t>At least; regional demand indicator, not new vacant demand; S1</t>
        </is>
      </c>
      <c r="D3" s="2" t="n"/>
      <c r="E3" s="2" t="n"/>
    </row>
    <row r="4" ht="30" customHeight="1">
      <c r="A4" s="2" t="inlineStr">
        <is>
          <t>Dedicated student units, 2025</t>
        </is>
      </c>
      <c r="B4" s="11" t="n">
        <v>11305</v>
      </c>
      <c r="C4" s="2" t="inlineStr">
        <is>
          <t>Units are not necessarily beds; cross-period comparison; S1</t>
        </is>
      </c>
      <c r="D4" s="2" t="n"/>
      <c r="E4" s="2" t="n"/>
    </row>
    <row r="5" ht="30" customHeight="1">
      <c r="A5" s="2" t="inlineStr">
        <is>
          <t>Indicative non-dedicated demand</t>
        </is>
      </c>
      <c r="B5" s="5">
        <f>B3-B4</f>
        <v>25695</v>
      </c>
      <c r="C5" s="2" t="inlineStr">
        <is>
          <t>Proxy only; many already housed in ordinary rentals</t>
        </is>
      </c>
      <c r="D5" s="2" t="n"/>
      <c r="E5" s="2" t="n"/>
    </row>
    <row r="6" ht="30" customHeight="1">
      <c r="A6" s="2" t="inlineStr">
        <is>
          <t>Usquare proposed rooms</t>
        </is>
      </c>
      <c r="B6" s="11" t="n">
        <v>465</v>
      </c>
      <c r="C6" s="2" t="inlineStr">
        <is>
          <t>Permit submitted 25 Aug 2026; S2</t>
        </is>
      </c>
      <c r="D6" s="2" t="n"/>
      <c r="E6" s="2" t="n"/>
    </row>
    <row r="7" ht="30" customHeight="1">
      <c r="A7" s="2" t="inlineStr">
        <is>
          <t>Pipeline overlap factor</t>
        </is>
      </c>
      <c r="B7" s="11" t="n">
        <v>1</v>
      </c>
      <c r="C7" s="2" t="inlineStr">
        <is>
          <t>Conservative assumption: all compete with project</t>
        </is>
      </c>
      <c r="D7" s="2" t="n"/>
      <c r="E7" s="2" t="n"/>
    </row>
    <row r="8" ht="30" customHeight="1">
      <c r="A8" s="2" t="inlineStr">
        <is>
          <t>Residual proxy</t>
        </is>
      </c>
      <c r="B8" s="5">
        <f>MAX(0,B5-B6*B7)</f>
        <v>25230</v>
      </c>
      <c r="C8" s="2" t="inlineStr">
        <is>
          <t>Not a verified local waiting list</t>
        </is>
      </c>
      <c r="D8" s="2" t="n"/>
      <c r="E8" s="2" t="n"/>
    </row>
    <row r="9" ht="30" customHeight="1">
      <c r="A9" s="2" t="inlineStr">
        <is>
          <t>Local addressable capture assumption</t>
        </is>
      </c>
      <c r="B9" s="12" t="n">
        <v>0.006</v>
      </c>
      <c r="C9" s="2" t="inlineStr">
        <is>
          <t>0.6% of proxy; replace with local survey</t>
        </is>
      </c>
      <c r="D9" s="2" t="n"/>
      <c r="E9" s="2" t="n"/>
    </row>
    <row r="10" ht="30" customHeight="1">
      <c r="A10" s="2" t="inlineStr">
        <is>
          <t>Indicative addressable beds</t>
        </is>
      </c>
      <c r="B10" s="5">
        <f>B8*B9</f>
        <v>151.38</v>
      </c>
      <c r="C10" s="2" t="inlineStr">
        <is>
          <t>Screening estimate only</t>
        </is>
      </c>
      <c r="D10" s="2" t="n"/>
      <c r="E10" s="2" t="n"/>
    </row>
    <row r="11" ht="30" customHeight="1">
      <c r="A11" s="2" t="inlineStr">
        <is>
          <t>Proposed beds</t>
        </is>
      </c>
      <c r="B11" s="5">
        <f>'Room mix'!D5</f>
        <v>120</v>
      </c>
      <c r="C11" s="2" t="inlineStr">
        <is>
          <t>100 units / 120 beds baseline</t>
        </is>
      </c>
      <c r="D11" s="2" t="n"/>
      <c r="E11" s="2" t="n"/>
    </row>
    <row r="12" ht="30" customHeight="1">
      <c r="A12" s="2" t="inlineStr">
        <is>
          <t>Beds versus addressable estimate</t>
        </is>
      </c>
      <c r="B12" s="5" t="str">
        <f>IF(B11&lt;=B10,"Within planning envelope","Capacity exceeds assumed envelope")</f>
        <v>Within planning envelope</v>
      </c>
      <c r="C12" s="2" t="inlineStr">
        <is>
          <t>Demand gate; validate pre-letting</t>
        </is>
      </c>
      <c r="D12" s="2" t="n"/>
      <c r="E12" s="2" t="n"/>
    </row>
    <row r="13" ht="30" customHeight="1">
      <c r="A13" s="2" t="inlineStr">
        <is>
          <t>Expected stabilised occupied beds</t>
        </is>
      </c>
      <c r="B13" s="5">
        <f>B11*Inputs!B9</f>
        <v>114.0</v>
      </c>
      <c r="C13" s="2" t="inlineStr">
        <is>
          <t>95% assumption, not observed market occupancy</t>
        </is>
      </c>
      <c r="D13" s="2" t="n"/>
      <c r="E13" s="2" t="n"/>
    </row>
    <row r="14" ht="30" customHeight="1">
      <c r="A14" s="2" t="inlineStr">
        <is>
          <t>Usquare opening target</t>
        </is>
      </c>
      <c r="B14" s="11" t="n">
        <v>2029</v>
      </c>
      <c r="C14" s="2" t="inlineStr">
        <is>
          <t>S3 provisional schedule; older 2026 announcement superseded</t>
        </is>
      </c>
      <c r="D14" s="2" t="n"/>
      <c r="E14" s="2" t="n"/>
    </row>
    <row r="15" ht="30" customHeight="1">
      <c r="A15" s="2" t="n"/>
      <c r="B15" s="2" t="n"/>
      <c r="C15" s="2" t="n"/>
      <c r="D15" s="2" t="n"/>
      <c r="E15" s="2" t="n"/>
    </row>
    <row r="16" ht="30" customHeight="1">
      <c r="A16" s="2" t="n"/>
      <c r="B16" s="2" t="n"/>
      <c r="C16" s="2" t="n"/>
      <c r="D16" s="2" t="n"/>
      <c r="E16" s="2" t="n"/>
    </row>
    <row r="17" ht="30" customHeight="1">
      <c r="A17" s="2" t="inlineStr">
        <is>
          <t>Competitor / status</t>
        </is>
      </c>
      <c r="B17" s="2" t="inlineStr">
        <is>
          <t>Beds or units</t>
        </is>
      </c>
      <c r="C17" s="2" t="inlineStr">
        <is>
          <t>Rent/month</t>
        </is>
      </c>
      <c r="D17" s="2" t="inlineStr">
        <is>
          <t>Charges</t>
        </is>
      </c>
      <c r="E17" s="2" t="inlineStr">
        <is>
          <t>Source / implication</t>
        </is>
      </c>
    </row>
    <row r="18" ht="47" customHeight="1">
      <c r="A18" s="2" t="inlineStr">
        <is>
          <t>Usquare / proposed</t>
        </is>
      </c>
      <c r="B18" s="11" t="n">
        <v>465</v>
      </c>
      <c r="C18" s="2" t="inlineStr">
        <is>
          <t>Not published</t>
        </is>
      </c>
      <c r="D18" s="2" t="inlineStr">
        <is>
          <t>Unknown</t>
        </is>
      </c>
      <c r="E18" s="2" t="inlineStr">
        <is>
          <t>S2/S3: affordable pipeline, 2029 target; monitor permit and delivery</t>
        </is>
      </c>
    </row>
    <row r="19" ht="47" customHeight="1">
      <c r="A19" s="2" t="inlineStr">
        <is>
          <t>Bru Upkot / operating</t>
        </is>
      </c>
      <c r="B19" s="11" t="n">
        <v>216</v>
      </c>
      <c r="C19" s="11" t="n">
        <v>589</v>
      </c>
      <c r="D19" s="11" t="n">
        <v>119</v>
      </c>
      <c r="E19" s="2" t="inlineStr">
        <is>
          <t>S4: entry room; 0.75km to VUB; existing stock, do not subtract again</t>
        </is>
      </c>
    </row>
    <row r="20" ht="47" customHeight="1">
      <c r="A20" s="2" t="inlineStr">
        <is>
          <t>Bru Upkot / 1p studio</t>
        </is>
      </c>
      <c r="B20" s="2" t="n"/>
      <c r="C20" s="11" t="n">
        <v>769</v>
      </c>
      <c r="D20" s="11" t="n">
        <v>134</v>
      </c>
      <c r="E20" s="2" t="inlineStr">
        <is>
          <t>S4: 2026-27 asking rent</t>
        </is>
      </c>
    </row>
    <row r="21" ht="47" customHeight="1">
      <c r="A21" s="2" t="inlineStr">
        <is>
          <t>Bru Upkot / 2p studio</t>
        </is>
      </c>
      <c r="B21" s="2" t="n"/>
      <c r="C21" s="11" t="n">
        <v>859</v>
      </c>
      <c r="D21" s="11" t="n">
        <v>164</v>
      </c>
      <c r="E21" s="2" t="inlineStr">
        <is>
          <t>S4: unit asking rent; per person half if 2 tenants</t>
        </is>
      </c>
    </row>
    <row r="22" ht="47" customHeight="1">
      <c r="A22" s="2" t="inlineStr">
        <is>
          <t>VUB / operating network</t>
        </is>
      </c>
      <c r="B22" s="11" t="n">
        <v>1540</v>
      </c>
      <c r="C22" s="11" t="n">
        <v>449.3</v>
      </c>
      <c r="D22" s="2" t="inlineStr">
        <is>
          <t>Included</t>
        </is>
      </c>
      <c r="E22" s="2" t="inlineStr">
        <is>
          <t>S5/S6: across Etterbeek + Jette; not all local</t>
        </is>
      </c>
    </row>
    <row r="23" ht="47" customHeight="1">
      <c r="A23" s="2" t="inlineStr">
        <is>
          <t>VUB / restricted single studio</t>
        </is>
      </c>
      <c r="B23" s="11" t="n">
        <v>12</v>
      </c>
      <c r="C23" s="11" t="n">
        <v>561.6</v>
      </c>
      <c r="D23" s="2" t="inlineStr">
        <is>
          <t>Included</t>
        </is>
      </c>
      <c r="E23" s="2" t="inlineStr">
        <is>
          <t>S6: reserved for medical need; not general private market</t>
        </is>
      </c>
    </row>
    <row r="24" ht="47" customHeight="1">
      <c r="A24" s="2" t="inlineStr">
        <is>
          <t>VUB / two-person flats</t>
        </is>
      </c>
      <c r="B24" s="11" t="n">
        <v>35</v>
      </c>
      <c r="C24" s="11" t="n">
        <v>674</v>
      </c>
      <c r="D24" s="2" t="inlineStr">
        <is>
          <t>Included</t>
        </is>
      </c>
      <c r="E24" s="2" t="inlineStr">
        <is>
          <t>S6: unit price; limited institutional allocation</t>
        </is>
      </c>
    </row>
    <row r="25" ht="30" customHeight="1">
      <c r="A25" s="2" t="n"/>
      <c r="B25" s="2" t="n"/>
      <c r="C25" s="2" t="n"/>
      <c r="D25" s="2" t="n"/>
      <c r="E25" s="2" t="n"/>
    </row>
    <row r="26" ht="30" customHeight="1">
      <c r="A26" s="2" t="inlineStr">
        <is>
          <t>Positioning</t>
        </is>
      </c>
      <c r="B26" s="2" t="inlineStr">
        <is>
          <t>Base rent below private Bru Upkot examples; VUB institutional all-inclusive prices are lower and not directly comparable.</t>
        </is>
      </c>
      <c r="C26" s="2" t="n"/>
      <c r="D26" s="2" t="n"/>
      <c r="E26" s="2" t="n"/>
    </row>
    <row r="27" ht="30" customHeight="1">
      <c r="A27" s="2" t="inlineStr">
        <is>
          <t>Sizing rationale</t>
        </is>
      </c>
      <c r="B27" s="2" t="inlineStr">
        <is>
          <t>60 normal beds + 40 shared-studio beds + 20 single-studio beds; 83% of beds in lower-price products.</t>
        </is>
      </c>
      <c r="C27" s="2" t="n"/>
      <c r="D27" s="2" t="n"/>
      <c r="E27" s="2" t="n"/>
    </row>
    <row r="28" ht="30" customHeight="1">
      <c r="A28" s="2" t="inlineStr">
        <is>
          <t>Site concept</t>
        </is>
      </c>
      <c r="B28" s="2" t="inlineStr">
        <is>
          <t>Approximately 3,108 gross sqm; at 4 floors, ~777 sqm footprint, before site circulation and external space. Assumption, no planning assurance.</t>
        </is>
      </c>
      <c r="C28" s="2" t="n"/>
      <c r="D28" s="2" t="n"/>
      <c r="E28" s="2" t="n"/>
    </row>
  </sheetData>
  <autoFilter ref="A1:E28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G1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Room type</t>
        </is>
      </c>
      <c r="B1" s="8" t="inlineStr">
        <is>
          <t>Desired rent/unit/month</t>
        </is>
      </c>
      <c r="C1" s="8" t="inlineStr">
        <is>
          <t>Official reference/unit/month</t>
        </is>
      </c>
      <c r="D1" s="8" t="inlineStr">
        <is>
          <t>Planning affordability cap/unit</t>
        </is>
      </c>
      <c r="E1" s="8" t="inlineStr">
        <is>
          <t>Applied unit rent</t>
        </is>
      </c>
      <c r="F1" s="8" t="inlineStr">
        <is>
          <t>Applied per person</t>
        </is>
      </c>
      <c r="G1" s="8" t="inlineStr">
        <is>
          <t>Verification</t>
        </is>
      </c>
    </row>
    <row r="2" ht="30" customHeight="1">
      <c r="A2" s="2" t="inlineStr">
        <is>
          <t>Normal dorm</t>
        </is>
      </c>
      <c r="B2" s="5">
        <f>Inputs!B5*1</f>
        <v>480</v>
      </c>
      <c r="C2" s="9" t="n">
        <v>0</v>
      </c>
      <c r="D2" s="9" t="n">
        <v>480</v>
      </c>
      <c r="E2" s="5">
        <f>MIN(B2,D2,IF(C2&gt;0,C2*Inputs!B35,D2))</f>
        <v>480</v>
      </c>
      <c r="F2" s="5">
        <f>E2/1</f>
        <v>480.0</v>
      </c>
      <c r="G2" s="5" t="str">
        <f>IF(C2&gt;0,"Reference supplied - review quality and lease","NOT VERIFIED")</f>
        <v>NOT VERIFIED</v>
      </c>
    </row>
    <row r="3" ht="30" customHeight="1">
      <c r="A3" s="2" t="inlineStr">
        <is>
          <t>Shared studio</t>
        </is>
      </c>
      <c r="B3" s="5">
        <f>Inputs!B6*2</f>
        <v>780</v>
      </c>
      <c r="C3" s="9" t="n">
        <v>0</v>
      </c>
      <c r="D3" s="9" t="n">
        <v>780</v>
      </c>
      <c r="E3" s="5">
        <f>MIN(B3,D3,IF(C3&gt;0,C3*Inputs!B35,D3))</f>
        <v>780</v>
      </c>
      <c r="F3" s="5">
        <f>E3/2</f>
        <v>390.0</v>
      </c>
      <c r="G3" s="5" t="str">
        <f>IF(C3&gt;0,"Reference supplied - review quality and lease","NOT VERIFIED")</f>
        <v>NOT VERIFIED</v>
      </c>
    </row>
    <row r="4" ht="30" customHeight="1">
      <c r="A4" s="2" t="inlineStr">
        <is>
          <t>Single studio</t>
        </is>
      </c>
      <c r="B4" s="5">
        <f>Inputs!B7*1</f>
        <v>650</v>
      </c>
      <c r="C4" s="9" t="n">
        <v>0</v>
      </c>
      <c r="D4" s="9" t="n">
        <v>650</v>
      </c>
      <c r="E4" s="5">
        <f>MIN(B4,D4,IF(C4&gt;0,C4*Inputs!B35,D4))</f>
        <v>650</v>
      </c>
      <c r="F4" s="5">
        <f>E4/1</f>
        <v>650.0</v>
      </c>
      <c r="G4" s="5" t="str">
        <f>IF(C4&gt;0,"Reference supplied - review quality and lease","NOT VERIFIED")</f>
        <v>NOT VERIFIED</v>
      </c>
    </row>
    <row r="5" ht="30" customHeight="1">
      <c r="A5" s="2" t="n"/>
      <c r="B5" s="2" t="n"/>
      <c r="C5" s="2" t="n"/>
      <c r="D5" s="2" t="n"/>
      <c r="E5" s="2" t="n"/>
      <c r="F5" s="2" t="n"/>
      <c r="G5" s="2" t="n"/>
    </row>
    <row r="6" ht="43" customHeight="1">
      <c r="A6" s="2" t="inlineStr">
        <is>
          <t>Rule</t>
        </is>
      </c>
      <c r="B6" s="2" t="inlineStr">
        <is>
          <t>Reference rent depends on address, area, condition and amenities. No universal Brussels student-room tariff.</t>
        </is>
      </c>
      <c r="C6" s="2" t="n"/>
      <c r="D6" s="2" t="n"/>
      <c r="E6" s="2" t="n"/>
      <c r="F6" s="2" t="n"/>
      <c r="G6" s="2" t="n"/>
    </row>
    <row r="7" ht="43" customHeight="1">
      <c r="A7" s="2" t="inlineStr">
        <is>
          <t>20% screen</t>
        </is>
      </c>
      <c r="B7" s="2" t="inlineStr">
        <is>
          <t>Above reference +20% is presumed excessive, subject to specific justifications. Lower rents may also be excessive due to quality defects.</t>
        </is>
      </c>
      <c r="C7" s="2" t="n"/>
      <c r="D7" s="2" t="n"/>
      <c r="E7" s="2" t="n"/>
      <c r="F7" s="2" t="n"/>
      <c r="G7" s="2" t="n"/>
    </row>
    <row r="8" ht="43" customHeight="1">
      <c r="A8" s="2" t="inlineStr">
        <is>
          <t>Model policy</t>
        </is>
      </c>
      <c r="B8" s="2" t="inlineStr">
        <is>
          <t>At/below supplied reference by default. Enter official calculator output per rented unit; a zero means missing, not zero allowable rent.</t>
        </is>
      </c>
      <c r="C8" s="2" t="n"/>
      <c r="D8" s="2" t="n"/>
      <c r="E8" s="2" t="n"/>
      <c r="F8" s="2" t="n"/>
      <c r="G8" s="2" t="n"/>
    </row>
    <row r="9" ht="43" customHeight="1">
      <c r="A9" s="2" t="inlineStr">
        <is>
          <t>Lease review</t>
        </is>
      </c>
      <c r="B9" s="2" t="inlineStr">
        <is>
          <t>Reference must appear in lease; verify student lease, indexation and separate utility settlement before offering units.</t>
        </is>
      </c>
      <c r="C9" s="2" t="n"/>
      <c r="D9" s="2" t="n"/>
      <c r="E9" s="2" t="n"/>
      <c r="F9" s="2" t="n"/>
      <c r="G9" s="2" t="n"/>
    </row>
    <row r="10" ht="43" customHeight="1">
      <c r="A10" s="2" t="inlineStr">
        <is>
          <t>Official calculator</t>
        </is>
      </c>
      <c r="B10" s="2" t="inlineStr">
        <is>
          <t>https://loyers.brussels/</t>
        </is>
      </c>
      <c r="C10" s="2" t="n"/>
      <c r="D10" s="2" t="n"/>
      <c r="E10" s="2" t="n"/>
      <c r="F10" s="2" t="n"/>
      <c r="G10" s="2" t="n"/>
    </row>
    <row r="11" ht="43" customHeight="1">
      <c r="A11" s="2" t="inlineStr">
        <is>
          <t>Source</t>
        </is>
      </c>
      <c r="B11" s="2" t="inlineStr">
        <is>
          <t>https://be.brussels/fr/logement/location/bail-dhabitation/loyers-de-reference</t>
        </is>
      </c>
      <c r="C11" s="2" t="n"/>
      <c r="D11" s="2" t="n"/>
      <c r="E11" s="2" t="n"/>
      <c r="F11" s="2" t="n"/>
      <c r="G11" s="2" t="n"/>
    </row>
  </sheetData>
  <autoFilter ref="A1:G11"/>
  <mergeCells count="6">
    <mergeCell ref="B10:G10"/>
    <mergeCell ref="B9:G9"/>
    <mergeCell ref="B8:G8"/>
    <mergeCell ref="B7:G7"/>
    <mergeCell ref="B11:G11"/>
    <mergeCell ref="B6:G6"/>
  </mergeCells>
  <dataValidations count="1">
    <dataValidation sqref="C2:C4" showDropDown="0" showInputMessage="0" showErrorMessage="1" allowBlank="0" errorTitle="Input outside model bounds" error="Enter a value within the permitted range." type="decimal" operator="between">
      <formula1>0</formula1>
      <formula2>10000</formula2>
    </dataValidation>
  </dataValidation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AD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Scenario</t>
        </is>
      </c>
      <c r="B1" s="8" t="inlineStr">
        <is>
          <t>Cost multiplier</t>
        </is>
      </c>
      <c r="C1" s="8" t="inlineStr">
        <is>
          <t>Stabilised occupancy</t>
        </is>
      </c>
      <c r="D1" s="8" t="inlineStr">
        <is>
          <t>Rent multiplier</t>
        </is>
      </c>
      <c r="E1" s="8" t="inlineStr">
        <is>
          <t>Exit cap</t>
        </is>
      </c>
      <c r="F1" s="8" t="inlineStr">
        <is>
          <t>Project NPV</t>
        </is>
      </c>
      <c r="G1" s="8" t="inlineStr">
        <is>
          <t>Project IRR</t>
        </is>
      </c>
      <c r="H1" s="8" t="inlineStr">
        <is>
          <t>Stabilised DSCR</t>
        </is>
      </c>
      <c r="I1" s="8" t="inlineStr">
        <is>
          <t>CF year 0</t>
        </is>
      </c>
      <c r="J1" s="8" t="inlineStr">
        <is>
          <t>CF year 1</t>
        </is>
      </c>
      <c r="K1" s="8" t="inlineStr">
        <is>
          <t>CF year 2</t>
        </is>
      </c>
      <c r="L1" s="8" t="inlineStr">
        <is>
          <t>CF year 3</t>
        </is>
      </c>
      <c r="M1" s="8" t="inlineStr">
        <is>
          <t>CF year 4</t>
        </is>
      </c>
      <c r="N1" s="8" t="inlineStr">
        <is>
          <t>CF year 5</t>
        </is>
      </c>
      <c r="O1" s="8" t="inlineStr">
        <is>
          <t>CF year 6</t>
        </is>
      </c>
      <c r="P1" s="8" t="inlineStr">
        <is>
          <t>CF year 7</t>
        </is>
      </c>
      <c r="Q1" s="8" t="inlineStr">
        <is>
          <t>CF year 8</t>
        </is>
      </c>
      <c r="R1" s="8" t="inlineStr">
        <is>
          <t>CF year 9</t>
        </is>
      </c>
      <c r="S1" s="8" t="inlineStr">
        <is>
          <t>CF year 10</t>
        </is>
      </c>
      <c r="T1" s="8" t="inlineStr">
        <is>
          <t>CF year 11</t>
        </is>
      </c>
      <c r="U1" s="8" t="inlineStr">
        <is>
          <t>CF year 12</t>
        </is>
      </c>
      <c r="V1" s="8" t="inlineStr">
        <is>
          <t>CF year 13</t>
        </is>
      </c>
      <c r="W1" s="8" t="inlineStr">
        <is>
          <t>CF year 14</t>
        </is>
      </c>
      <c r="X1" s="8" t="inlineStr">
        <is>
          <t>CF year 15</t>
        </is>
      </c>
      <c r="Y1" s="8" t="inlineStr">
        <is>
          <t>CF year 16</t>
        </is>
      </c>
      <c r="Z1" s="8" t="inlineStr">
        <is>
          <t>CF year 17</t>
        </is>
      </c>
      <c r="AA1" s="8" t="inlineStr">
        <is>
          <t>CF year 18</t>
        </is>
      </c>
      <c r="AB1" s="8" t="inlineStr">
        <is>
          <t>CF year 19</t>
        </is>
      </c>
      <c r="AC1" s="8" t="inlineStr">
        <is>
          <t>CF year 20</t>
        </is>
      </c>
      <c r="AD1" s="8" t="inlineStr">
        <is>
          <t>CF year 21</t>
        </is>
      </c>
    </row>
    <row r="2" ht="30" customHeight="1">
      <c r="A2" s="2" t="inlineStr">
        <is>
          <t>Downside</t>
        </is>
      </c>
      <c r="B2" s="10" t="n">
        <v>1.1</v>
      </c>
      <c r="C2" s="10" t="n">
        <v>0.85</v>
      </c>
      <c r="D2" s="10" t="n">
        <v>0.95</v>
      </c>
      <c r="E2" s="10" t="n">
        <v>0.06</v>
      </c>
      <c r="F2" s="5">
        <f>NPV(Inputs!B21,J2:AD2)+I2</f>
        <v>-7732093.557307994</v>
      </c>
      <c r="G2" s="6">
        <f>IFERROR(IRR(I2:AD2),0)</f>
        <v>0.017547748238911365</v>
      </c>
      <c r="H2" s="15">
        <f>('Cash flow'!B5*D2*C2*(1-Inputs!B11)-'Cash flow'!F5)/(-PMT(Inputs!B19,Inputs!B20,Development!B8*B2))</f>
        <v>0.7468821410074931</v>
      </c>
      <c r="I2" s="5">
        <f>-Development!B15*B2/2</f>
        <v>-7041084.842</v>
      </c>
      <c r="J2" s="5">
        <f>-Development!B15*B2/2</f>
        <v>-7041084.842</v>
      </c>
      <c r="K2" s="5">
        <f>('Cash flow'!B4*D2*(Inputs!B29*C2/Inputs!B9)*(1-Inputs!B11)-'Cash flow'!F4)</f>
        <v>340313.75999999995</v>
      </c>
      <c r="L2" s="5">
        <f>('Cash flow'!B5*D2*(C2)*(1-Inputs!B11)-'Cash flow'!F5)</f>
        <v>390117.6864</v>
      </c>
      <c r="M2" s="5">
        <f>('Cash flow'!B6*D2*(C2)*(1-Inputs!B11)-'Cash flow'!F6)</f>
        <v>397920.04012799996</v>
      </c>
      <c r="N2" s="5">
        <f>('Cash flow'!B7*D2*(C2)*(1-Inputs!B11)-'Cash flow'!F7)</f>
        <v>405878.44093056</v>
      </c>
      <c r="O2" s="5">
        <f>('Cash flow'!B8*D2*(C2)*(1-Inputs!B11)-'Cash flow'!F8)</f>
        <v>413996.00974917103</v>
      </c>
      <c r="P2" s="5">
        <f>('Cash flow'!B9*D2*(C2)*(1-Inputs!B11)-'Cash flow'!F9)</f>
        <v>422275.9299441546</v>
      </c>
      <c r="Q2" s="5">
        <f>('Cash flow'!B10*D2*(C2)*(1-Inputs!B11)-'Cash flow'!F10)</f>
        <v>430721.4485430377</v>
      </c>
      <c r="R2" s="5">
        <f>('Cash flow'!B11*D2*(C2)*(1-Inputs!B11)-'Cash flow'!F11)</f>
        <v>439335.8775138984</v>
      </c>
      <c r="S2" s="5">
        <f>('Cash flow'!B12*D2*(C2)*(1-Inputs!B11)-'Cash flow'!F12)</f>
        <v>448122.5950641764</v>
      </c>
      <c r="T2" s="5">
        <f>('Cash flow'!B13*D2*(C2)*(1-Inputs!B11)-'Cash flow'!F13)</f>
        <v>457085.04696545994</v>
      </c>
      <c r="U2" s="5">
        <f>('Cash flow'!B14*D2*(C2)*(1-Inputs!B11)-'Cash flow'!F14)</f>
        <v>466226.7479047692</v>
      </c>
      <c r="V2" s="5">
        <f>('Cash flow'!B15*D2*(C2)*(1-Inputs!B11)-'Cash flow'!F15)</f>
        <v>475551.2828628646</v>
      </c>
      <c r="W2" s="5">
        <f>('Cash flow'!B16*D2*(C2)*(1-Inputs!B11)-'Cash flow'!F16)</f>
        <v>485062.30852012185</v>
      </c>
      <c r="X2" s="5">
        <f>('Cash flow'!B17*D2*(C2)*(1-Inputs!B11)-'Cash flow'!F17)</f>
        <v>494763.55469052435</v>
      </c>
      <c r="Y2" s="5">
        <f>('Cash flow'!B18*D2*(C2)*(1-Inputs!B11)-'Cash flow'!F18)</f>
        <v>504658.82578433474</v>
      </c>
      <c r="Z2" s="5">
        <f>('Cash flow'!B19*D2*(C2)*(1-Inputs!B11)-'Cash flow'!F19)</f>
        <v>514752.0023000215</v>
      </c>
      <c r="AA2" s="5">
        <f>('Cash flow'!B20*D2*(C2)*(1-Inputs!B11)-'Cash flow'!F20)</f>
        <v>525047.042346022</v>
      </c>
      <c r="AB2" s="5">
        <f>('Cash flow'!B21*D2*(C2)*(1-Inputs!B11)-'Cash flow'!F21)</f>
        <v>535547.9831929426</v>
      </c>
      <c r="AC2" s="5">
        <f>('Cash flow'!B22*D2*(C2)*(1-Inputs!B11)-'Cash flow'!F22)</f>
        <v>546258.9428568012</v>
      </c>
      <c r="AD2" s="5">
        <f>('Cash flow'!B23*D2*(C2)*(1-Inputs!B11)-'Cash flow'!F23)+('Cash flow'!B23*D2*(C2)*(1-Inputs!B11)-'Cash flow'!F23)*(1+Inputs!B10)/E2*(1-Inputs!B23)</f>
        <v>9839871.589468136</v>
      </c>
    </row>
    <row r="3" ht="30" customHeight="1">
      <c r="A3" s="2" t="inlineStr">
        <is>
          <t>Base</t>
        </is>
      </c>
      <c r="B3" s="10" t="n">
        <v>1</v>
      </c>
      <c r="C3" s="10" t="n">
        <v>0.95</v>
      </c>
      <c r="D3" s="10" t="n">
        <v>1</v>
      </c>
      <c r="E3" s="10" t="n">
        <v>0.055</v>
      </c>
      <c r="F3" s="5">
        <f>NPV(Inputs!B21,J3:AD3)+I3</f>
        <v>-5223424.748954906</v>
      </c>
      <c r="G3" s="6">
        <f>IFERROR(IRR(I3:AD3),0)</f>
        <v>0.03815739619420444</v>
      </c>
      <c r="H3" s="15">
        <f>('Cash flow'!B5*D3*C3*(1-Inputs!B11)-'Cash flow'!F5)/(-PMT(Inputs!B19,Inputs!B20,Development!B8*B3))</f>
        <v>0.9733766536728187</v>
      </c>
      <c r="I3" s="5">
        <f>-Development!B15*B3/2</f>
        <v>-6400986.22</v>
      </c>
      <c r="J3" s="5">
        <f>-Development!B15*B3/2</f>
        <v>-6400986.22</v>
      </c>
      <c r="K3" s="5">
        <f>('Cash flow'!B4*D3*(Inputs!B29*C3/Inputs!B9)*(1-Inputs!B11)-'Cash flow'!F4)</f>
        <v>403545.6000000001</v>
      </c>
      <c r="L3" s="5">
        <f>('Cash flow'!B5*D3*(C3)*(1-Inputs!B11)-'Cash flow'!F5)</f>
        <v>462201.98399999994</v>
      </c>
      <c r="M3" s="5">
        <f>('Cash flow'!B6*D3*(C3)*(1-Inputs!B11)-'Cash flow'!F6)</f>
        <v>471446.0236799999</v>
      </c>
      <c r="N3" s="5">
        <f>('Cash flow'!B7*D3*(C3)*(1-Inputs!B11)-'Cash flow'!F7)</f>
        <v>480874.9441536</v>
      </c>
      <c r="O3" s="5">
        <f>('Cash flow'!B8*D3*(C3)*(1-Inputs!B11)-'Cash flow'!F8)</f>
        <v>490492.4430366719</v>
      </c>
      <c r="P3" s="5">
        <f>('Cash flow'!B9*D3*(C3)*(1-Inputs!B11)-'Cash flow'!F9)</f>
        <v>500302.29189740546</v>
      </c>
      <c r="Q3" s="5">
        <f>('Cash flow'!B10*D3*(C3)*(1-Inputs!B11)-'Cash flow'!F10)</f>
        <v>510308.33773535345</v>
      </c>
      <c r="R3" s="5">
        <f>('Cash flow'!B11*D3*(C3)*(1-Inputs!B11)-'Cash flow'!F11)</f>
        <v>520514.5044900606</v>
      </c>
      <c r="S3" s="5">
        <f>('Cash flow'!B12*D3*(C3)*(1-Inputs!B11)-'Cash flow'!F12)</f>
        <v>530924.7945798618</v>
      </c>
      <c r="T3" s="5">
        <f>('Cash flow'!B13*D3*(C3)*(1-Inputs!B11)-'Cash flow'!F13)</f>
        <v>541543.290471459</v>
      </c>
      <c r="U3" s="5">
        <f>('Cash flow'!B14*D3*(C3)*(1-Inputs!B11)-'Cash flow'!F14)</f>
        <v>552374.1562808884</v>
      </c>
      <c r="V3" s="5">
        <f>('Cash flow'!B15*D3*(C3)*(1-Inputs!B11)-'Cash flow'!F15)</f>
        <v>563421.6394065061</v>
      </c>
      <c r="W3" s="5">
        <f>('Cash flow'!B16*D3*(C3)*(1-Inputs!B11)-'Cash flow'!F16)</f>
        <v>574690.0721946362</v>
      </c>
      <c r="X3" s="5">
        <f>('Cash flow'!B17*D3*(C3)*(1-Inputs!B11)-'Cash flow'!F17)</f>
        <v>586183.873638529</v>
      </c>
      <c r="Y3" s="5">
        <f>('Cash flow'!B18*D3*(C3)*(1-Inputs!B11)-'Cash flow'!F18)</f>
        <v>597907.5511112995</v>
      </c>
      <c r="Z3" s="5">
        <f>('Cash flow'!B19*D3*(C3)*(1-Inputs!B11)-'Cash flow'!F19)</f>
        <v>609865.7021335255</v>
      </c>
      <c r="AA3" s="5">
        <f>('Cash flow'!B20*D3*(C3)*(1-Inputs!B11)-'Cash flow'!F20)</f>
        <v>622063.016176196</v>
      </c>
      <c r="AB3" s="5">
        <f>('Cash flow'!B21*D3*(C3)*(1-Inputs!B11)-'Cash flow'!F21)</f>
        <v>634504.27649972</v>
      </c>
      <c r="AC3" s="5">
        <f>('Cash flow'!B22*D3*(C3)*(1-Inputs!B11)-'Cash flow'!F22)</f>
        <v>647194.3620297144</v>
      </c>
      <c r="AD3" s="5">
        <f>('Cash flow'!B23*D3*(C3)*(1-Inputs!B11)-'Cash flow'!F23)+('Cash flow'!B23*D3*(C3)*(1-Inputs!B11)-'Cash flow'!F23)*(1+Inputs!B10)/E3*(1-Inputs!B23)</f>
        <v>12657850.866917593</v>
      </c>
    </row>
    <row r="4" ht="30" customHeight="1">
      <c r="A4" s="2" t="inlineStr">
        <is>
          <t>Upside</t>
        </is>
      </c>
      <c r="B4" s="10" t="n">
        <v>0.9</v>
      </c>
      <c r="C4" s="10" t="n">
        <v>0.98</v>
      </c>
      <c r="D4" s="10" t="n">
        <v>1.05</v>
      </c>
      <c r="E4" s="10" t="n">
        <v>0.05</v>
      </c>
      <c r="F4" s="5">
        <f>NPV(Inputs!B21,J4:AD4)+I4</f>
        <v>-3117298.2671629624</v>
      </c>
      <c r="G4" s="6">
        <f>IFERROR(IRR(I4:AD4),0)</f>
        <v>0.05454824874411324</v>
      </c>
      <c r="H4" s="15">
        <f>('Cash flow'!B5*D4*C4*(1-Inputs!B11)-'Cash flow'!F5)/(-PMT(Inputs!B19,Inputs!B20,Development!B8*B4))</f>
        <v>1.1750399277581147</v>
      </c>
      <c r="I4" s="5">
        <f>-Development!B15*B4/2</f>
        <v>-5760887.598</v>
      </c>
      <c r="J4" s="5">
        <f>-Development!B15*B4/2</f>
        <v>-5760887.598</v>
      </c>
      <c r="K4" s="5">
        <f>('Cash flow'!B4*D4*(Inputs!B29*C4/Inputs!B9)*(1-Inputs!B11)-'Cash flow'!F4)</f>
        <v>438600.4446315789</v>
      </c>
      <c r="L4" s="5">
        <f>('Cash flow'!B5*D4*(C4)*(1-Inputs!B11)-'Cash flow'!F5)</f>
        <v>502164.50688</v>
      </c>
      <c r="M4" s="5">
        <f>('Cash flow'!B6*D4*(C4)*(1-Inputs!B11)-'Cash flow'!F6)</f>
        <v>512207.7970176</v>
      </c>
      <c r="N4" s="5">
        <f>('Cash flow'!B7*D4*(C4)*(1-Inputs!B11)-'Cash flow'!F7)</f>
        <v>522451.9529579521</v>
      </c>
      <c r="O4" s="5">
        <f>('Cash flow'!B8*D4*(C4)*(1-Inputs!B11)-'Cash flow'!F8)</f>
        <v>532900.992017111</v>
      </c>
      <c r="P4" s="5">
        <f>('Cash flow'!B9*D4*(C4)*(1-Inputs!B11)-'Cash flow'!F9)</f>
        <v>543559.0118574533</v>
      </c>
      <c r="Q4" s="5">
        <f>('Cash flow'!B10*D4*(C4)*(1-Inputs!B11)-'Cash flow'!F10)</f>
        <v>554430.1920946024</v>
      </c>
      <c r="R4" s="5">
        <f>('Cash flow'!B11*D4*(C4)*(1-Inputs!B11)-'Cash flow'!F11)</f>
        <v>565518.7959364944</v>
      </c>
      <c r="S4" s="5">
        <f>('Cash flow'!B12*D4*(C4)*(1-Inputs!B11)-'Cash flow'!F12)</f>
        <v>576829.1718552243</v>
      </c>
      <c r="T4" s="5">
        <f>('Cash flow'!B13*D4*(C4)*(1-Inputs!B11)-'Cash flow'!F13)</f>
        <v>588365.7552923287</v>
      </c>
      <c r="U4" s="5">
        <f>('Cash flow'!B14*D4*(C4)*(1-Inputs!B11)-'Cash flow'!F14)</f>
        <v>600133.0703981754</v>
      </c>
      <c r="V4" s="5">
        <f>('Cash flow'!B15*D4*(C4)*(1-Inputs!B11)-'Cash flow'!F15)</f>
        <v>612135.7318061389</v>
      </c>
      <c r="W4" s="5">
        <f>('Cash flow'!B16*D4*(C4)*(1-Inputs!B11)-'Cash flow'!F16)</f>
        <v>624378.4464422618</v>
      </c>
      <c r="X4" s="5">
        <f>('Cash flow'!B17*D4*(C4)*(1-Inputs!B11)-'Cash flow'!F17)</f>
        <v>636866.015371107</v>
      </c>
      <c r="Y4" s="5">
        <f>('Cash flow'!B18*D4*(C4)*(1-Inputs!B11)-'Cash flow'!F18)</f>
        <v>649603.335678529</v>
      </c>
      <c r="Z4" s="5">
        <f>('Cash flow'!B19*D4*(C4)*(1-Inputs!B11)-'Cash flow'!F19)</f>
        <v>662595.4023920997</v>
      </c>
      <c r="AA4" s="5">
        <f>('Cash flow'!B20*D4*(C4)*(1-Inputs!B11)-'Cash flow'!F20)</f>
        <v>675847.3104399417</v>
      </c>
      <c r="AB4" s="5">
        <f>('Cash flow'!B21*D4*(C4)*(1-Inputs!B11)-'Cash flow'!F21)</f>
        <v>689364.2566487406</v>
      </c>
      <c r="AC4" s="5">
        <f>('Cash flow'!B22*D4*(C4)*(1-Inputs!B11)-'Cash flow'!F22)</f>
        <v>703151.5417817155</v>
      </c>
      <c r="AD4" s="5">
        <f>('Cash flow'!B23*D4*(C4)*(1-Inputs!B11)-'Cash flow'!F23)+('Cash flow'!B23*D4*(C4)*(1-Inputs!B11)-'Cash flow'!F23)*(1+Inputs!B10)/E4*(1-Inputs!B23)</f>
        <v>15055768.308383403</v>
      </c>
    </row>
    <row r="5" ht="3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3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65" customHeight="1">
      <c r="A7" s="2" t="inlineStr">
        <is>
          <t>Scenario occupancy replaces stabilised input; opening occupancy scales proportionally. Debt scales with capex for DSCR. Rent upside is a stress case, not legal permission.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</sheetData>
  <autoFilter ref="A1:AD7"/>
  <mergeCells count="1">
    <mergeCell ref="A7:H7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D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Unlevered NPV: cost vs occupancy</t>
        </is>
      </c>
      <c r="B1" s="16" t="n">
        <v>0.85</v>
      </c>
      <c r="C1" s="16" t="n">
        <v>0.95</v>
      </c>
      <c r="D1" s="16" t="n">
        <v>0.98</v>
      </c>
    </row>
    <row r="2" ht="30" customHeight="1">
      <c r="A2" s="17" t="n">
        <v>0.9</v>
      </c>
      <c r="B2" s="5">
        <f>-Development!B15*$A2/2+-Development!B15*$A2/2/(1+Inputs!B21)+('Cash flow'!B4*Inputs!B29*B$1/Inputs!B9*(1-Inputs!B11)-'Cash flow'!F4)/(1+Inputs!B21)^2+('Cash flow'!B5*B$1*(1-Inputs!B11)-'Cash flow'!F5)/(1+Inputs!B21)^3+('Cash flow'!B6*B$1*(1-Inputs!B11)-'Cash flow'!F6)/(1+Inputs!B21)^4+('Cash flow'!B7*B$1*(1-Inputs!B11)-'Cash flow'!F7)/(1+Inputs!B21)^5+('Cash flow'!B8*B$1*(1-Inputs!B11)-'Cash flow'!F8)/(1+Inputs!B21)^6+('Cash flow'!B9*B$1*(1-Inputs!B11)-'Cash flow'!F9)/(1+Inputs!B21)^7+('Cash flow'!B10*B$1*(1-Inputs!B11)-'Cash flow'!F10)/(1+Inputs!B21)^8+('Cash flow'!B11*B$1*(1-Inputs!B11)-'Cash flow'!F11)/(1+Inputs!B21)^9+('Cash flow'!B12*B$1*(1-Inputs!B11)-'Cash flow'!F12)/(1+Inputs!B21)^10+('Cash flow'!B13*B$1*(1-Inputs!B11)-'Cash flow'!F13)/(1+Inputs!B21)^11+('Cash flow'!B14*B$1*(1-Inputs!B11)-'Cash flow'!F14)/(1+Inputs!B21)^12+('Cash flow'!B15*B$1*(1-Inputs!B11)-'Cash flow'!F15)/(1+Inputs!B21)^13+('Cash flow'!B16*B$1*(1-Inputs!B11)-'Cash flow'!F16)/(1+Inputs!B21)^14+('Cash flow'!B17*B$1*(1-Inputs!B11)-'Cash flow'!F17)/(1+Inputs!B21)^15+('Cash flow'!B18*B$1*(1-Inputs!B11)-'Cash flow'!F18)/(1+Inputs!B21)^16+('Cash flow'!B19*B$1*(1-Inputs!B11)-'Cash flow'!F19)/(1+Inputs!B21)^17+('Cash flow'!B20*B$1*(1-Inputs!B11)-'Cash flow'!F20)/(1+Inputs!B21)^18+('Cash flow'!B21*B$1*(1-Inputs!B11)-'Cash flow'!F21)/(1+Inputs!B21)^19+('Cash flow'!B22*B$1*(1-Inputs!B11)-'Cash flow'!F22)/(1+Inputs!B21)^20+(('Cash flow'!B23*B$1*(1-Inputs!B11)-'Cash flow'!F23)+('Cash flow'!B23*B$1*(1-Inputs!B11)-'Cash flow'!F23)*(1+Inputs!B10)/Inputs!B22*(1-Inputs!B23))/(1+Inputs!B21)^21</f>
        <v>-4768357.6773079075</v>
      </c>
      <c r="C2" s="5">
        <f>-Development!B15*$A2/2+-Development!B15*$A2/2/(1+Inputs!B21)+('Cash flow'!B4*Inputs!B29*C$1/Inputs!B9*(1-Inputs!B11)-'Cash flow'!F4)/(1+Inputs!B21)^2+('Cash flow'!B5*C$1*(1-Inputs!B11)-'Cash flow'!F5)/(1+Inputs!B21)^3+('Cash flow'!B6*C$1*(1-Inputs!B11)-'Cash flow'!F6)/(1+Inputs!B21)^4+('Cash flow'!B7*C$1*(1-Inputs!B11)-'Cash flow'!F7)/(1+Inputs!B21)^5+('Cash flow'!B8*C$1*(1-Inputs!B11)-'Cash flow'!F8)/(1+Inputs!B21)^6+('Cash flow'!B9*C$1*(1-Inputs!B11)-'Cash flow'!F9)/(1+Inputs!B21)^7+('Cash flow'!B10*C$1*(1-Inputs!B11)-'Cash flow'!F10)/(1+Inputs!B21)^8+('Cash flow'!B11*C$1*(1-Inputs!B11)-'Cash flow'!F11)/(1+Inputs!B21)^9+('Cash flow'!B12*C$1*(1-Inputs!B11)-'Cash flow'!F12)/(1+Inputs!B21)^10+('Cash flow'!B13*C$1*(1-Inputs!B11)-'Cash flow'!F13)/(1+Inputs!B21)^11+('Cash flow'!B14*C$1*(1-Inputs!B11)-'Cash flow'!F14)/(1+Inputs!B21)^12+('Cash flow'!B15*C$1*(1-Inputs!B11)-'Cash flow'!F15)/(1+Inputs!B21)^13+('Cash flow'!B16*C$1*(1-Inputs!B11)-'Cash flow'!F16)/(1+Inputs!B21)^14+('Cash flow'!B17*C$1*(1-Inputs!B11)-'Cash flow'!F17)/(1+Inputs!B21)^15+('Cash flow'!B18*C$1*(1-Inputs!B11)-'Cash flow'!F18)/(1+Inputs!B21)^16+('Cash flow'!B19*C$1*(1-Inputs!B11)-'Cash flow'!F19)/(1+Inputs!B21)^17+('Cash flow'!B20*C$1*(1-Inputs!B11)-'Cash flow'!F20)/(1+Inputs!B21)^18+('Cash flow'!B21*C$1*(1-Inputs!B11)-'Cash flow'!F21)/(1+Inputs!B21)^19+('Cash flow'!B22*C$1*(1-Inputs!B11)-'Cash flow'!F22)/(1+Inputs!B21)^20+(('Cash flow'!B23*C$1*(1-Inputs!B11)-'Cash flow'!F23)+('Cash flow'!B23*C$1*(1-Inputs!B11)-'Cash flow'!F23)*(1+Inputs!B10)/Inputs!B22*(1-Inputs!B23))/(1+Inputs!B21)^21</f>
        <v>-3990642.2176956465</v>
      </c>
      <c r="D2" s="5">
        <f>-Development!B15*$A2/2+-Development!B15*$A2/2/(1+Inputs!B21)+('Cash flow'!B4*Inputs!B29*D$1/Inputs!B9*(1-Inputs!B11)-'Cash flow'!F4)/(1+Inputs!B21)^2+('Cash flow'!B5*D$1*(1-Inputs!B11)-'Cash flow'!F5)/(1+Inputs!B21)^3+('Cash flow'!B6*D$1*(1-Inputs!B11)-'Cash flow'!F6)/(1+Inputs!B21)^4+('Cash flow'!B7*D$1*(1-Inputs!B11)-'Cash flow'!F7)/(1+Inputs!B21)^5+('Cash flow'!B8*D$1*(1-Inputs!B11)-'Cash flow'!F8)/(1+Inputs!B21)^6+('Cash flow'!B9*D$1*(1-Inputs!B11)-'Cash flow'!F9)/(1+Inputs!B21)^7+('Cash flow'!B10*D$1*(1-Inputs!B11)-'Cash flow'!F10)/(1+Inputs!B21)^8+('Cash flow'!B11*D$1*(1-Inputs!B11)-'Cash flow'!F11)/(1+Inputs!B21)^9+('Cash flow'!B12*D$1*(1-Inputs!B11)-'Cash flow'!F12)/(1+Inputs!B21)^10+('Cash flow'!B13*D$1*(1-Inputs!B11)-'Cash flow'!F13)/(1+Inputs!B21)^11+('Cash flow'!B14*D$1*(1-Inputs!B11)-'Cash flow'!F14)/(1+Inputs!B21)^12+('Cash flow'!B15*D$1*(1-Inputs!B11)-'Cash flow'!F15)/(1+Inputs!B21)^13+('Cash flow'!B16*D$1*(1-Inputs!B11)-'Cash flow'!F16)/(1+Inputs!B21)^14+('Cash flow'!B17*D$1*(1-Inputs!B11)-'Cash flow'!F17)/(1+Inputs!B21)^15+('Cash flow'!B18*D$1*(1-Inputs!B11)-'Cash flow'!F18)/(1+Inputs!B21)^16+('Cash flow'!B19*D$1*(1-Inputs!B11)-'Cash flow'!F19)/(1+Inputs!B21)^17+('Cash flow'!B20*D$1*(1-Inputs!B11)-'Cash flow'!F20)/(1+Inputs!B21)^18+('Cash flow'!B21*D$1*(1-Inputs!B11)-'Cash flow'!F21)/(1+Inputs!B21)^19+('Cash flow'!B22*D$1*(1-Inputs!B11)-'Cash flow'!F22)/(1+Inputs!B21)^20+(('Cash flow'!B23*D$1*(1-Inputs!B11)-'Cash flow'!F23)+('Cash flow'!B23*D$1*(1-Inputs!B11)-'Cash flow'!F23)*(1+Inputs!B10)/Inputs!B22*(1-Inputs!B23))/(1+Inputs!B21)^21</f>
        <v>-3757327.5798119744</v>
      </c>
    </row>
    <row r="3" ht="30" customHeight="1">
      <c r="A3" s="17" t="n">
        <v>1</v>
      </c>
      <c r="B3" s="5">
        <f>-Development!B15*$A3/2+-Development!B15*$A3/2/(1+Inputs!B21)+('Cash flow'!B4*Inputs!B29*B$1/Inputs!B9*(1-Inputs!B11)-'Cash flow'!F4)/(1+Inputs!B21)^2+('Cash flow'!B5*B$1*(1-Inputs!B11)-'Cash flow'!F5)/(1+Inputs!B21)^3+('Cash flow'!B6*B$1*(1-Inputs!B11)-'Cash flow'!F6)/(1+Inputs!B21)^4+('Cash flow'!B7*B$1*(1-Inputs!B11)-'Cash flow'!F7)/(1+Inputs!B21)^5+('Cash flow'!B8*B$1*(1-Inputs!B11)-'Cash flow'!F8)/(1+Inputs!B21)^6+('Cash flow'!B9*B$1*(1-Inputs!B11)-'Cash flow'!F9)/(1+Inputs!B21)^7+('Cash flow'!B10*B$1*(1-Inputs!B11)-'Cash flow'!F10)/(1+Inputs!B21)^8+('Cash flow'!B11*B$1*(1-Inputs!B11)-'Cash flow'!F11)/(1+Inputs!B21)^9+('Cash flow'!B12*B$1*(1-Inputs!B11)-'Cash flow'!F12)/(1+Inputs!B21)^10+('Cash flow'!B13*B$1*(1-Inputs!B11)-'Cash flow'!F13)/(1+Inputs!B21)^11+('Cash flow'!B14*B$1*(1-Inputs!B11)-'Cash flow'!F14)/(1+Inputs!B21)^12+('Cash flow'!B15*B$1*(1-Inputs!B11)-'Cash flow'!F15)/(1+Inputs!B21)^13+('Cash flow'!B16*B$1*(1-Inputs!B11)-'Cash flow'!F16)/(1+Inputs!B21)^14+('Cash flow'!B17*B$1*(1-Inputs!B11)-'Cash flow'!F17)/(1+Inputs!B21)^15+('Cash flow'!B18*B$1*(1-Inputs!B11)-'Cash flow'!F18)/(1+Inputs!B21)^16+('Cash flow'!B19*B$1*(1-Inputs!B11)-'Cash flow'!F19)/(1+Inputs!B21)^17+('Cash flow'!B20*B$1*(1-Inputs!B11)-'Cash flow'!F20)/(1+Inputs!B21)^18+('Cash flow'!B21*B$1*(1-Inputs!B11)-'Cash flow'!F21)/(1+Inputs!B21)^19+('Cash flow'!B22*B$1*(1-Inputs!B11)-'Cash flow'!F22)/(1+Inputs!B21)^20+(('Cash flow'!B23*B$1*(1-Inputs!B11)-'Cash flow'!F23)+('Cash flow'!B23*B$1*(1-Inputs!B11)-'Cash flow'!F23)*(1+Inputs!B10)/Inputs!B22*(1-Inputs!B23))/(1+Inputs!B21)^21</f>
        <v>-6001140.208567163</v>
      </c>
      <c r="C3" s="5">
        <f>-Development!B15*$A3/2+-Development!B15*$A3/2/(1+Inputs!B21)+('Cash flow'!B4*Inputs!B29*C$1/Inputs!B9*(1-Inputs!B11)-'Cash flow'!F4)/(1+Inputs!B21)^2+('Cash flow'!B5*C$1*(1-Inputs!B11)-'Cash flow'!F5)/(1+Inputs!B21)^3+('Cash flow'!B6*C$1*(1-Inputs!B11)-'Cash flow'!F6)/(1+Inputs!B21)^4+('Cash flow'!B7*C$1*(1-Inputs!B11)-'Cash flow'!F7)/(1+Inputs!B21)^5+('Cash flow'!B8*C$1*(1-Inputs!B11)-'Cash flow'!F8)/(1+Inputs!B21)^6+('Cash flow'!B9*C$1*(1-Inputs!B11)-'Cash flow'!F9)/(1+Inputs!B21)^7+('Cash flow'!B10*C$1*(1-Inputs!B11)-'Cash flow'!F10)/(1+Inputs!B21)^8+('Cash flow'!B11*C$1*(1-Inputs!B11)-'Cash flow'!F11)/(1+Inputs!B21)^9+('Cash flow'!B12*C$1*(1-Inputs!B11)-'Cash flow'!F12)/(1+Inputs!B21)^10+('Cash flow'!B13*C$1*(1-Inputs!B11)-'Cash flow'!F13)/(1+Inputs!B21)^11+('Cash flow'!B14*C$1*(1-Inputs!B11)-'Cash flow'!F14)/(1+Inputs!B21)^12+('Cash flow'!B15*C$1*(1-Inputs!B11)-'Cash flow'!F15)/(1+Inputs!B21)^13+('Cash flow'!B16*C$1*(1-Inputs!B11)-'Cash flow'!F16)/(1+Inputs!B21)^14+('Cash flow'!B17*C$1*(1-Inputs!B11)-'Cash flow'!F17)/(1+Inputs!B21)^15+('Cash flow'!B18*C$1*(1-Inputs!B11)-'Cash flow'!F18)/(1+Inputs!B21)^16+('Cash flow'!B19*C$1*(1-Inputs!B11)-'Cash flow'!F19)/(1+Inputs!B21)^17+('Cash flow'!B20*C$1*(1-Inputs!B11)-'Cash flow'!F20)/(1+Inputs!B21)^18+('Cash flow'!B21*C$1*(1-Inputs!B11)-'Cash flow'!F21)/(1+Inputs!B21)^19+('Cash flow'!B22*C$1*(1-Inputs!B11)-'Cash flow'!F22)/(1+Inputs!B21)^20+(('Cash flow'!B23*C$1*(1-Inputs!B11)-'Cash flow'!F23)+('Cash flow'!B23*C$1*(1-Inputs!B11)-'Cash flow'!F23)*(1+Inputs!B10)/Inputs!B22*(1-Inputs!B23))/(1+Inputs!B21)^21</f>
        <v>-5223424.748954905</v>
      </c>
      <c r="D3" s="5">
        <f>-Development!B15*$A3/2+-Development!B15*$A3/2/(1+Inputs!B21)+('Cash flow'!B4*Inputs!B29*D$1/Inputs!B9*(1-Inputs!B11)-'Cash flow'!F4)/(1+Inputs!B21)^2+('Cash flow'!B5*D$1*(1-Inputs!B11)-'Cash flow'!F5)/(1+Inputs!B21)^3+('Cash flow'!B6*D$1*(1-Inputs!B11)-'Cash flow'!F6)/(1+Inputs!B21)^4+('Cash flow'!B7*D$1*(1-Inputs!B11)-'Cash flow'!F7)/(1+Inputs!B21)^5+('Cash flow'!B8*D$1*(1-Inputs!B11)-'Cash flow'!F8)/(1+Inputs!B21)^6+('Cash flow'!B9*D$1*(1-Inputs!B11)-'Cash flow'!F9)/(1+Inputs!B21)^7+('Cash flow'!B10*D$1*(1-Inputs!B11)-'Cash flow'!F10)/(1+Inputs!B21)^8+('Cash flow'!B11*D$1*(1-Inputs!B11)-'Cash flow'!F11)/(1+Inputs!B21)^9+('Cash flow'!B12*D$1*(1-Inputs!B11)-'Cash flow'!F12)/(1+Inputs!B21)^10+('Cash flow'!B13*D$1*(1-Inputs!B11)-'Cash flow'!F13)/(1+Inputs!B21)^11+('Cash flow'!B14*D$1*(1-Inputs!B11)-'Cash flow'!F14)/(1+Inputs!B21)^12+('Cash flow'!B15*D$1*(1-Inputs!B11)-'Cash flow'!F15)/(1+Inputs!B21)^13+('Cash flow'!B16*D$1*(1-Inputs!B11)-'Cash flow'!F16)/(1+Inputs!B21)^14+('Cash flow'!B17*D$1*(1-Inputs!B11)-'Cash flow'!F17)/(1+Inputs!B21)^15+('Cash flow'!B18*D$1*(1-Inputs!B11)-'Cash flow'!F18)/(1+Inputs!B21)^16+('Cash flow'!B19*D$1*(1-Inputs!B11)-'Cash flow'!F19)/(1+Inputs!B21)^17+('Cash flow'!B20*D$1*(1-Inputs!B11)-'Cash flow'!F20)/(1+Inputs!B21)^18+('Cash flow'!B21*D$1*(1-Inputs!B11)-'Cash flow'!F21)/(1+Inputs!B21)^19+('Cash flow'!B22*D$1*(1-Inputs!B11)-'Cash flow'!F22)/(1+Inputs!B21)^20+(('Cash flow'!B23*D$1*(1-Inputs!B11)-'Cash flow'!F23)+('Cash flow'!B23*D$1*(1-Inputs!B11)-'Cash flow'!F23)*(1+Inputs!B10)/Inputs!B22*(1-Inputs!B23))/(1+Inputs!B21)^21</f>
        <v>-4990110.111071233</v>
      </c>
    </row>
    <row r="4" ht="30" customHeight="1">
      <c r="A4" s="17" t="n">
        <v>1.1</v>
      </c>
      <c r="B4" s="5">
        <f>-Development!B15*$A4/2+-Development!B15*$A4/2/(1+Inputs!B21)+('Cash flow'!B4*Inputs!B29*B$1/Inputs!B9*(1-Inputs!B11)-'Cash flow'!F4)/(1+Inputs!B21)^2+('Cash flow'!B5*B$1*(1-Inputs!B11)-'Cash flow'!F5)/(1+Inputs!B21)^3+('Cash flow'!B6*B$1*(1-Inputs!B11)-'Cash flow'!F6)/(1+Inputs!B21)^4+('Cash flow'!B7*B$1*(1-Inputs!B11)-'Cash flow'!F7)/(1+Inputs!B21)^5+('Cash flow'!B8*B$1*(1-Inputs!B11)-'Cash flow'!F8)/(1+Inputs!B21)^6+('Cash flow'!B9*B$1*(1-Inputs!B11)-'Cash flow'!F9)/(1+Inputs!B21)^7+('Cash flow'!B10*B$1*(1-Inputs!B11)-'Cash flow'!F10)/(1+Inputs!B21)^8+('Cash flow'!B11*B$1*(1-Inputs!B11)-'Cash flow'!F11)/(1+Inputs!B21)^9+('Cash flow'!B12*B$1*(1-Inputs!B11)-'Cash flow'!F12)/(1+Inputs!B21)^10+('Cash flow'!B13*B$1*(1-Inputs!B11)-'Cash flow'!F13)/(1+Inputs!B21)^11+('Cash flow'!B14*B$1*(1-Inputs!B11)-'Cash flow'!F14)/(1+Inputs!B21)^12+('Cash flow'!B15*B$1*(1-Inputs!B11)-'Cash flow'!F15)/(1+Inputs!B21)^13+('Cash flow'!B16*B$1*(1-Inputs!B11)-'Cash flow'!F16)/(1+Inputs!B21)^14+('Cash flow'!B17*B$1*(1-Inputs!B11)-'Cash flow'!F17)/(1+Inputs!B21)^15+('Cash flow'!B18*B$1*(1-Inputs!B11)-'Cash flow'!F18)/(1+Inputs!B21)^16+('Cash flow'!B19*B$1*(1-Inputs!B11)-'Cash flow'!F19)/(1+Inputs!B21)^17+('Cash flow'!B20*B$1*(1-Inputs!B11)-'Cash flow'!F20)/(1+Inputs!B21)^18+('Cash flow'!B21*B$1*(1-Inputs!B11)-'Cash flow'!F21)/(1+Inputs!B21)^19+('Cash flow'!B22*B$1*(1-Inputs!B11)-'Cash flow'!F22)/(1+Inputs!B21)^20+(('Cash flow'!B23*B$1*(1-Inputs!B11)-'Cash flow'!F23)+('Cash flow'!B23*B$1*(1-Inputs!B11)-'Cash flow'!F23)*(1+Inputs!B10)/Inputs!B22*(1-Inputs!B23))/(1+Inputs!B21)^21</f>
        <v>-7233922.739826424</v>
      </c>
      <c r="C4" s="5">
        <f>-Development!B15*$A4/2+-Development!B15*$A4/2/(1+Inputs!B21)+('Cash flow'!B4*Inputs!B29*C$1/Inputs!B9*(1-Inputs!B11)-'Cash flow'!F4)/(1+Inputs!B21)^2+('Cash flow'!B5*C$1*(1-Inputs!B11)-'Cash flow'!F5)/(1+Inputs!B21)^3+('Cash flow'!B6*C$1*(1-Inputs!B11)-'Cash flow'!F6)/(1+Inputs!B21)^4+('Cash flow'!B7*C$1*(1-Inputs!B11)-'Cash flow'!F7)/(1+Inputs!B21)^5+('Cash flow'!B8*C$1*(1-Inputs!B11)-'Cash flow'!F8)/(1+Inputs!B21)^6+('Cash flow'!B9*C$1*(1-Inputs!B11)-'Cash flow'!F9)/(1+Inputs!B21)^7+('Cash flow'!B10*C$1*(1-Inputs!B11)-'Cash flow'!F10)/(1+Inputs!B21)^8+('Cash flow'!B11*C$1*(1-Inputs!B11)-'Cash flow'!F11)/(1+Inputs!B21)^9+('Cash flow'!B12*C$1*(1-Inputs!B11)-'Cash flow'!F12)/(1+Inputs!B21)^10+('Cash flow'!B13*C$1*(1-Inputs!B11)-'Cash flow'!F13)/(1+Inputs!B21)^11+('Cash flow'!B14*C$1*(1-Inputs!B11)-'Cash flow'!F14)/(1+Inputs!B21)^12+('Cash flow'!B15*C$1*(1-Inputs!B11)-'Cash flow'!F15)/(1+Inputs!B21)^13+('Cash flow'!B16*C$1*(1-Inputs!B11)-'Cash flow'!F16)/(1+Inputs!B21)^14+('Cash flow'!B17*C$1*(1-Inputs!B11)-'Cash flow'!F17)/(1+Inputs!B21)^15+('Cash flow'!B18*C$1*(1-Inputs!B11)-'Cash flow'!F18)/(1+Inputs!B21)^16+('Cash flow'!B19*C$1*(1-Inputs!B11)-'Cash flow'!F19)/(1+Inputs!B21)^17+('Cash flow'!B20*C$1*(1-Inputs!B11)-'Cash flow'!F20)/(1+Inputs!B21)^18+('Cash flow'!B21*C$1*(1-Inputs!B11)-'Cash flow'!F21)/(1+Inputs!B21)^19+('Cash flow'!B22*C$1*(1-Inputs!B11)-'Cash flow'!F22)/(1+Inputs!B21)^20+(('Cash flow'!B23*C$1*(1-Inputs!B11)-'Cash flow'!F23)+('Cash flow'!B23*C$1*(1-Inputs!B11)-'Cash flow'!F23)*(1+Inputs!B10)/Inputs!B22*(1-Inputs!B23))/(1+Inputs!B21)^21</f>
        <v>-6456207.280214168</v>
      </c>
      <c r="D4" s="5">
        <f>-Development!B15*$A4/2+-Development!B15*$A4/2/(1+Inputs!B21)+('Cash flow'!B4*Inputs!B29*D$1/Inputs!B9*(1-Inputs!B11)-'Cash flow'!F4)/(1+Inputs!B21)^2+('Cash flow'!B5*D$1*(1-Inputs!B11)-'Cash flow'!F5)/(1+Inputs!B21)^3+('Cash flow'!B6*D$1*(1-Inputs!B11)-'Cash flow'!F6)/(1+Inputs!B21)^4+('Cash flow'!B7*D$1*(1-Inputs!B11)-'Cash flow'!F7)/(1+Inputs!B21)^5+('Cash flow'!B8*D$1*(1-Inputs!B11)-'Cash flow'!F8)/(1+Inputs!B21)^6+('Cash flow'!B9*D$1*(1-Inputs!B11)-'Cash flow'!F9)/(1+Inputs!B21)^7+('Cash flow'!B10*D$1*(1-Inputs!B11)-'Cash flow'!F10)/(1+Inputs!B21)^8+('Cash flow'!B11*D$1*(1-Inputs!B11)-'Cash flow'!F11)/(1+Inputs!B21)^9+('Cash flow'!B12*D$1*(1-Inputs!B11)-'Cash flow'!F12)/(1+Inputs!B21)^10+('Cash flow'!B13*D$1*(1-Inputs!B11)-'Cash flow'!F13)/(1+Inputs!B21)^11+('Cash flow'!B14*D$1*(1-Inputs!B11)-'Cash flow'!F14)/(1+Inputs!B21)^12+('Cash flow'!B15*D$1*(1-Inputs!B11)-'Cash flow'!F15)/(1+Inputs!B21)^13+('Cash flow'!B16*D$1*(1-Inputs!B11)-'Cash flow'!F16)/(1+Inputs!B21)^14+('Cash flow'!B17*D$1*(1-Inputs!B11)-'Cash flow'!F17)/(1+Inputs!B21)^15+('Cash flow'!B18*D$1*(1-Inputs!B11)-'Cash flow'!F18)/(1+Inputs!B21)^16+('Cash flow'!B19*D$1*(1-Inputs!B11)-'Cash flow'!F19)/(1+Inputs!B21)^17+('Cash flow'!B20*D$1*(1-Inputs!B11)-'Cash flow'!F20)/(1+Inputs!B21)^18+('Cash flow'!B21*D$1*(1-Inputs!B11)-'Cash flow'!F21)/(1+Inputs!B21)^19+('Cash flow'!B22*D$1*(1-Inputs!B11)-'Cash flow'!F22)/(1+Inputs!B21)^20+(('Cash flow'!B23*D$1*(1-Inputs!B11)-'Cash flow'!F23)+('Cash flow'!B23*D$1*(1-Inputs!B11)-'Cash flow'!F23)*(1+Inputs!B10)/Inputs!B22*(1-Inputs!B23))/(1+Inputs!B21)^21</f>
        <v>-6222892.642330492</v>
      </c>
    </row>
    <row r="5" ht="30" customHeight="1">
      <c r="A5" s="2" t="n"/>
      <c r="B5" s="2" t="n"/>
      <c r="C5" s="2" t="n"/>
      <c r="D5" s="2" t="n"/>
    </row>
    <row r="6" ht="65" customHeight="1">
      <c r="A6" s="2" t="inlineStr">
        <is>
          <t>Rows = development cost multiplier. Columns = stabilised occupancy. Opening occupancy scales with stabilised occupancy. Rents unchanged.</t>
        </is>
      </c>
      <c r="B6" s="2" t="n"/>
      <c r="C6" s="2" t="n"/>
      <c r="D6" s="2" t="n"/>
    </row>
  </sheetData>
  <autoFilter ref="A1:D6"/>
  <mergeCells count="1">
    <mergeCell ref="A6:D6"/>
  </mergeCells>
  <conditionalFormatting sqref="B2:D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C1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Control</t>
        </is>
      </c>
      <c r="B1" s="8" t="inlineStr">
        <is>
          <t>Value</t>
        </is>
      </c>
      <c r="C1" s="8" t="inlineStr">
        <is>
          <t>Expected</t>
        </is>
      </c>
    </row>
    <row r="2" ht="30" customHeight="1">
      <c r="A2" s="2" t="inlineStr">
        <is>
          <t>Beds reconcile</t>
        </is>
      </c>
      <c r="B2" s="5">
        <f>'Room mix'!D5-(Inputs!B2+Inputs!B3*2+Inputs!B4)</f>
        <v>0</v>
      </c>
      <c r="C2" s="11" t="n">
        <v>0</v>
      </c>
    </row>
    <row r="3" ht="30" customHeight="1">
      <c r="A3" s="2" t="inlineStr">
        <is>
          <t>Sources = funding</t>
        </is>
      </c>
      <c r="B3" s="5">
        <f>Development!B7-Development!B8-Development!B9</f>
        <v>0.0</v>
      </c>
      <c r="C3" s="11" t="n">
        <v>0</v>
      </c>
    </row>
    <row r="4" ht="30" customHeight="1">
      <c r="A4" s="2" t="inlineStr">
        <is>
          <t>Debt fully drawn</t>
        </is>
      </c>
      <c r="B4" s="5">
        <f>SUM('Cash flow'!I2:I23)-Development!B8</f>
        <v>0.0</v>
      </c>
      <c r="C4" s="11" t="n">
        <v>0</v>
      </c>
    </row>
    <row r="5" ht="30" customHeight="1">
      <c r="A5" s="2" t="inlineStr">
        <is>
          <t>Unlevered spend matches budget</t>
        </is>
      </c>
      <c r="B5" s="5">
        <f>SUM('Cash flow'!H2:H23)-Development!B15</f>
        <v>0.0</v>
      </c>
      <c r="C5" s="11" t="n">
        <v>0</v>
      </c>
    </row>
    <row r="6" ht="30" customHeight="1">
      <c r="A6" s="2" t="inlineStr">
        <is>
          <t>Equity invested</t>
        </is>
      </c>
      <c r="B6" s="5">
        <f>-SUM('Cash flow'!N2:N3)-Development!B9</f>
        <v>0.0</v>
      </c>
      <c r="C6" s="11" t="n">
        <v>0</v>
      </c>
    </row>
    <row r="7" ht="30" customHeight="1">
      <c r="A7" s="2" t="inlineStr">
        <is>
          <t>Base scenario NPV reconciles</t>
        </is>
      </c>
      <c r="B7" s="5">
        <f>Scenarios!F3-Dashboard!B9</f>
        <v>1.862645149230957e-09</v>
      </c>
      <c r="C7" s="11" t="n">
        <v>0</v>
      </c>
    </row>
    <row r="8" ht="30" customHeight="1">
      <c r="A8" s="2" t="inlineStr">
        <is>
          <t>Rent references supplied</t>
        </is>
      </c>
      <c r="B8" s="5">
        <f>COUNTIF('Rent rules'!C2:C4,"&gt;0")</f>
        <v>0</v>
      </c>
      <c r="C8" s="11" t="n">
        <v>3</v>
      </c>
    </row>
    <row r="9" ht="30" customHeight="1">
      <c r="A9" s="2" t="inlineStr">
        <is>
          <t>Occupancy bounds</t>
        </is>
      </c>
      <c r="B9" s="5">
        <f>IF(AND(Inputs!B9&gt;0,Inputs!B9&lt;=1,Inputs!B29&gt;0,Inputs!B29&lt;=1),0,1)</f>
        <v>0</v>
      </c>
      <c r="C9" s="11" t="n">
        <v>0</v>
      </c>
    </row>
    <row r="10" ht="30" customHeight="1">
      <c r="A10" s="2" t="inlineStr">
        <is>
          <t>Candidate capacity reconciliation</t>
        </is>
      </c>
      <c r="B10" s="5">
        <f>'Room mix'!D5-Inputs!B36</f>
        <v>0</v>
      </c>
      <c r="C10" s="11" t="n">
        <v>0</v>
      </c>
    </row>
    <row r="11" ht="30" customHeight="1">
      <c r="A11" s="2" t="inlineStr">
        <is>
          <t>Capacity option cost reconciliation</t>
        </is>
      </c>
      <c r="B11" s="5">
        <f>'Capacity options'!I3-Development!B7</f>
        <v>1.862645149230957e-09</v>
      </c>
      <c r="C11" s="11" t="n">
        <v>0</v>
      </c>
    </row>
  </sheetData>
  <autoFilter ref="A1:C11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M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8" customHeight="1">
      <c r="A1" s="8" t="inlineStr">
        <is>
          <t>Design</t>
        </is>
      </c>
      <c r="B1" s="8" t="inlineStr">
        <is>
          <t>Normal rooms</t>
        </is>
      </c>
      <c r="C1" s="8" t="inlineStr">
        <is>
          <t>Shared studios</t>
        </is>
      </c>
      <c r="D1" s="8" t="inlineStr">
        <is>
          <t>Single studios</t>
        </is>
      </c>
      <c r="E1" s="8" t="inlineStr">
        <is>
          <t>Beds</t>
        </is>
      </c>
      <c r="F1" s="8" t="inlineStr">
        <is>
          <t>Gross sqm</t>
        </is>
      </c>
      <c r="G1" s="8" t="inlineStr">
        <is>
          <t>Gross annual rent</t>
        </is>
      </c>
      <c r="H1" s="8" t="inlineStr">
        <is>
          <t>Project cost ex interest</t>
        </is>
      </c>
      <c r="I1" s="8" t="inlineStr">
        <is>
          <t>Funding incl interest</t>
        </is>
      </c>
      <c r="J1" s="8" t="inlineStr">
        <is>
          <t>Stabilised NOI</t>
        </is>
      </c>
      <c r="K1" s="8" t="inlineStr">
        <is>
          <t>Yield on cost</t>
        </is>
      </c>
      <c r="L1" s="8" t="inlineStr">
        <is>
          <t>DSCR</t>
        </is>
      </c>
      <c r="M1" s="8" t="inlineStr">
        <is>
          <t>Demand screen</t>
        </is>
      </c>
    </row>
    <row r="2" ht="30" customHeight="1">
      <c r="A2" s="2" t="inlineStr">
        <is>
          <t>Compact</t>
        </is>
      </c>
      <c r="B2" s="11" t="n">
        <v>40</v>
      </c>
      <c r="C2" s="11" t="n">
        <v>12</v>
      </c>
      <c r="D2" s="11" t="n">
        <v>16</v>
      </c>
      <c r="E2" s="5">
        <f>B2+2*C2+D2</f>
        <v>80</v>
      </c>
      <c r="F2" s="5">
        <f>(B2*Inputs!B25+C2*Inputs!B26+D2*Inputs!B27)*Inputs!B28</f>
        <v>2105.6</v>
      </c>
      <c r="G2" s="5">
        <f>(B2*'Rent rules'!F2+C2*2*'Rent rules'!F3+D2*'Rent rules'!F4)*Inputs!B8</f>
        <v>467520.0</v>
      </c>
      <c r="H2" s="5">
        <f>Inputs!B14*(1+Inputs!B32)+F2*Inputs!B13*(1+Inputs!B15)*(1+Inputs!B16)*(1+Inputs!B17)+E2*Inputs!B33+Inputs!B34</f>
        <v>9354460.608000001</v>
      </c>
      <c r="I2" s="5">
        <f>H2*(1+Inputs!B18*Inputs!B19)</f>
        <v>9585983.508048002</v>
      </c>
      <c r="J2" s="5">
        <f>(G2*Inputs!B9*(1-Inputs!B11)-E2*Inputs!B12)*(1+Inputs!B10)</f>
        <v>313939.3536</v>
      </c>
      <c r="K2" s="6">
        <f>J2/I2</f>
        <v>0.03274983243361824</v>
      </c>
      <c r="L2" s="15">
        <f>J2/(-PMT(Inputs!B19,Inputs!B20,H2*Inputs!B18))</f>
        <v>0.9048008862732698</v>
      </c>
      <c r="M2" s="5" t="str">
        <f>IF(E2&lt;='Demand &amp; competition'!B10,"Within assumed demand","Above assumed demand")</f>
        <v>Within assumed demand</v>
      </c>
    </row>
    <row r="3" ht="30" customHeight="1">
      <c r="A3" s="2" t="inlineStr">
        <is>
          <t>Proposed</t>
        </is>
      </c>
      <c r="B3" s="11" t="n">
        <v>60</v>
      </c>
      <c r="C3" s="11" t="n">
        <v>20</v>
      </c>
      <c r="D3" s="11" t="n">
        <v>20</v>
      </c>
      <c r="E3" s="5">
        <f>B3+2*C3+D3</f>
        <v>120</v>
      </c>
      <c r="F3" s="5">
        <f>(B3*Inputs!B25+C3*Inputs!B26+D3*Inputs!B27)*Inputs!B28</f>
        <v>3108.0</v>
      </c>
      <c r="G3" s="5">
        <f>(B3*'Rent rules'!F2+C3*2*'Rent rules'!F3+D3*'Rent rules'!F4)*Inputs!B8</f>
        <v>688800.0</v>
      </c>
      <c r="H3" s="5">
        <f>Inputs!B14*(1+Inputs!B32)+F3*Inputs!B13*(1+Inputs!B15)*(1+Inputs!B16)*(1+Inputs!B17)+E3*Inputs!B33+Inputs!B34</f>
        <v>12801972.44</v>
      </c>
      <c r="I3" s="5">
        <f>H3*(1+Inputs!B18*Inputs!B19)</f>
        <v>13118821.257890001</v>
      </c>
      <c r="J3" s="5">
        <f>(G3*Inputs!B9*(1-Inputs!B11)-E3*Inputs!B12)*(1+Inputs!B10)</f>
        <v>462201.984</v>
      </c>
      <c r="K3" s="6">
        <f>J3/I3</f>
        <v>0.03523197510767362</v>
      </c>
      <c r="L3" s="15">
        <f>J3/(-PMT(Inputs!B19,Inputs!B20,H3*Inputs!B18))</f>
        <v>0.9733766536728188</v>
      </c>
      <c r="M3" s="5" t="str">
        <f>IF(E3&lt;='Demand &amp; competition'!B10,"Within assumed demand","Above assumed demand")</f>
        <v>Within assumed demand</v>
      </c>
    </row>
    <row r="4" ht="30" customHeight="1">
      <c r="A4" s="2" t="inlineStr">
        <is>
          <t>Larger</t>
        </is>
      </c>
      <c r="B4" s="11" t="n">
        <v>80</v>
      </c>
      <c r="C4" s="11" t="n">
        <v>28</v>
      </c>
      <c r="D4" s="11" t="n">
        <v>24</v>
      </c>
      <c r="E4" s="5">
        <f>B4+2*C4+D4</f>
        <v>160</v>
      </c>
      <c r="F4" s="5">
        <f>(B4*Inputs!B25+C4*Inputs!B26+D4*Inputs!B27)*Inputs!B28</f>
        <v>4110.4</v>
      </c>
      <c r="G4" s="5">
        <f>(B4*'Rent rules'!F2+C4*2*'Rent rules'!F3+D4*'Rent rules'!F4)*Inputs!B8</f>
        <v>910080.0</v>
      </c>
      <c r="H4" s="5">
        <f>Inputs!B14*(1+Inputs!B32)+F4*Inputs!B13*(1+Inputs!B15)*(1+Inputs!B16)*(1+Inputs!B17)+E4*Inputs!B33+Inputs!B34</f>
        <v>16249484.272000002</v>
      </c>
      <c r="I4" s="5">
        <f>H4*(1+Inputs!B18*Inputs!B19)</f>
        <v>16651659.007732002</v>
      </c>
      <c r="J4" s="5">
        <f>(G4*Inputs!B9*(1-Inputs!B11)-E4*Inputs!B12)*(1+Inputs!B10)</f>
        <v>610464.6144</v>
      </c>
      <c r="K4" s="6">
        <f>J4/I4</f>
        <v>0.036660888510660586</v>
      </c>
      <c r="L4" s="15">
        <f>J4/(-PMT(Inputs!B19,Inputs!B20,H4*Inputs!B18))</f>
        <v>1.0128541721013768</v>
      </c>
      <c r="M4" s="5" t="str">
        <f>IF(E4&lt;='Demand &amp; competition'!B10,"Within assumed demand","Above assumed demand")</f>
        <v>Above assumed demand</v>
      </c>
    </row>
    <row r="5" ht="3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 ht="3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45" customHeight="1">
      <c r="A7" s="2" t="inlineStr">
        <is>
          <t>Selection rationale</t>
        </is>
      </c>
      <c r="B7" s="2" t="inlineStr">
        <is>
          <t>120 beds is the largest tested design within the assumed local demand envelope (~151 beds). The 80-bed design limits lease-up exposure; 160 beds exceeds the envelope.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45" customHeight="1">
      <c r="A8" s="2" t="inlineStr">
        <is>
          <t>Financial conclusion</t>
        </is>
      </c>
      <c r="B8" s="2" t="inlineStr">
        <is>
          <t>Demand alone does not justify construction. All sizes require yield and debt-coverage review; base 120-bed case fails the investment gate.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</sheetData>
  <autoFilter ref="A1:M8"/>
  <mergeCells count="2">
    <mergeCell ref="B8:M8"/>
    <mergeCell ref="B7:M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2026-10-14T16:20:06Z</dcterms:created>
  <dcterms:modified xsi:type="dcterms:W3CDTF">2026-10-14T16:20:06Z</dcterms:modified>
</cp:coreProperties>
</file>