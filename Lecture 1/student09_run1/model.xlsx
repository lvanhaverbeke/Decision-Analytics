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Investment" sheetId="3" state="visible" r:id="rId3"/>
    <sheet name="Annual cash flow" sheetId="4" state="visible" r:id="rId4"/>
    <sheet name="Room sizing" sheetId="5" state="visible" r:id="rId5"/>
    <sheet name="Scenarios" sheetId="6" state="visible" r:id="rId6"/>
    <sheet name="Sources" sheetId="7" state="visible" r:id="rId7"/>
  </sheets>
  <definedNames>
    <definedName name="_xlnm._FilterDatabase" localSheetId="0" hidden="1">'Read me'!$A$1:$B$12</definedName>
    <definedName name="_xlnm._FilterDatabase" localSheetId="1" hidden="1">'Inputs'!$A$1:$D$30</definedName>
    <definedName name="_xlnm._FilterDatabase" localSheetId="2" hidden="1">'Investment'!$A$1:$C$27</definedName>
    <definedName name="_xlnm._FilterDatabase" localSheetId="3" hidden="1">'Annual cash flow'!$A$1:$L$42</definedName>
    <definedName name="_xlnm._FilterDatabase" localSheetId="4" hidden="1">'Room sizing'!$A$1:$K$90</definedName>
    <definedName name="_xlnm._FilterDatabase" localSheetId="5" hidden="1">'Scenarios'!$A$1:$H$5</definedName>
    <definedName name="_xlnm._FilterDatabase" localSheetId="6" hidden="1">'Sources'!$A$1:$D$8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1111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4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1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3" customWidth="1" min="1" max="1"/>
    <s:col width="82" customWidth="1" min="2" max="2"/>
    <s:col width="65" customWidth="1" min="3" max="3"/>
  </s:cols>
  <s:sheetData>
    <s:row r="1" ht="32" customHeight="1">
      <s:c r="A1" s="1" t="inlineStr">
        <s:is>
          <s:t>PROJECT XL — student housing near VUB, Brussels</s:t>
        </s:is>
      </s:c>
      <s:c r="B1" s="1" t="n"/>
    </s:row>
    <s:row r="2">
      <s:c r="A2" s="2" t="inlineStr">
        <s:is>
          <s:t>Decision model • illustrative development, not a property valuation</s:t>
        </s:is>
      </s:c>
      <s:c r="B2" s="2" t="n"/>
    </s:row>
    <s:row r="3">
      <s:c r="A3" s="2" t="inlineStr">
        <s:is>
          <s:t>Status</s:t>
        </s:is>
      </s:c>
      <s:c r="B3" s="2" t="inlineStr">
        <s:is>
          <s:t>Researched rent guidance; investment costs, student budget and finance remain explicit assumptions. 14 October 2026.</s:t>
        </s:is>
      </s:c>
    </s:row>
    <s:row r="4">
      <s:c r="A4" s="2" t="inlineStr">
        <s:is>
          <s:t>How to use</s:t>
        </s:is>
      </s:c>
      <s:c r="B4" s="2" t="inlineStr">
        <s:is>
          <s:t>Edit blue cells on Inputs; Excel recalculates all formulas on opening.</s:t>
        </s:is>
      </s:c>
    </s:row>
    <s:row r="5">
      <s:c r="A5" s="2" t="inlineStr">
        <s:is>
          <s:t>Rent rule</s:t>
        </s:is>
      </s:c>
      <s:c r="B5" s="2" t="inlineStr">
        <s:is>
          <s:t>Affordable rent = minimum of student budget, market ceiling and applicable regulatory/comparator ceiling.</s:t>
        </s:is>
      </s:c>
    </s:row>
    <s:row r="6">
      <s:c r="A6" s="2" t="inlineStr">
        <s:is>
          <s:t>Legal caveat</s:t>
        </s:is>
      </s:c>
      <s:c r="B6" s="2" t="inlineStr">
        <s:is>
          <s:t>A market average is not a legal rent cap. Reference rent must be obtained for the exact dwelling.</s:t>
        </s:is>
      </s:c>
    </s:row>
    <s:row r="7">
      <s:c r="A7" s="2" t="inlineStr">
        <s:is>
          <s:t>Scenario</s:t>
        </s:is>
      </s:c>
      <s:c r="B7" s="2" t="inlineStr">
        <s:is>
          <s:t>Development/major conversion, with land acquisition entered separately.</s:t>
        </s:is>
      </s:c>
    </s:row>
    <s:row r="8">
      <s:c r="A8" s="2" t="inlineStr">
        <s:is>
          <s:t>Model boundaries</s:t>
        </s:is>
      </s:c>
      <s:c r="B8" s="2" t="inlineStr">
        <s:is>
          <s:t>Unlevered annual cash flow; debt-service and equity cash flow shown separately; no sale proceeds in payback.</s:t>
        </s:is>
      </s:c>
    </s:row>
    <s:row r="9">
      <s:c r="A9" s="2" t="inlineStr">
        <s:is>
          <s:t>Room choice</s:t>
        </s:is>
      </s:c>
      <s:c r="B9" s="2" t="inlineStr">
        <s:is>
          <s:t>Room sizing compares every integer from 12–96 rooms; selects highest recurring cash flow among feasible candidates.</s:t>
        </s:is>
      </s:c>
    </s:row>
    <s:row r="10">
      <s:c r="A10" s="2" t="inlineStr">
        <s:is>
          <s:t>Feasible means</s:t>
        </s:is>
      </s:c>
      <s:c r="B10" s="2" t="inlineStr">
        <s:is>
          <s:t>Total cost within budget, positive equity cash flow, DSCR target and assumed site capacity; return target shown separately.</s:t>
        </s:is>
      </s:c>
    </s:row>
    <s:row r="11">
      <s:c r="A11" s="2" t="inlineStr">
        <s:is>
          <s:t>Exclusions</s:t>
        </s:is>
      </s:c>
      <s:c r="B11" s="2" t="inlineStr">
        <s:is>
          <s:t>Personal/company income tax, capital gains tax and sale proceeds; acquisition costs and VAT must be validated.</s:t>
        </s:is>
      </s:c>
    </s:row>
    <s:row r="12">
      <s:c r="A12" s="2" t="inlineStr">
        <s:is>
          <s:t>Sources</s:t>
        </s:is>
      </s:c>
      <s:c r="B12" s="2" t="inlineStr">
        <s:is>
          <s:t>Source links and dates in Sources; all cost and financing inputs are illustrative unless marked otherwise.</s:t>
        </s:is>
      </s:c>
    </s:row>
  </s:sheetData>
  <s:autoFilter ref="A1:B12"/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D30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3" customWidth="1" min="1" max="1"/>
    <s:col width="23" customWidth="1" min="2" max="2"/>
    <s:col width="23" customWidth="1" min="3" max="3"/>
    <s:col width="70" customWidth="1" min="4" max="4"/>
  </s:cols>
  <s:sheetData>
    <s:row r="1" ht="32" customHeight="1">
      <s:c r="A1" s="1" t="inlineStr">
        <s:is>
          <s:t>Input</s:t>
        </s:is>
      </s:c>
      <s:c r="B1" s="1" t="inlineStr">
        <s:is>
          <s:t>Value</s:t>
        </s:is>
      </s:c>
      <s:c r="C1" s="1" t="inlineStr">
        <s:is>
          <s:t>Units</s:t>
        </s:is>
      </s:c>
      <s:c r="D1" s="1" t="inlineStr">
        <s:is>
          <s:t>Basis / status</s:t>
        </s:is>
      </s:c>
    </s:row>
    <s:row r="2">
      <s:c r="A2" s="2" t="inlineStr">
        <s:is>
          <s:t>Number of rooms</s:t>
        </s:is>
      </s:c>
      <s:c r="B2" s="3" t="n">
        <s:v>40</s:v>
      </s:c>
      <s:c r="C2" s="2" t="inlineStr">
        <s:is>
          <s:t>rooms</s:t>
        </s:is>
      </s:c>
      <s:c r="D2" s="2" t="inlineStr">
        <s:is>
          <s:t>Illustrative baseline</s:t>
        </s:is>
      </s:c>
    </s:row>
    <s:row r="3">
      <s:c r="A3" s="2" t="inlineStr">
        <s:is>
          <s:t>Student monthly housing budget incl. charges</s:t>
        </s:is>
      </s:c>
      <s:c r="B3" s="3" t="n">
        <s:v>600</s:v>
      </s:c>
      <s:c r="C3" s="2" t="inlineStr">
        <s:is>
          <s:t>EUR/month</s:t>
        </s:is>
      </s:c>
      <s:c r="D3" s="2" t="inlineStr">
        <s:is>
          <s:t>User can replace with surveyed student budget</s:t>
        </s:is>
      </s:c>
    </s:row>
    <s:row r="4">
      <s:c r="A4" s="2" t="inlineStr">
        <s:is>
          <s:t>Monthly charges paid by student</s:t>
        </s:is>
      </s:c>
      <s:c r="B4" s="3" t="n">
        <s:v>100</s:v>
      </s:c>
      <s:c r="C4" s="2" t="inlineStr">
        <s:is>
          <s:t>EUR/month</s:t>
        </s:is>
      </s:c>
      <s:c r="D4" s="2" t="inlineStr">
        <s:is>
          <s:t>Separate from rent; assumed to cover utilities only</s:t>
        </s:is>
      </s:c>
    </s:row>
    <s:row r="5">
      <s:c r="A5" s="2" t="inlineStr">
        <s:is>
          <s:t>Local market rent comparator excl. charges</s:t>
        </s:is>
      </s:c>
      <s:c r="B5" s="3" t="n">
        <s:v>500</s:v>
      </s:c>
      <s:c r="C5" s="2" t="inlineStr">
        <s:is>
          <s:t>EUR/month</s:t>
        </s:is>
      </s:c>
      <s:c r="D5" s="2" t="inlineStr">
        <s:is>
          <s:t>Bru Kot room median EUR500 excl. charges; Brussels-wide listing data</s:t>
        </s:is>
      </s:c>
    </s:row>
    <s:row r="6">
      <s:c r="A6" s="2" t="inlineStr">
        <s:is>
          <s:t>Conservative reference-rent planning ceiling</s:t>
        </s:is>
      </s:c>
      <s:c r="B6" s="3" t="n">
        <s:v>500</s:v>
      </s:c>
      <s:c r="C6" s="2" t="inlineStr">
        <s:is>
          <s:t>EUR/month</s:t>
        </s:is>
      </s:c>
      <s:c r="D6" s="2" t="inlineStr">
        <s:is>
          <s:t>UNVERIFIED placeholder, NOT a legal cap; replace with address-specific assessment</s:t>
        </s:is>
      </s:c>
    </s:row>
    <s:row r="7">
      <s:c r="A7" s="2" t="inlineStr">
        <s:is>
          <s:t>Chosen base rent excl. charges</s:t>
        </s:is>
      </s:c>
      <s:c r="B7" s="3" t="n">
        <s:v>475</s:v>
      </s:c>
      <s:c r="C7" s="2" t="inlineStr">
        <s:is>
          <s:t>EUR/month</s:t>
        </s:is>
      </s:c>
      <s:c r="D7" s="2" t="inlineStr">
        <s:is>
          <s:t>Investor proposal</s:t>
        </s:is>
      </s:c>
    </s:row>
    <s:row r="8">
      <s:c r="A8" s="2" t="inlineStr">
        <s:is>
          <s:t>Occupancy</s:t>
        </s:is>
      </s:c>
      <s:c r="B8" s="4" t="n">
        <s:v>0.95</s:v>
      </s:c>
      <s:c r="C8" s="2" t="inlineStr">
        <s:is>
          <s:t>%</s:t>
        </s:is>
      </s:c>
      <s:c r="D8" s="2" t="inlineStr">
        <s:is>
          <s:t>Assumption; all 12 months are billable</s:t>
        </s:is>
      </s:c>
    </s:row>
    <s:row r="9">
      <s:c r="A9" s="2" t="inlineStr">
        <s:is>
          <s:t>Billable months</s:t>
        </s:is>
      </s:c>
      <s:c r="B9" s="3" t="n">
        <s:v>12</s:v>
      </s:c>
      <s:c r="C9" s="2" t="inlineStr">
        <s:is>
          <s:t>months/year</s:t>
        </s:is>
      </s:c>
      <s:c r="D9" s="2" t="inlineStr">
        <s:is>
          <s:t>Adjust for 10-month contracts</s:t>
        </s:is>
      </s:c>
    </s:row>
    <s:row r="10">
      <s:c r="A10" s="2" t="inlineStr">
        <s:is>
          <s:t>Land / property acquisition</s:t>
        </s:is>
      </s:c>
      <s:c r="B10" s="3" t="n">
        <s:v>900000</s:v>
      </s:c>
      <s:c r="C10" s="2" t="inlineStr">
        <s:is>
          <s:t>EUR</s:t>
        </s:is>
      </s:c>
      <s:c r="D10" s="2" t="inlineStr">
        <s:is>
          <s:t>Land for new build; avoid double counting existing structure</s:t>
        </s:is>
      </s:c>
    </s:row>
    <s:row r="11">
      <s:c r="A11" s="2" t="inlineStr">
        <s:is>
          <s:t>Gross floor area per room incl. common areas</s:t>
        </s:is>
      </s:c>
      <s:c r="B11" s="3" t="n">
        <s:v>34</s:v>
      </s:c>
      <s:c r="C11" s="2" t="inlineStr">
        <s:is>
          <s:t>m²/room</s:t>
        </s:is>
      </s:c>
      <s:c r="D11" s="2" t="inlineStr">
        <s:is>
          <s:t>Planning assumption, not minimum legal room area</s:t>
        </s:is>
      </s:c>
    </s:row>
    <s:row r="12">
      <s:c r="A12" s="2" t="inlineStr">
        <s:is>
          <s:t>Build cost per gross m²</s:t>
        </s:is>
      </s:c>
      <s:c r="B12" s="3" t="n">
        <s:v>2400</s:v>
      </s:c>
      <s:c r="C12" s="2" t="inlineStr">
        <s:is>
          <s:t>EUR/m²</s:t>
        </s:is>
      </s:c>
      <s:c r="D12" s="2" t="inlineStr">
        <s:is>
          <s:t>Assumed VAT-inclusive; validate with contractor</s:t>
        </s:is>
      </s:c>
    </s:row>
    <s:row r="13">
      <s:c r="A13" s="2" t="inlineStr">
        <s:is>
          <s:t>Furnishing per room</s:t>
        </s:is>
      </s:c>
      <s:c r="B13" s="3" t="n">
        <s:v>5000</s:v>
      </s:c>
      <s:c r="C13" s="2" t="inlineStr">
        <s:is>
          <s:t>EUR/room</s:t>
        </s:is>
      </s:c>
      <s:c r="D13" s="2" t="inlineStr">
        <s:is>
          <s:t>Assumption</s:t>
        </s:is>
      </s:c>
    </s:row>
    <s:row r="14">
      <s:c r="A14" s="2" t="inlineStr">
        <s:is>
          <s:t>Fixed professional / permits / acquisition costs</s:t>
        </s:is>
      </s:c>
      <s:c r="B14" s="3" t="n">
        <s:v>250000</s:v>
      </s:c>
      <s:c r="C14" s="2" t="inlineStr">
        <s:is>
          <s:t>EUR</s:t>
        </s:is>
      </s:c>
      <s:c r="D14" s="2" t="inlineStr">
        <s:is>
          <s:t>Includes placeholder closing costs; obtain breakdown</s:t>
        </s:is>
      </s:c>
    </s:row>
    <s:row r="15">
      <s:c r="A15" s="2" t="inlineStr">
        <s:is>
          <s:t>Contingency on build + furnishing</s:t>
        </s:is>
      </s:c>
      <s:c r="B15" s="4" t="n">
        <s:v>0.1</s:v>
      </s:c>
      <s:c r="C15" s="2" t="inlineStr">
        <s:is>
          <s:t>%</s:t>
        </s:is>
      </s:c>
      <s:c r="D15" s="2" t="inlineStr">
        <s:is>
          <s:t>Assumption</s:t>
        </s:is>
      </s:c>
    </s:row>
    <s:row r="16">
      <s:c r="A16" s="2" t="inlineStr">
        <s:is>
          <s:t>Operating expenses / collected rent</s:t>
        </s:is>
      </s:c>
      <s:c r="B16" s="4" t="n">
        <s:v>0.25</s:v>
      </s:c>
      <s:c r="C16" s="2" t="inlineStr">
        <s:is>
          <s:t>%</s:t>
        </s:is>
      </s:c>
      <s:c r="D16" s="2" t="inlineStr">
        <s:is>
          <s:t>Management, maintenance, insurance, tax provision; excludes recoverable utilities</s:t>
        </s:is>
      </s:c>
    </s:row>
    <s:row r="17">
      <s:c r="A17" s="2" t="inlineStr">
        <s:is>
          <s:t>Annual rent escalation</s:t>
        </s:is>
      </s:c>
      <s:c r="B17" s="4" t="n">
        <s:v>0.02</s:v>
      </s:c>
      <s:c r="C17" s="2" t="inlineStr">
        <s:is>
          <s:t>%</s:t>
        </s:is>
      </s:c>
      <s:c r="D17" s="2" t="inlineStr">
        <s:is>
          <s:t>Assumption, subject to indexation conditions</s:t>
        </s:is>
      </s:c>
    </s:row>
    <s:row r="18">
      <s:c r="A18" s="2" t="inlineStr">
        <s:is>
          <s:t>Annual operating cost escalation</s:t>
        </s:is>
      </s:c>
      <s:c r="B18" s="4" t="n">
        <s:v>0.025</s:v>
      </s:c>
      <s:c r="C18" s="2" t="inlineStr">
        <s:is>
          <s:t>%</s:t>
        </s:is>
      </s:c>
      <s:c r="D18" s="2" t="inlineStr">
        <s:is>
          <s:t>Assumption</s:t>
        </s:is>
      </s:c>
    </s:row>
    <s:row r="19">
      <s:c r="A19" s="2" t="inlineStr">
        <s:is>
          <s:t>Debt share of total investment</s:t>
        </s:is>
      </s:c>
      <s:c r="B19" s="4" t="n">
        <s:v>0.35</s:v>
      </s:c>
      <s:c r="C19" s="2" t="inlineStr">
        <s:is>
          <s:t>%</s:t>
        </s:is>
      </s:c>
      <s:c r="D19" s="2" t="inlineStr">
        <s:is>
          <s:t>Assumption</s:t>
        </s:is>
      </s:c>
    </s:row>
    <s:row r="20">
      <s:c r="A20" s="2" t="inlineStr">
        <s:is>
          <s:t>Debt annual interest</s:t>
        </s:is>
      </s:c>
      <s:c r="B20" s="4" t="n">
        <s:v>0.045</s:v>
      </s:c>
      <s:c r="C20" s="2" t="inlineStr">
        <s:is>
          <s:t>%</s:t>
        </s:is>
      </s:c>
      <s:c r="D20" s="2" t="inlineStr">
        <s:is>
          <s:t>Assumption, fixed amortising loan</s:t>
        </s:is>
      </s:c>
    </s:row>
    <s:row r="21">
      <s:c r="A21" s="2" t="inlineStr">
        <s:is>
          <s:t>Debt term</s:t>
        </s:is>
      </s:c>
      <s:c r="B21" s="3" t="n">
        <s:v>25</s:v>
      </s:c>
      <s:c r="C21" s="2" t="inlineStr">
        <s:is>
          <s:t>years</s:t>
        </s:is>
      </s:c>
      <s:c r="D21" s="2" t="inlineStr">
        <s:is>
          <s:t>Assumption</s:t>
        </s:is>
      </s:c>
    </s:row>
    <s:row r="22">
      <s:c r="A22" s="2" t="inlineStr">
        <s:is>
          <s:t>Total investment budget</s:t>
        </s:is>
      </s:c>
      <s:c r="B22" s="3" t="n">
        <s:v>5000000</s:v>
      </s:c>
      <s:c r="C22" s="2" t="inlineStr">
        <s:is>
          <s:t>EUR</s:t>
        </s:is>
      </s:c>
      <s:c r="D22" s="2" t="inlineStr">
        <s:is>
          <s:t>Illustrative cap, replace with actual budget</s:t>
        </s:is>
      </s:c>
    </s:row>
    <s:row r="23">
      <s:c r="A23" s="2" t="inlineStr">
        <s:is>
          <s:t>Available equity</s:t>
        </s:is>
      </s:c>
      <s:c r="B23" s="3" t="n">
        <s:v>3250000</s:v>
      </s:c>
      <s:c r="C23" s="2" t="inlineStr">
        <s:is>
          <s:t>EUR</s:t>
        </s:is>
      </s:c>
      <s:c r="D23" s="2" t="inlineStr">
        <s:is>
          <s:t>Illustrative cap</s:t>
        </s:is>
      </s:c>
    </s:row>
    <s:row r="24">
      <s:c r="A24" s="2" t="inlineStr">
        <s:is>
          <s:t>Minimum DSCR</s:t>
        </s:is>
      </s:c>
      <s:c r="B24" s="3" t="n">
        <s:v>1.2</s:v>
      </s:c>
      <s:c r="C24" s="2" t="inlineStr">
        <s:is>
          <s:t>ratio</s:t>
        </s:is>
      </s:c>
      <s:c r="D24" s="2" t="inlineStr">
        <s:is>
          <s:t>Illustrative lender criterion</s:t>
        </s:is>
      </s:c>
    </s:row>
    <s:row r="25">
      <s:c r="A25" s="2" t="inlineStr">
        <s:is>
          <s:t>Required unlevered net yield</s:t>
        </s:is>
      </s:c>
      <s:c r="B25" s="4" t="n">
        <s:v>0.045</s:v>
      </s:c>
      <s:c r="C25" s="2" t="inlineStr">
        <s:is>
          <s:t>%</s:t>
        </s:is>
      </s:c>
      <s:c r="D25" s="2" t="inlineStr">
        <s:is>
          <s:t>Illustrative target</s:t>
        </s:is>
      </s:c>
    </s:row>
    <s:row r="26">
      <s:c r="A26" s="2" t="inlineStr">
        <s:is>
          <s:t>Discount rate</s:t>
        </s:is>
      </s:c>
      <s:c r="B26" s="4" t="n">
        <s:v>0.06</s:v>
      </s:c>
      <s:c r="C26" s="2" t="inlineStr">
        <s:is>
          <s:t>%</s:t>
        </s:is>
      </s:c>
      <s:c r="D26" s="2" t="inlineStr">
        <s:is>
          <s:t>Unlevered cash flow NPV; terminal value excluded</s:t>
        </s:is>
      </s:c>
    </s:row>
    <s:row r="27">
      <s:c r="A27" s="2" t="inlineStr">
        <s:is>
          <s:t>Operating horizon</s:t>
        </s:is>
      </s:c>
      <s:c r="B27" s="3" t="n">
        <s:v>30</s:v>
      </s:c>
      <s:c r="C27" s="2" t="inlineStr">
        <s:is>
          <s:t>years</s:t>
        </s:is>
      </s:c>
      <s:c r="D27" s="2" t="inlineStr">
        <s:is>
          <s:t>No sale proceeds modelled; supported range 1–38 years</s:t>
        </s:is>
      </s:c>
    </s:row>
    <s:row r="28">
      <s:c r="A28" s="2" t="inlineStr">
        <s:is>
          <s:t>Development years before rent</s:t>
        </s:is>
      </s:c>
      <s:c r="B28" s="3" t="n">
        <s:v>2</s:v>
      </s:c>
      <s:c r="C28" s="2" t="inlineStr">
        <s:is>
          <s:t>years</s:t>
        </s:is>
      </s:c>
      <s:c r="D28" s="2" t="inlineStr">
        <s:is>
          <s:t>All investment assumed paid at time zero</s:t>
        </s:is>
      </s:c>
    </s:row>
    <s:row r="29">
      <s:c r="A29" s="2" t="inlineStr">
        <s:is>
          <s:t>Site maximum rooms</s:t>
        </s:is>
      </s:c>
      <s:c r="B29" s="3" t="n">
        <s:v>60</s:v>
      </s:c>
      <s:c r="C29" s="2" t="inlineStr">
        <s:is>
          <s:t>rooms</s:t>
        </s:is>
      </s:c>
      <s:c r="D29" s="2" t="inlineStr">
        <s:is>
          <s:t>UNVERIFIED capacity assumption; architect must validate</s:t>
        </s:is>
      </s:c>
    </s:row>
    <s:row r="30">
      <s:c r="A30" s="2" t="inlineStr">
        <s:is>
          <s:t>Net private room area</s:t>
        </s:is>
      </s:c>
      <s:c r="B30" s="3" t="n">
        <s:v>18</s:v>
      </s:c>
      <s:c r="C30" s="2" t="inlineStr">
        <s:is>
          <s:t>m²</s:t>
        </s:is>
      </s:c>
      <s:c r="D30" s="2" t="inlineStr">
        <s:is>
          <s:t>Illustrative design; 12 m² student dwelling minimum is not full planning clearance</s:t>
        </s:is>
      </s:c>
    </s:row>
  </s:sheetData>
  <s:autoFilter ref="A1:D30"/>
  <s:dataValidations count="1">
    <s:dataValidation sqref="B27" showDropDown="0" showInputMessage="0" showErrorMessage="1" allowBlank="0" errorTitle="Horizon range" error="Use 1 to 38 operating years" type="whole" operator="between">
      <s:formula1>1</s:formula1>
      <s:formula2>38</s:formula2>
    </s:dataValidation>
  </s:dataValidations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C3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3" customWidth="1" min="1" max="1"/>
    <s:col width="23" customWidth="1" min="2" max="2"/>
    <s:col width="23" customWidth="1" min="3" max="3"/>
  </s:cols>
  <s:sheetData>
    <s:row r="1" ht="32" customHeight="1">
      <s:c r="A1" s="1" t="inlineStr">
        <s:is>
          <s:t>Measure</s:t>
        </s:is>
      </s:c>
      <s:c r="B1" s="1" t="inlineStr">
        <s:is>
          <s:t>Value</s:t>
        </s:is>
      </s:c>
      <s:c r="C1" s="1" t="inlineStr">
        <s:is>
          <s:t>Meaning</s:t>
        </s:is>
      </s:c>
    </s:row>
    <s:row r="2">
      <s:c r="A2" s="2" t="inlineStr">
        <s:is>
          <s:t>Affordable base rent</s:t>
        </s:is>
      </s:c>
      <s:c r="B2" s="5">
        <s:f>MAX(0,MIN(Inputs!B3-Inputs!B4,Inputs!B5,Inputs!B6,Inputs!B7))</s:f>
        <s:v>475</s:v>
      </s:c>
      <s:c r="C2" s="2" t="inlineStr">
        <s:is>
          <s:t>Student budget and comparator constrained</s:t>
        </s:is>
      </s:c>
    </s:row>
    <s:row r="3">
      <s:c r="A3" s="2" t="inlineStr">
        <s:is>
          <s:t>All-in student monthly payment</s:t>
        </s:is>
      </s:c>
      <s:c r="B3" s="5">
        <s:f>B2+Inputs!B4</s:f>
        <s:v>575</s:v>
      </s:c>
      <s:c r="C3" s="2" t="inlineStr">
        <s:is>
          <s:t>Rent + utility charge</s:t>
        </s:is>
      </s:c>
    </s:row>
    <s:row r="4">
      <s:c r="A4" s="2" t="inlineStr">
        <s:is>
          <s:t>Gross floor area</s:t>
        </s:is>
      </s:c>
      <s:c r="B4" s="5">
        <s:f>Inputs!B2*Inputs!B11</s:f>
        <s:v>1360</s:v>
      </s:c>
      <s:c r="C4" s="2" t="inlineStr">
        <s:is>
          <s:t>m²</s:t>
        </s:is>
      </s:c>
    </s:row>
    <s:row r="5">
      <s:c r="A5" s="2" t="inlineStr">
        <s:is>
          <s:t>Build cost</s:t>
        </s:is>
      </s:c>
      <s:c r="B5" s="5">
        <s:f>B4*Inputs!B12</s:f>
        <s:v>3264000</s:v>
      </s:c>
      <s:c r="C5" s="2" t="inlineStr">
        <s:is>
          <s:t>EUR</s:t>
        </s:is>
      </s:c>
    </s:row>
    <s:row r="6">
      <s:c r="A6" s="2" t="inlineStr">
        <s:is>
          <s:t>Furnishing</s:t>
        </s:is>
      </s:c>
      <s:c r="B6" s="5">
        <s:f>Inputs!B2*Inputs!B13</s:f>
        <s:v>200000</s:v>
      </s:c>
      <s:c r="C6" s="2" t="inlineStr">
        <s:is>
          <s:t>EUR</s:t>
        </s:is>
      </s:c>
    </s:row>
    <s:row r="7">
      <s:c r="A7" s="2" t="inlineStr">
        <s:is>
          <s:t>Contingency</s:t>
        </s:is>
      </s:c>
      <s:c r="B7" s="5">
        <s:f>(B5+B6)*Inputs!B15</s:f>
        <s:v>346400.0</s:v>
      </s:c>
      <s:c r="C7" s="2" t="inlineStr">
        <s:is>
          <s:t>EUR</s:t>
        </s:is>
      </s:c>
    </s:row>
    <s:row r="8">
      <s:c r="A8" s="2" t="inlineStr">
        <s:is>
          <s:t>Total project investment</s:t>
        </s:is>
      </s:c>
      <s:c r="B8" s="5">
        <s:f>Inputs!B10+B5+B6+B7+Inputs!B14</s:f>
        <s:v>4960400.0</s:v>
      </s:c>
      <s:c r="C8" s="2" t="inlineStr">
        <s:is>
          <s:t>All-in development capital</s:t>
        </s:is>
      </s:c>
    </s:row>
    <s:row r="9">
      <s:c r="A9" s="2" t="inlineStr">
        <s:is>
          <s:t>Loan</s:t>
        </s:is>
      </s:c>
      <s:c r="B9" s="5">
        <s:f>B8*Inputs!B19</s:f>
        <s:v>1736140.0</s:v>
      </s:c>
      <s:c r="C9" s="2" t="inlineStr">
        <s:is>
          <s:t>EUR</s:t>
        </s:is>
      </s:c>
    </s:row>
    <s:row r="10">
      <s:c r="A10" s="2" t="inlineStr">
        <s:is>
          <s:t>Required equity</s:t>
        </s:is>
      </s:c>
      <s:c r="B10" s="5">
        <s:f>B8-B9</s:f>
        <s:v>3224260.0</s:v>
      </s:c>
      <s:c r="C10" s="2" t="inlineStr">
        <s:is>
          <s:t>EUR</s:t>
        </s:is>
      </s:c>
    </s:row>
    <s:row r="11">
      <s:c r="A11" s="2" t="inlineStr">
        <s:is>
          <s:t>Potential annual base rent</s:t>
        </s:is>
      </s:c>
      <s:c r="B11" s="5">
        <s:f>Inputs!B2*B2*Inputs!B9</s:f>
        <s:v>228000</s:v>
      </s:c>
      <s:c r="C11" s="2" t="inlineStr">
        <s:is>
          <s:t>Excludes charges</s:t>
        </s:is>
      </s:c>
    </s:row>
    <s:row r="12">
      <s:c r="A12" s="2" t="inlineStr">
        <s:is>
          <s:t>Collected annual rent</s:t>
        </s:is>
      </s:c>
      <s:c r="B12" s="5">
        <s:f>B11*Inputs!B8</s:f>
        <s:v>216600.0</s:v>
      </s:c>
      <s:c r="C12" s="2" t="inlineStr">
        <s:is>
          <s:t>Vacancy adjusted</s:t>
        </s:is>
      </s:c>
    </s:row>
    <s:row r="13">
      <s:c r="A13" s="2" t="inlineStr">
        <s:is>
          <s:t>Operating expenses</s:t>
        </s:is>
      </s:c>
      <s:c r="B13" s="5">
        <s:f>B12*Inputs!B16</s:f>
        <s:v>54150.0</s:v>
      </s:c>
      <s:c r="C13" s="2" t="inlineStr">
        <s:is>
          <s:t>Year one</s:t>
        </s:is>
      </s:c>
    </s:row>
    <s:row r="14">
      <s:c r="A14" s="2" t="inlineStr">
        <s:is>
          <s:t>Net operating income (NOI)</s:t>
        </s:is>
      </s:c>
      <s:c r="B14" s="5">
        <s:f>B12-B13</s:f>
        <s:v>162450.0</s:v>
      </s:c>
      <s:c r="C14" s="2" t="inlineStr">
        <s:is>
          <s:t>Before debt and income tax</s:t>
        </s:is>
      </s:c>
    </s:row>
    <s:row r="15">
      <s:c r="A15" s="2" t="inlineStr">
        <s:is>
          <s:t>Annual debt service</s:t>
        </s:is>
      </s:c>
      <s:c r="B15" s="5">
        <s:f>IF(B9=0,0,IF(Inputs!B20=0,B9/Inputs!B21,-PMT(Inputs!B20,Inputs!B21,B9)))</s:f>
        <s:v>117083.59413909915</s:v>
      </s:c>
      <s:c r="C15" s="2" t="inlineStr">
        <s:is>
          <s:t>Principal + interest</s:t>
        </s:is>
      </s:c>
    </s:row>
    <s:row r="16">
      <s:c r="A16" s="2" t="inlineStr">
        <s:is>
          <s:t>Annual equity cash flow</s:t>
        </s:is>
      </s:c>
      <s:c r="B16" s="5">
        <s:f>B14-B15</s:f>
        <s:v>45366.40586090085</s:v>
      </s:c>
      <s:c r="C16" s="2" t="inlineStr">
        <s:is>
          <s:t>Before investor income tax</s:t>
        </s:is>
      </s:c>
    </s:row>
    <s:row r="17">
      <s:c r="A17" s="2" t="inlineStr">
        <s:is>
          <s:t>Unlevered net yield</s:t>
        </s:is>
      </s:c>
      <s:c r="B17" s="6">
        <s:f>B14/B8</s:f>
        <s:v>0.03274937505039916</s:v>
      </s:c>
      <s:c r="C17" s="2" t="inlineStr">
        <s:is>
          <s:t>NOI / all-in investment</s:t>
        </s:is>
      </s:c>
    </s:row>
    <s:row r="18">
      <s:c r="A18" s="2" t="inlineStr">
        <s:is>
          <s:t>Cash-on-cash equity return</s:t>
        </s:is>
      </s:c>
      <s:c r="B18" s="6">
        <s:f>B16/B10</s:f>
        <s:v>0.014070331133624723</s:v>
      </s:c>
      <s:c r="C18" s="2" t="inlineStr">
        <s:is>
          <s:t>Annual equity cash flow / equity</s:t>
        </s:is>
      </s:c>
    </s:row>
    <s:row r="19">
      <s:c r="A19" s="2" t="inlineStr">
        <s:is>
          <s:t>DSCR</s:t>
        </s:is>
      </s:c>
      <s:c r="B19" s="5">
        <s:f>IF(B15=0,999,B14/B15)</s:f>
        <s:v>1.3874702189873338</s:v>
      </s:c>
      <s:c r="C19" s="2" t="inlineStr">
        <s:is>
          <s:t>NOI / debt service</s:t>
        </s:is>
      </s:c>
    </s:row>
    <s:row r="20">
      <s:c r="A20" s="2" t="inlineStr">
        <s:is>
          <s:t>Static project payback years</s:t>
        </s:is>
      </s:c>
      <s:c r="B20" s="5">
        <s:f>IF(B14&gt;0,B8/B14,999)+Inputs!B28</s:f>
        <s:v>32.53493382579255</s:v>
      </s:c>
      <s:c r="C20" s="2" t="inlineStr">
        <s:is>
          <s:t>Includes development delay; no escalation</s:t>
        </s:is>
      </s:c>
    </s:row>
    <s:row r="21">
      <s:c r="A21" s="2" t="inlineStr">
        <s:is>
          <s:t>Static equity payback years</s:t>
        </s:is>
      </s:c>
      <s:c r="B21" s="5">
        <s:f>IF(B16&gt;0,B10/B16,999)+Inputs!B28</s:f>
        <s:v>73.07153275236283</s:v>
      </s:c>
      <s:c r="C21" s="2" t="inlineStr">
        <s:is>
          <s:t>Includes development delay; before income tax</s:t>
        </s:is>
      </s:c>
    </s:row>
    <s:row r="22">
      <s:c r="A22" s="2" t="inlineStr">
        <s:is>
          <s:t>Rent needed for required net yield</s:t>
        </s:is>
      </s:c>
      <s:c r="B22" s="5">
        <s:f>B8*Inputs!B25/(Inputs!B2*Inputs!B9*Inputs!B8*(1-Inputs!B16))</s:f>
        <s:v>652.6842105263158</s:v>
      </s:c>
      <s:c r="C22" s="2" t="inlineStr">
        <s:is>
          <s:t>Excl. charges; compare with affordable rent</s:t>
        </s:is>
      </s:c>
    </s:row>
    <s:row r="23">
      <s:c r="A23" s="2" t="inlineStr">
        <s:is>
          <s:t>Budget and debt feasibility</s:t>
        </s:is>
      </s:c>
      <s:c r="B23" s="5" t="str">
        <s:f>IF(AND(B8&lt;=Inputs!B22,B10&lt;=Inputs!B23,B16&gt;0,B19&gt;=Inputs!B24,Inputs!B2&lt;=Inputs!B29),"PASS","FAIL")</s:f>
        <s:v>PASS</s:v>
      </s:c>
      <s:c r="C23" s="2" t="inlineStr">
        <s:is>
          <s:t>Yield target assessed separately</s:t>
        </s:is>
      </s:c>
    </s:row>
    <s:row r="24">
      <s:c r="A24" s="2" t="inlineStr">
        <s:is>
          <s:t>Required net yield met</s:t>
        </s:is>
      </s:c>
      <s:c r="B24" s="5" t="str">
        <s:f>IF(B17&gt;=Inputs!B25,"YES","NO")</s:f>
        <s:v>NO</s:v>
      </s:c>
      <s:c r="C24" s="2" t="inlineStr">
        <s:is>
          <s:t>Target is not a forecast</s:t>
        </s:is>
      </s:c>
    </s:row>
    <s:row r="25">
      <s:c r="A25" s="2" t="inlineStr">
        <s:is>
          <s:t>NPV excluding terminal value</s:t>
        </s:is>
      </s:c>
      <s:c r="B25" s="5">
        <s:f>NPV(Inputs!B26,'Annual cash flow'!F3:F42)+'Annual cash flow'!F2</s:f>
        <s:v>-2535050.6680817627</s:v>
      </s:c>
      <s:c r="C25" s="2" t="inlineStr">
        <s:is>
          <s:t>40-year cash flow range; inactive years set to zero</s:t>
        </s:is>
      </s:c>
    </s:row>
    <s:row r="26">
      <s:c r="A26" s="2" t="inlineStr">
        <s:is>
          <s:t>IRR excluding terminal value</s:t>
        </s:is>
      </s:c>
      <s:c r="B26" s="5">
        <s:f>IFERROR(IRR('Annual cash flow'!F2:F42),"No IRR")</s:f>
        <s:v>0.014088073036534143</s:v>
      </s:c>
      <s:c r="C26" s="2" t="inlineStr">
        <s:is>
          <s:t>Zero cash flow after horizon</s:t>
        </s:is>
      </s:c>
    </s:row>
    <s:row r="27">
      <s:c r="A27" s="2" t="inlineStr">
        <s:is>
          <s:t>Dynamic project payback</s:t>
        </s:is>
      </s:c>
      <s:c r="B27" s="5">
        <s:f>IFERROR(MATCH(1,'Annual cash flow'!J2:J42,0)-1,"Beyond model horizon")</s:f>
        <s:v>27</s:v>
      </s:c>
      <s:c r="C27" s="2" t="inlineStr">
        <s:is>
          <s:t>First end-year cumulative unlevered cash flow &gt;= 0</s:t>
        </s:is>
      </s:c>
    </s:row>
    <s:row r="28">
      <s:c r="A28" t="inlineStr">
        <s:is>
          <s:t>Maximum investment at target yield</s:t>
        </s:is>
      </s:c>
      <s:c r="B28">
        <s:f>B14/Inputs!B25</s:f>
        <s:v>3610000.0</s:v>
      </s:c>
    </s:row>
    <s:row r="29">
      <s:c r="A29" t="inlineStr">
        <s:is>
          <s:t>Cost reduction needed for target yield</s:t>
        </s:is>
      </s:c>
      <s:c r="B29">
        <s:f>MAX(0,B8-B28)</s:f>
        <s:v>1350400.0</s:v>
      </s:c>
    </s:row>
    <s:row r="30">
      <s:c r="A30" t="inlineStr">
        <s:is>
          <s:t>Unlevered yield at ten collected months</s:t>
        </s:is>
      </s:c>
      <s:c r="B30" s="7">
        <s:f>B14*10/Inputs!B9/B8</s:f>
        <s:v>0.027291145875332636</s:v>
      </s:c>
    </s:row>
    <s:row r="31">
      <s:c r="A31" t="inlineStr">
        <s:is>
          <s:t>Legal reference verified?</s:t>
        </s:is>
      </s:c>
      <s:c r="B31" t="inlineStr">
        <s:is>
          <s:t>NO — exact address and dwelling details missing</s:t>
        </s:is>
      </s:c>
    </s:row>
    <s:row r="32">
      <s:c r="A32" t="inlineStr">
        <s:is>
          <s:t>Dynamic equity payback</s:t>
        </s:is>
      </s:c>
      <s:c r="B32">
        <s:f>IFERROR(MATCH(1,'Annual cash flow'!L2:L42,0)-1,"Beyond model horizon")</s:f>
        <s:v>32</s:v>
      </s:c>
    </s:row>
  </s:sheetData>
  <s:autoFilter ref="A1:C27"/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L4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3" customWidth="1" min="1" max="1"/>
    <s:col width="23" customWidth="1" min="2" max="2"/>
    <s:col width="23" customWidth="1" min="3" max="3"/>
    <s:col width="23" customWidth="1" min="4" max="4"/>
    <s:col width="23" customWidth="1" min="5" max="5"/>
    <s:col width="23" customWidth="1" min="6" max="6"/>
    <s:col width="23" customWidth="1" min="7" max="7"/>
    <s:col width="23" customWidth="1" min="8" max="8"/>
    <s:col width="23" customWidth="1" min="9" max="9"/>
    <s:col width="23" customWidth="1" min="10" max="10"/>
    <s:col width="23" customWidth="1" min="11" max="11"/>
    <s:col width="23" customWidth="1" min="12" max="12"/>
  </s:cols>
  <s:sheetData>
    <s:row r="1" ht="32" customHeight="1">
      <s:c r="A1" s="1" t="inlineStr">
        <s:is>
          <s:t>Year</s:t>
        </s:is>
      </s:c>
      <s:c r="B1" s="1" t="inlineStr">
        <s:is>
          <s:t>Operating year</s:t>
        </s:is>
      </s:c>
      <s:c r="C1" s="1" t="inlineStr">
        <s:is>
          <s:t>Rent</s:t>
        </s:is>
      </s:c>
      <s:c r="D1" s="1" t="inlineStr">
        <s:is>
          <s:t>Operating costs</s:t>
        </s:is>
      </s:c>
      <s:c r="E1" s="1" t="inlineStr">
        <s:is>
          <s:t>NOI</s:t>
        </s:is>
      </s:c>
      <s:c r="F1" s="1" t="inlineStr">
        <s:is>
          <s:t>Project cash flow</s:t>
        </s:is>
      </s:c>
      <s:c r="G1" s="1" t="inlineStr">
        <s:is>
          <s:t>Debt service</s:t>
        </s:is>
      </s:c>
      <s:c r="H1" s="1" t="inlineStr">
        <s:is>
          <s:t>Equity cash flow</s:t>
        </s:is>
      </s:c>
      <s:c r="I1" s="1" t="inlineStr">
        <s:is>
          <s:t>Cumulative project CF</s:t>
        </s:is>
      </s:c>
      <s:c r="J1" s="1" t="inlineStr">
        <s:is>
          <s:t>Payback flag</s:t>
        </s:is>
      </s:c>
      <s:c r="K1" s="1" t="inlineStr">
        <s:is>
          <s:t>Cumulative equity CF</s:t>
        </s:is>
      </s:c>
      <s:c r="L1" s="1" t="inlineStr">
        <s:is>
          <s:t>Equity payback flag</s:t>
        </s:is>
      </s:c>
    </s:row>
    <s:row r="2">
      <s:c r="A2" s="2" t="n">
        <s:v>0</s:v>
      </s:c>
      <s:c r="B2" s="5">
        <s:f>MAX(0,A2-Inputs!B28)</s:f>
        <s:v>0</s:v>
      </s:c>
      <s:c r="C2" s="5">
        <s:f>IF(AND(B2&gt;0,B2&lt;=Inputs!B27),Investment!B12*(1+Inputs!B17)^(B2-1),0)</s:f>
        <s:v>0</s:v>
      </s:c>
      <s:c r="D2" s="5">
        <s:f>IF(AND(B2&gt;0,B2&lt;=Inputs!B27),Investment!B13*(1+Inputs!B18)^(B2-1),0)</s:f>
        <s:v>0</s:v>
      </s:c>
      <s:c r="E2" s="5">
        <s:f>C2-D2</s:f>
        <s:v>0</s:v>
      </s:c>
      <s:c r="F2" s="5">
        <s:f>-Investment!B8</s:f>
        <s:v>-4960400.0</s:v>
      </s:c>
      <s:c r="G2" s="5">
        <s:f>IF(AND(B2&gt;0,B2&lt;=Inputs!B21),Investment!B15,0)</s:f>
        <s:v>0</s:v>
      </s:c>
      <s:c r="H2" s="5">
        <s:f>-Investment!B10</s:f>
        <s:v>-3224260.0</s:v>
      </s:c>
      <s:c r="I2" s="5">
        <s:f>F2</s:f>
        <s:v>-4960400.0</s:v>
      </s:c>
      <s:c r="J2" s="5">
        <s:f>IF(I2&gt;=0,1,0)</s:f>
        <s:v>0</s:v>
      </s:c>
      <s:c r="K2" s="5">
        <s:f>H2</s:f>
        <s:v>-3224260.0</s:v>
      </s:c>
      <s:c r="L2" s="5">
        <s:f>IF(K2&gt;=0,1,0)</s:f>
        <s:v>0</s:v>
      </s:c>
    </s:row>
    <s:row r="3">
      <s:c r="A3" s="2" t="n">
        <s:v>1</s:v>
      </s:c>
      <s:c r="B3" s="5">
        <s:f>MAX(0,A3-Inputs!B28)</s:f>
        <s:v>0</s:v>
      </s:c>
      <s:c r="C3" s="5">
        <s:f>IF(AND(B3&gt;0,B3&lt;=Inputs!B27),Investment!B12*(1+Inputs!B17)^(B3-1),0)</s:f>
        <s:v>0</s:v>
      </s:c>
      <s:c r="D3" s="5">
        <s:f>IF(AND(B3&gt;0,B3&lt;=Inputs!B27),Investment!B13*(1+Inputs!B18)^(B3-1),0)</s:f>
        <s:v>0</s:v>
      </s:c>
      <s:c r="E3" s="5">
        <s:f>C3-D3</s:f>
        <s:v>0</s:v>
      </s:c>
      <s:c r="F3" s="5">
        <s:f>E3</s:f>
        <s:v>0</s:v>
      </s:c>
      <s:c r="G3" s="5">
        <s:f>IF(AND(B3&gt;0,B3&lt;=Inputs!B21),Investment!B15,0)</s:f>
        <s:v>0</s:v>
      </s:c>
      <s:c r="H3" s="5">
        <s:f>E3-G3</s:f>
        <s:v>0</s:v>
      </s:c>
      <s:c r="I3" s="5">
        <s:f>I2+F3</s:f>
        <s:v>-4960400.0</s:v>
      </s:c>
      <s:c r="J3" s="5">
        <s:f>IF(I3&gt;=0,1,0)</s:f>
        <s:v>0</s:v>
      </s:c>
      <s:c r="K3" s="5">
        <s:f>K2+H3</s:f>
        <s:v>-3224260.0</s:v>
      </s:c>
      <s:c r="L3" s="5">
        <s:f>IF(K3&gt;=0,1,0)</s:f>
        <s:v>0</s:v>
      </s:c>
    </s:row>
    <s:row r="4">
      <s:c r="A4" s="2" t="n">
        <s:v>2</s:v>
      </s:c>
      <s:c r="B4" s="5">
        <s:f>MAX(0,A4-Inputs!B28)</s:f>
        <s:v>0</s:v>
      </s:c>
      <s:c r="C4" s="5">
        <s:f>IF(AND(B4&gt;0,B4&lt;=Inputs!B27),Investment!B12*(1+Inputs!B17)^(B4-1),0)</s:f>
        <s:v>0</s:v>
      </s:c>
      <s:c r="D4" s="5">
        <s:f>IF(AND(B4&gt;0,B4&lt;=Inputs!B27),Investment!B13*(1+Inputs!B18)^(B4-1),0)</s:f>
        <s:v>0</s:v>
      </s:c>
      <s:c r="E4" s="5">
        <s:f>C4-D4</s:f>
        <s:v>0</s:v>
      </s:c>
      <s:c r="F4" s="5">
        <s:f>E4</s:f>
        <s:v>0</s:v>
      </s:c>
      <s:c r="G4" s="5">
        <s:f>IF(AND(B4&gt;0,B4&lt;=Inputs!B21),Investment!B15,0)</s:f>
        <s:v>0</s:v>
      </s:c>
      <s:c r="H4" s="5">
        <s:f>E4-G4</s:f>
        <s:v>0</s:v>
      </s:c>
      <s:c r="I4" s="5">
        <s:f>I3+F4</s:f>
        <s:v>-4960400.0</s:v>
      </s:c>
      <s:c r="J4" s="5">
        <s:f>IF(I4&gt;=0,1,0)</s:f>
        <s:v>0</s:v>
      </s:c>
      <s:c r="K4" s="5">
        <s:f>K3+H4</s:f>
        <s:v>-3224260.0</s:v>
      </s:c>
      <s:c r="L4" s="5">
        <s:f>IF(K4&gt;=0,1,0)</s:f>
        <s:v>0</s:v>
      </s:c>
    </s:row>
    <s:row r="5">
      <s:c r="A5" s="2" t="n">
        <s:v>3</s:v>
      </s:c>
      <s:c r="B5" s="5">
        <s:f>MAX(0,A5-Inputs!B28)</s:f>
        <s:v>1</s:v>
      </s:c>
      <s:c r="C5" s="5">
        <s:f>IF(AND(B5&gt;0,B5&lt;=Inputs!B27),Investment!B12*(1+Inputs!B17)^(B5-1),0)</s:f>
        <s:v>216600.0</s:v>
      </s:c>
      <s:c r="D5" s="5">
        <s:f>IF(AND(B5&gt;0,B5&lt;=Inputs!B27),Investment!B13*(1+Inputs!B18)^(B5-1),0)</s:f>
        <s:v>54150.0</s:v>
      </s:c>
      <s:c r="E5" s="5">
        <s:f>C5-D5</s:f>
        <s:v>162450.0</s:v>
      </s:c>
      <s:c r="F5" s="5">
        <s:f>E5</s:f>
        <s:v>162450.0</s:v>
      </s:c>
      <s:c r="G5" s="5">
        <s:f>IF(AND(B5&gt;0,B5&lt;=Inputs!B21),Investment!B15,0)</s:f>
        <s:v>117083.59413909915</s:v>
      </s:c>
      <s:c r="H5" s="5">
        <s:f>E5-G5</s:f>
        <s:v>45366.40586090085</s:v>
      </s:c>
      <s:c r="I5" s="5">
        <s:f>I4+F5</s:f>
        <s:v>-4797950.0</s:v>
      </s:c>
      <s:c r="J5" s="5">
        <s:f>IF(I5&gt;=0,1,0)</s:f>
        <s:v>0</s:v>
      </s:c>
      <s:c r="K5" s="5">
        <s:f>K4+H5</s:f>
        <s:v>-3178893.594139099</s:v>
      </s:c>
      <s:c r="L5" s="5">
        <s:f>IF(K5&gt;=0,1,0)</s:f>
        <s:v>0</s:v>
      </s:c>
    </s:row>
    <s:row r="6">
      <s:c r="A6" s="2" t="n">
        <s:v>4</s:v>
      </s:c>
      <s:c r="B6" s="5">
        <s:f>MAX(0,A6-Inputs!B28)</s:f>
        <s:v>2</s:v>
      </s:c>
      <s:c r="C6" s="5">
        <s:f>IF(AND(B6&gt;0,B6&lt;=Inputs!B27),Investment!B12*(1+Inputs!B17)^(B6-1),0)</s:f>
        <s:v>220932.0</s:v>
      </s:c>
      <s:c r="D6" s="5">
        <s:f>IF(AND(B6&gt;0,B6&lt;=Inputs!B27),Investment!B13*(1+Inputs!B18)^(B6-1),0)</s:f>
        <s:v>55503.74999999999</s:v>
      </s:c>
      <s:c r="E6" s="5">
        <s:f>C6-D6</s:f>
        <s:v>165428.25</s:v>
      </s:c>
      <s:c r="F6" s="5">
        <s:f>E6</s:f>
        <s:v>165428.25</s:v>
      </s:c>
      <s:c r="G6" s="5">
        <s:f>IF(AND(B6&gt;0,B6&lt;=Inputs!B21),Investment!B15,0)</s:f>
        <s:v>117083.59413909915</s:v>
      </s:c>
      <s:c r="H6" s="5">
        <s:f>E6-G6</s:f>
        <s:v>48344.65586090085</s:v>
      </s:c>
      <s:c r="I6" s="5">
        <s:f>I5+F6</s:f>
        <s:v>-4632521.75</s:v>
      </s:c>
      <s:c r="J6" s="5">
        <s:f>IF(I6&gt;=0,1,0)</s:f>
        <s:v>0</s:v>
      </s:c>
      <s:c r="K6" s="5">
        <s:f>K5+H6</s:f>
        <s:v>-3130548.9382781982</s:v>
      </s:c>
      <s:c r="L6" s="5">
        <s:f>IF(K6&gt;=0,1,0)</s:f>
        <s:v>0</s:v>
      </s:c>
    </s:row>
    <s:row r="7">
      <s:c r="A7" s="2" t="n">
        <s:v>5</s:v>
      </s:c>
      <s:c r="B7" s="5">
        <s:f>MAX(0,A7-Inputs!B28)</s:f>
        <s:v>3</s:v>
      </s:c>
      <s:c r="C7" s="5">
        <s:f>IF(AND(B7&gt;0,B7&lt;=Inputs!B27),Investment!B12*(1+Inputs!B17)^(B7-1),0)</s:f>
        <s:v>225350.63999999998</s:v>
      </s:c>
      <s:c r="D7" s="5">
        <s:f>IF(AND(B7&gt;0,B7&lt;=Inputs!B27),Investment!B13*(1+Inputs!B18)^(B7-1),0)</s:f>
        <s:v>56891.34374999999</s:v>
      </s:c>
      <s:c r="E7" s="5">
        <s:f>C7-D7</s:f>
        <s:v>168459.29624999998</s:v>
      </s:c>
      <s:c r="F7" s="5">
        <s:f>E7</s:f>
        <s:v>168459.29624999998</s:v>
      </s:c>
      <s:c r="G7" s="5">
        <s:f>IF(AND(B7&gt;0,B7&lt;=Inputs!B21),Investment!B15,0)</s:f>
        <s:v>117083.59413909915</s:v>
      </s:c>
      <s:c r="H7" s="5">
        <s:f>E7-G7</s:f>
        <s:v>51375.702110900835</s:v>
      </s:c>
      <s:c r="I7" s="5">
        <s:f>I6+F7</s:f>
        <s:v>-4464062.45375</s:v>
      </s:c>
      <s:c r="J7" s="5">
        <s:f>IF(I7&gt;=0,1,0)</s:f>
        <s:v>0</s:v>
      </s:c>
      <s:c r="K7" s="5">
        <s:f>K6+H7</s:f>
        <s:v>-3079173.2361672972</s:v>
      </s:c>
      <s:c r="L7" s="5">
        <s:f>IF(K7&gt;=0,1,0)</s:f>
        <s:v>0</s:v>
      </s:c>
    </s:row>
    <s:row r="8">
      <s:c r="A8" s="2" t="n">
        <s:v>6</s:v>
      </s:c>
      <s:c r="B8" s="5">
        <s:f>MAX(0,A8-Inputs!B28)</s:f>
        <s:v>4</s:v>
      </s:c>
      <s:c r="C8" s="5">
        <s:f>IF(AND(B8&gt;0,B8&lt;=Inputs!B27),Investment!B12*(1+Inputs!B17)^(B8-1),0)</s:f>
        <s:v>229857.65280000004</s:v>
      </s:c>
      <s:c r="D8" s="5">
        <s:f>IF(AND(B8&gt;0,B8&lt;=Inputs!B27),Investment!B13*(1+Inputs!B18)^(B8-1),0)</s:f>
        <s:v>58313.627343749984</s:v>
      </s:c>
      <s:c r="E8" s="5">
        <s:f>C8-D8</s:f>
        <s:v>171544.02545625006</s:v>
      </s:c>
      <s:c r="F8" s="5">
        <s:f>E8</s:f>
        <s:v>171544.02545625006</s:v>
      </s:c>
      <s:c r="G8" s="5">
        <s:f>IF(AND(B8&gt;0,B8&lt;=Inputs!B21),Investment!B15,0)</s:f>
        <s:v>117083.59413909915</s:v>
      </s:c>
      <s:c r="H8" s="5">
        <s:f>E8-G8</s:f>
        <s:v>54460.43131715091</s:v>
      </s:c>
      <s:c r="I8" s="5">
        <s:f>I7+F8</s:f>
        <s:v>-4292518.428293751</s:v>
      </s:c>
      <s:c r="J8" s="5">
        <s:f>IF(I8&gt;=0,1,0)</s:f>
        <s:v>0</s:v>
      </s:c>
      <s:c r="K8" s="5">
        <s:f>K7+H8</s:f>
        <s:v>-3024712.804850146</s:v>
      </s:c>
      <s:c r="L8" s="5">
        <s:f>IF(K8&gt;=0,1,0)</s:f>
        <s:v>0</s:v>
      </s:c>
    </s:row>
    <s:row r="9">
      <s:c r="A9" s="2" t="n">
        <s:v>7</s:v>
      </s:c>
      <s:c r="B9" s="5">
        <s:f>MAX(0,A9-Inputs!B28)</s:f>
        <s:v>5</s:v>
      </s:c>
      <s:c r="C9" s="5">
        <s:f>IF(AND(B9&gt;0,B9&lt;=Inputs!B27),Investment!B12*(1+Inputs!B17)^(B9-1),0)</s:f>
        <s:v>234454.805856</s:v>
      </s:c>
      <s:c r="D9" s="5">
        <s:f>IF(AND(B9&gt;0,B9&lt;=Inputs!B27),Investment!B13*(1+Inputs!B18)^(B9-1),0)</s:f>
        <s:v>59771.468027343726</s:v>
      </s:c>
      <s:c r="E9" s="5">
        <s:f>C9-D9</s:f>
        <s:v>174683.33782865625</s:v>
      </s:c>
      <s:c r="F9" s="5">
        <s:f>E9</s:f>
        <s:v>174683.33782865625</s:v>
      </s:c>
      <s:c r="G9" s="5">
        <s:f>IF(AND(B9&gt;0,B9&lt;=Inputs!B21),Investment!B15,0)</s:f>
        <s:v>117083.59413909915</s:v>
      </s:c>
      <s:c r="H9" s="5">
        <s:f>E9-G9</s:f>
        <s:v>57599.7436895571</s:v>
      </s:c>
      <s:c r="I9" s="5">
        <s:f>I8+F9</s:f>
        <s:v>-4117835.0904650944</s:v>
      </s:c>
      <s:c r="J9" s="5">
        <s:f>IF(I9&gt;=0,1,0)</s:f>
        <s:v>0</s:v>
      </s:c>
      <s:c r="K9" s="5">
        <s:f>K8+H9</s:f>
        <s:v>-2967113.061160589</s:v>
      </s:c>
      <s:c r="L9" s="5">
        <s:f>IF(K9&gt;=0,1,0)</s:f>
        <s:v>0</s:v>
      </s:c>
    </s:row>
    <s:row r="10">
      <s:c r="A10" s="2" t="n">
        <s:v>8</s:v>
      </s:c>
      <s:c r="B10" s="5">
        <s:f>MAX(0,A10-Inputs!B28)</s:f>
        <s:v>6</s:v>
      </s:c>
      <s:c r="C10" s="5">
        <s:f>IF(AND(B10&gt;0,B10&lt;=Inputs!B27),Investment!B12*(1+Inputs!B17)^(B10-1),0)</s:f>
        <s:v>239143.90197312</s:v>
      </s:c>
      <s:c r="D10" s="5">
        <s:f>IF(AND(B10&gt;0,B10&lt;=Inputs!B27),Investment!B13*(1+Inputs!B18)^(B10-1),0)</s:f>
        <s:v>61265.754728027314</s:v>
      </s:c>
      <s:c r="E10" s="5">
        <s:f>C10-D10</s:f>
        <s:v>177878.14724509267</s:v>
      </s:c>
      <s:c r="F10" s="5">
        <s:f>E10</s:f>
        <s:v>177878.14724509267</s:v>
      </s:c>
      <s:c r="G10" s="5">
        <s:f>IF(AND(B10&gt;0,B10&lt;=Inputs!B21),Investment!B15,0)</s:f>
        <s:v>117083.59413909915</s:v>
      </s:c>
      <s:c r="H10" s="5">
        <s:f>E10-G10</s:f>
        <s:v>60794.55310599352</s:v>
      </s:c>
      <s:c r="I10" s="5">
        <s:f>I9+F10</s:f>
        <s:v>-3939956.9432200016</s:v>
      </s:c>
      <s:c r="J10" s="5">
        <s:f>IF(I10&gt;=0,1,0)</s:f>
        <s:v>0</s:v>
      </s:c>
      <s:c r="K10" s="5">
        <s:f>K9+H10</s:f>
        <s:v>-2906318.5080545954</s:v>
      </s:c>
      <s:c r="L10" s="5">
        <s:f>IF(K10&gt;=0,1,0)</s:f>
        <s:v>0</s:v>
      </s:c>
    </s:row>
    <s:row r="11">
      <s:c r="A11" s="2" t="n">
        <s:v>9</s:v>
      </s:c>
      <s:c r="B11" s="5">
        <s:f>MAX(0,A11-Inputs!B28)</s:f>
        <s:v>7</s:v>
      </s:c>
      <s:c r="C11" s="5">
        <s:f>IF(AND(B11&gt;0,B11&lt;=Inputs!B27),Investment!B12*(1+Inputs!B17)^(B11-1),0)</s:f>
        <s:v>243926.78001258243</s:v>
      </s:c>
      <s:c r="D11" s="5">
        <s:f>IF(AND(B11&gt;0,B11&lt;=Inputs!B27),Investment!B13*(1+Inputs!B18)^(B11-1),0)</s:f>
        <s:v>62797.39859622799</s:v>
      </s:c>
      <s:c r="E11" s="5">
        <s:f>C11-D11</s:f>
        <s:v>181129.38141635444</s:v>
      </s:c>
      <s:c r="F11" s="5">
        <s:f>E11</s:f>
        <s:v>181129.38141635444</s:v>
      </s:c>
      <s:c r="G11" s="5">
        <s:f>IF(AND(B11&gt;0,B11&lt;=Inputs!B21),Investment!B15,0)</s:f>
        <s:v>117083.59413909915</s:v>
      </s:c>
      <s:c r="H11" s="5">
        <s:f>E11-G11</s:f>
        <s:v>64045.787277255295</s:v>
      </s:c>
      <s:c r="I11" s="5">
        <s:f>I10+F11</s:f>
        <s:v>-3758827.5618036473</s:v>
      </s:c>
      <s:c r="J11" s="5">
        <s:f>IF(I11&gt;=0,1,0)</s:f>
        <s:v>0</s:v>
      </s:c>
      <s:c r="K11" s="5">
        <s:f>K10+H11</s:f>
        <s:v>-2842272.7207773402</s:v>
      </s:c>
      <s:c r="L11" s="5">
        <s:f>IF(K11&gt;=0,1,0)</s:f>
        <s:v>0</s:v>
      </s:c>
    </s:row>
    <s:row r="12">
      <s:c r="A12" s="2" t="n">
        <s:v>10</s:v>
      </s:c>
      <s:c r="B12" s="5">
        <s:f>MAX(0,A12-Inputs!B28)</s:f>
        <s:v>8</s:v>
      </s:c>
      <s:c r="C12" s="5">
        <s:f>IF(AND(B12&gt;0,B12&lt;=Inputs!B27),Investment!B12*(1+Inputs!B17)^(B12-1),0)</s:f>
        <s:v>248805.31561283406</s:v>
      </s:c>
      <s:c r="D12" s="5">
        <s:f>IF(AND(B12&gt;0,B12&lt;=Inputs!B27),Investment!B13*(1+Inputs!B18)^(B12-1),0)</s:f>
        <s:v>64367.333561133695</s:v>
      </s:c>
      <s:c r="E12" s="5">
        <s:f>C12-D12</s:f>
        <s:v>184437.98205170035</s:v>
      </s:c>
      <s:c r="F12" s="5">
        <s:f>E12</s:f>
        <s:v>184437.98205170035</s:v>
      </s:c>
      <s:c r="G12" s="5">
        <s:f>IF(AND(B12&gt;0,B12&lt;=Inputs!B21),Investment!B15,0)</s:f>
        <s:v>117083.59413909915</s:v>
      </s:c>
      <s:c r="H12" s="5">
        <s:f>E12-G12</s:f>
        <s:v>67354.3879126012</s:v>
      </s:c>
      <s:c r="I12" s="5">
        <s:f>I11+F12</s:f>
        <s:v>-3574389.579751947</s:v>
      </s:c>
      <s:c r="J12" s="5">
        <s:f>IF(I12&gt;=0,1,0)</s:f>
        <s:v>0</s:v>
      </s:c>
      <s:c r="K12" s="5">
        <s:f>K11+H12</s:f>
        <s:v>-2774918.332864739</s:v>
      </s:c>
      <s:c r="L12" s="5">
        <s:f>IF(K12&gt;=0,1,0)</s:f>
        <s:v>0</s:v>
      </s:c>
    </s:row>
    <s:row r="13">
      <s:c r="A13" s="2" t="n">
        <s:v>11</s:v>
      </s:c>
      <s:c r="B13" s="5">
        <s:f>MAX(0,A13-Inputs!B28)</s:f>
        <s:v>9</s:v>
      </s:c>
      <s:c r="C13" s="5">
        <s:f>IF(AND(B13&gt;0,B13&lt;=Inputs!B27),Investment!B12*(1+Inputs!B17)^(B13-1),0)</s:f>
        <s:v>253781.42192509075</s:v>
      </s:c>
      <s:c r="D13" s="5">
        <s:f>IF(AND(B13&gt;0,B13&lt;=Inputs!B27),Investment!B13*(1+Inputs!B18)^(B13-1),0)</s:f>
        <s:v>65976.51690016202</s:v>
      </s:c>
      <s:c r="E13" s="5">
        <s:f>C13-D13</s:f>
        <s:v>187804.90502492874</s:v>
      </s:c>
      <s:c r="F13" s="5">
        <s:f>E13</s:f>
        <s:v>187804.90502492874</s:v>
      </s:c>
      <s:c r="G13" s="5">
        <s:f>IF(AND(B13&gt;0,B13&lt;=Inputs!B21),Investment!B15,0)</s:f>
        <s:v>117083.59413909915</s:v>
      </s:c>
      <s:c r="H13" s="5">
        <s:f>E13-G13</s:f>
        <s:v>70721.31088582959</s:v>
      </s:c>
      <s:c r="I13" s="5">
        <s:f>I12+F13</s:f>
        <s:v>-3386584.674727018</s:v>
      </s:c>
      <s:c r="J13" s="5">
        <s:f>IF(I13&gt;=0,1,0)</s:f>
        <s:v>0</s:v>
      </s:c>
      <s:c r="K13" s="5">
        <s:f>K12+H13</s:f>
        <s:v>-2704197.0219789096</s:v>
      </s:c>
      <s:c r="L13" s="5">
        <s:f>IF(K13&gt;=0,1,0)</s:f>
        <s:v>0</s:v>
      </s:c>
    </s:row>
    <s:row r="14">
      <s:c r="A14" s="2" t="n">
        <s:v>12</s:v>
      </s:c>
      <s:c r="B14" s="5">
        <s:f>MAX(0,A14-Inputs!B28)</s:f>
        <s:v>10</s:v>
      </s:c>
      <s:c r="C14" s="5">
        <s:f>IF(AND(B14&gt;0,B14&lt;=Inputs!B27),Investment!B12*(1+Inputs!B17)^(B14-1),0)</s:f>
        <s:v>258857.05036359257</s:v>
      </s:c>
      <s:c r="D14" s="5">
        <s:f>IF(AND(B14&gt;0,B14&lt;=Inputs!B27),Investment!B13*(1+Inputs!B18)^(B14-1),0)</s:f>
        <s:v>67625.92982266608</s:v>
      </s:c>
      <s:c r="E14" s="5">
        <s:f>C14-D14</s:f>
        <s:v>191231.1205409265</s:v>
      </s:c>
      <s:c r="F14" s="5">
        <s:f>E14</s:f>
        <s:v>191231.1205409265</s:v>
      </s:c>
      <s:c r="G14" s="5">
        <s:f>IF(AND(B14&gt;0,B14&lt;=Inputs!B21),Investment!B15,0)</s:f>
        <s:v>117083.59413909915</s:v>
      </s:c>
      <s:c r="H14" s="5">
        <s:f>E14-G14</s:f>
        <s:v>74147.52640182734</s:v>
      </s:c>
      <s:c r="I14" s="5">
        <s:f>I13+F14</s:f>
        <s:v>-3195353.5541860913</s:v>
      </s:c>
      <s:c r="J14" s="5">
        <s:f>IF(I14&gt;=0,1,0)</s:f>
        <s:v>0</s:v>
      </s:c>
      <s:c r="K14" s="5">
        <s:f>K13+H14</s:f>
        <s:v>-2630049.495577082</s:v>
      </s:c>
      <s:c r="L14" s="5">
        <s:f>IF(K14&gt;=0,1,0)</s:f>
        <s:v>0</s:v>
      </s:c>
    </s:row>
    <s:row r="15">
      <s:c r="A15" s="2" t="n">
        <s:v>13</s:v>
      </s:c>
      <s:c r="B15" s="5">
        <s:f>MAX(0,A15-Inputs!B28)</s:f>
        <s:v>11</s:v>
      </s:c>
      <s:c r="C15" s="5">
        <s:f>IF(AND(B15&gt;0,B15&lt;=Inputs!B27),Investment!B12*(1+Inputs!B17)^(B15-1),0)</s:f>
        <s:v>264034.19137086446</s:v>
      </s:c>
      <s:c r="D15" s="5">
        <s:f>IF(AND(B15&gt;0,B15&lt;=Inputs!B27),Investment!B13*(1+Inputs!B18)^(B15-1),0)</s:f>
        <s:v>69316.57806823272</s:v>
      </s:c>
      <s:c r="E15" s="5">
        <s:f>C15-D15</s:f>
        <s:v>194717.61330263174</s:v>
      </s:c>
      <s:c r="F15" s="5">
        <s:f>E15</s:f>
        <s:v>194717.61330263174</s:v>
      </s:c>
      <s:c r="G15" s="5">
        <s:f>IF(AND(B15&gt;0,B15&lt;=Inputs!B21),Investment!B15,0)</s:f>
        <s:v>117083.59413909915</s:v>
      </s:c>
      <s:c r="H15" s="5">
        <s:f>E15-G15</s:f>
        <s:v>77634.01916353259</s:v>
      </s:c>
      <s:c r="I15" s="5">
        <s:f>I14+F15</s:f>
        <s:v>-3000635.9408834595</s:v>
      </s:c>
      <s:c r="J15" s="5">
        <s:f>IF(I15&gt;=0,1,0)</s:f>
        <s:v>0</s:v>
      </s:c>
      <s:c r="K15" s="5">
        <s:f>K14+H15</s:f>
        <s:v>-2552415.4764135494</s:v>
      </s:c>
      <s:c r="L15" s="5">
        <s:f>IF(K15&gt;=0,1,0)</s:f>
        <s:v>0</s:v>
      </s:c>
    </s:row>
    <s:row r="16">
      <s:c r="A16" s="2" t="n">
        <s:v>14</s:v>
      </s:c>
      <s:c r="B16" s="5">
        <s:f>MAX(0,A16-Inputs!B28)</s:f>
        <s:v>12</s:v>
      </s:c>
      <s:c r="C16" s="5">
        <s:f>IF(AND(B16&gt;0,B16&lt;=Inputs!B27),Investment!B12*(1+Inputs!B17)^(B16-1),0)</s:f>
        <s:v>269314.8751982817</s:v>
      </s:c>
      <s:c r="D16" s="5">
        <s:f>IF(AND(B16&gt;0,B16&lt;=Inputs!B27),Investment!B13*(1+Inputs!B18)^(B16-1),0)</s:f>
        <s:v>71049.49251993853</s:v>
      </s:c>
      <s:c r="E16" s="5">
        <s:f>C16-D16</s:f>
        <s:v>198265.3826783432</s:v>
      </s:c>
      <s:c r="F16" s="5">
        <s:f>E16</s:f>
        <s:v>198265.3826783432</s:v>
      </s:c>
      <s:c r="G16" s="5">
        <s:f>IF(AND(B16&gt;0,B16&lt;=Inputs!B21),Investment!B15,0)</s:f>
        <s:v>117083.59413909915</s:v>
      </s:c>
      <s:c r="H16" s="5">
        <s:f>E16-G16</s:f>
        <s:v>81181.78853924404</s:v>
      </s:c>
      <s:c r="I16" s="5">
        <s:f>I15+F16</s:f>
        <s:v>-2802370.5582051165</s:v>
      </s:c>
      <s:c r="J16" s="5">
        <s:f>IF(I16&gt;=0,1,0)</s:f>
        <s:v>0</s:v>
      </s:c>
      <s:c r="K16" s="5">
        <s:f>K15+H16</s:f>
        <s:v>-2471233.6878743055</s:v>
      </s:c>
      <s:c r="L16" s="5">
        <s:f>IF(K16&gt;=0,1,0)</s:f>
        <s:v>0</s:v>
      </s:c>
    </s:row>
    <s:row r="17">
      <s:c r="A17" s="2" t="n">
        <s:v>15</s:v>
      </s:c>
      <s:c r="B17" s="5">
        <s:f>MAX(0,A17-Inputs!B28)</s:f>
        <s:v>13</s:v>
      </s:c>
      <s:c r="C17" s="5">
        <s:f>IF(AND(B17&gt;0,B17&lt;=Inputs!B27),Investment!B12*(1+Inputs!B17)^(B17-1),0)</s:f>
        <s:v>274701.17270224734</s:v>
      </s:c>
      <s:c r="D17" s="5">
        <s:f>IF(AND(B17&gt;0,B17&lt;=Inputs!B27),Investment!B13*(1+Inputs!B18)^(B17-1),0)</s:f>
        <s:v>72825.72983293698</s:v>
      </s:c>
      <s:c r="E17" s="5">
        <s:f>C17-D17</s:f>
        <s:v>201875.44286931035</s:v>
      </s:c>
      <s:c r="F17" s="5">
        <s:f>E17</s:f>
        <s:v>201875.44286931035</s:v>
      </s:c>
      <s:c r="G17" s="5">
        <s:f>IF(AND(B17&gt;0,B17&lt;=Inputs!B21),Investment!B15,0)</s:f>
        <s:v>117083.59413909915</s:v>
      </s:c>
      <s:c r="H17" s="5">
        <s:f>E17-G17</s:f>
        <s:v>84791.8487302112</s:v>
      </s:c>
      <s:c r="I17" s="5">
        <s:f>I16+F17</s:f>
        <s:v>-2600495.1153358063</s:v>
      </s:c>
      <s:c r="J17" s="5">
        <s:f>IF(I17&gt;=0,1,0)</s:f>
        <s:v>0</s:v>
      </s:c>
      <s:c r="K17" s="5">
        <s:f>K16+H17</s:f>
        <s:v>-2386441.8391440944</s:v>
      </s:c>
      <s:c r="L17" s="5">
        <s:f>IF(K17&gt;=0,1,0)</s:f>
        <s:v>0</s:v>
      </s:c>
    </s:row>
    <s:row r="18">
      <s:c r="A18" s="2" t="n">
        <s:v>16</s:v>
      </s:c>
      <s:c r="B18" s="5">
        <s:f>MAX(0,A18-Inputs!B28)</s:f>
        <s:v>14</s:v>
      </s:c>
      <s:c r="C18" s="5">
        <s:f>IF(AND(B18&gt;0,B18&lt;=Inputs!B27),Investment!B12*(1+Inputs!B17)^(B18-1),0)</s:f>
        <s:v>280195.19615629234</s:v>
      </s:c>
      <s:c r="D18" s="5">
        <s:f>IF(AND(B18&gt;0,B18&lt;=Inputs!B27),Investment!B13*(1+Inputs!B18)^(B18-1),0)</s:f>
        <s:v>74646.3730787604</s:v>
      </s:c>
      <s:c r="E18" s="5">
        <s:f>C18-D18</s:f>
        <s:v>205548.82307753194</s:v>
      </s:c>
      <s:c r="F18" s="5">
        <s:f>E18</s:f>
        <s:v>205548.82307753194</s:v>
      </s:c>
      <s:c r="G18" s="5">
        <s:f>IF(AND(B18&gt;0,B18&lt;=Inputs!B21),Investment!B15,0)</s:f>
        <s:v>117083.59413909915</s:v>
      </s:c>
      <s:c r="H18" s="5">
        <s:f>E18-G18</s:f>
        <s:v>88465.22893843279</s:v>
      </s:c>
      <s:c r="I18" s="5">
        <s:f>I17+F18</s:f>
        <s:v>-2394946.2922582743</s:v>
      </s:c>
      <s:c r="J18" s="5">
        <s:f>IF(I18&gt;=0,1,0)</s:f>
        <s:v>0</s:v>
      </s:c>
      <s:c r="K18" s="5">
        <s:f>K17+H18</s:f>
        <s:v>-2297976.6102056615</s:v>
      </s:c>
      <s:c r="L18" s="5">
        <s:f>IF(K18&gt;=0,1,0)</s:f>
        <s:v>0</s:v>
      </s:c>
    </s:row>
    <s:row r="19">
      <s:c r="A19" s="2" t="n">
        <s:v>17</s:v>
      </s:c>
      <s:c r="B19" s="5">
        <s:f>MAX(0,A19-Inputs!B28)</s:f>
        <s:v>15</s:v>
      </s:c>
      <s:c r="C19" s="5">
        <s:f>IF(AND(B19&gt;0,B19&lt;=Inputs!B27),Investment!B12*(1+Inputs!B17)^(B19-1),0)</s:f>
        <s:v>285799.10007941816</s:v>
      </s:c>
      <s:c r="D19" s="5">
        <s:f>IF(AND(B19&gt;0,B19&lt;=Inputs!B27),Investment!B13*(1+Inputs!B18)^(B19-1),0)</s:f>
        <s:v>76512.5324057294</s:v>
      </s:c>
      <s:c r="E19" s="5">
        <s:f>C19-D19</s:f>
        <s:v>209286.56767368875</s:v>
      </s:c>
      <s:c r="F19" s="5">
        <s:f>E19</s:f>
        <s:v>209286.56767368875</s:v>
      </s:c>
      <s:c r="G19" s="5">
        <s:f>IF(AND(B19&gt;0,B19&lt;=Inputs!B21),Investment!B15,0)</s:f>
        <s:v>117083.59413909915</s:v>
      </s:c>
      <s:c r="H19" s="5">
        <s:f>E19-G19</s:f>
        <s:v>92202.9735345896</s:v>
      </s:c>
      <s:c r="I19" s="5">
        <s:f>I18+F19</s:f>
        <s:v>-2185659.7245845855</s:v>
      </s:c>
      <s:c r="J19" s="5">
        <s:f>IF(I19&gt;=0,1,0)</s:f>
        <s:v>0</s:v>
      </s:c>
      <s:c r="K19" s="5">
        <s:f>K18+H19</s:f>
        <s:v>-2205773.636671072</s:v>
      </s:c>
      <s:c r="L19" s="5">
        <s:f>IF(K19&gt;=0,1,0)</s:f>
        <s:v>0</s:v>
      </s:c>
    </s:row>
    <s:row r="20">
      <s:c r="A20" s="2" t="n">
        <s:v>18</s:v>
      </s:c>
      <s:c r="B20" s="5">
        <s:f>MAX(0,A20-Inputs!B28)</s:f>
        <s:v>16</s:v>
      </s:c>
      <s:c r="C20" s="5">
        <s:f>IF(AND(B20&gt;0,B20&lt;=Inputs!B27),Investment!B12*(1+Inputs!B17)^(B20-1),0)</s:f>
        <s:v>291515.08208100655</s:v>
      </s:c>
      <s:c r="D20" s="5">
        <s:f>IF(AND(B20&gt;0,B20&lt;=Inputs!B27),Investment!B13*(1+Inputs!B18)^(B20-1),0)</s:f>
        <s:v>78425.34571587264</s:v>
      </s:c>
      <s:c r="E20" s="5">
        <s:f>C20-D20</s:f>
        <s:v>213089.7363651339</s:v>
      </s:c>
      <s:c r="F20" s="5">
        <s:f>E20</s:f>
        <s:v>213089.7363651339</s:v>
      </s:c>
      <s:c r="G20" s="5">
        <s:f>IF(AND(B20&gt;0,B20&lt;=Inputs!B21),Investment!B15,0)</s:f>
        <s:v>117083.59413909915</s:v>
      </s:c>
      <s:c r="H20" s="5">
        <s:f>E20-G20</s:f>
        <s:v>96006.14222603475</s:v>
      </s:c>
      <s:c r="I20" s="5">
        <s:f>I19+F20</s:f>
        <s:v>-1972569.9882194516</s:v>
      </s:c>
      <s:c r="J20" s="5">
        <s:f>IF(I20&gt;=0,1,0)</s:f>
        <s:v>0</s:v>
      </s:c>
      <s:c r="K20" s="5">
        <s:f>K19+H20</s:f>
        <s:v>-2109767.494445037</s:v>
      </s:c>
      <s:c r="L20" s="5">
        <s:f>IF(K20&gt;=0,1,0)</s:f>
        <s:v>0</s:v>
      </s:c>
    </s:row>
    <s:row r="21">
      <s:c r="A21" s="2" t="n">
        <s:v>19</s:v>
      </s:c>
      <s:c r="B21" s="5">
        <s:f>MAX(0,A21-Inputs!B28)</s:f>
        <s:v>17</s:v>
      </s:c>
      <s:c r="C21" s="5">
        <s:f>IF(AND(B21&gt;0,B21&lt;=Inputs!B27),Investment!B12*(1+Inputs!B17)^(B21-1),0)</s:f>
        <s:v>297345.38372262666</s:v>
      </s:c>
      <s:c r="D21" s="5">
        <s:f>IF(AND(B21&gt;0,B21&lt;=Inputs!B27),Investment!B13*(1+Inputs!B18)^(B21-1),0)</s:f>
        <s:v>80385.97935876944</s:v>
      </s:c>
      <s:c r="E21" s="5">
        <s:f>C21-D21</s:f>
        <s:v>216959.40436385723</s:v>
      </s:c>
      <s:c r="F21" s="5">
        <s:f>E21</s:f>
        <s:v>216959.40436385723</s:v>
      </s:c>
      <s:c r="G21" s="5">
        <s:f>IF(AND(B21&gt;0,B21&lt;=Inputs!B21),Investment!B15,0)</s:f>
        <s:v>117083.59413909915</s:v>
      </s:c>
      <s:c r="H21" s="5">
        <s:f>E21-G21</s:f>
        <s:v>99875.81022475808</s:v>
      </s:c>
      <s:c r="I21" s="5">
        <s:f>I20+F21</s:f>
        <s:v>-1755610.5838555945</s:v>
      </s:c>
      <s:c r="J21" s="5">
        <s:f>IF(I21&gt;=0,1,0)</s:f>
        <s:v>0</s:v>
      </s:c>
      <s:c r="K21" s="5">
        <s:f>K20+H21</s:f>
        <s:v>-2009891.684220279</s:v>
      </s:c>
      <s:c r="L21" s="5">
        <s:f>IF(K21&gt;=0,1,0)</s:f>
        <s:v>0</s:v>
      </s:c>
    </s:row>
    <s:row r="22">
      <s:c r="A22" s="2" t="n">
        <s:v>20</s:v>
      </s:c>
      <s:c r="B22" s="5">
        <s:f>MAX(0,A22-Inputs!B28)</s:f>
        <s:v>18</s:v>
      </s:c>
      <s:c r="C22" s="5">
        <s:f>IF(AND(B22&gt;0,B22&lt;=Inputs!B27),Investment!B12*(1+Inputs!B17)^(B22-1),0)</s:f>
        <s:v>303292.29139707924</s:v>
      </s:c>
      <s:c r="D22" s="5">
        <s:f>IF(AND(B22&gt;0,B22&lt;=Inputs!B27),Investment!B13*(1+Inputs!B18)^(B22-1),0)</s:f>
        <s:v>82395.62884273868</s:v>
      </s:c>
      <s:c r="E22" s="5">
        <s:f>C22-D22</s:f>
        <s:v>220896.66255434055</s:v>
      </s:c>
      <s:c r="F22" s="5">
        <s:f>E22</s:f>
        <s:v>220896.66255434055</s:v>
      </s:c>
      <s:c r="G22" s="5">
        <s:f>IF(AND(B22&gt;0,B22&lt;=Inputs!B21),Investment!B15,0)</s:f>
        <s:v>117083.59413909915</s:v>
      </s:c>
      <s:c r="H22" s="5">
        <s:f>E22-G22</s:f>
        <s:v>103813.0684152414</s:v>
      </s:c>
      <s:c r="I22" s="5">
        <s:f>I21+F22</s:f>
        <s:v>-1534713.921301254</s:v>
      </s:c>
      <s:c r="J22" s="5">
        <s:f>IF(I22&gt;=0,1,0)</s:f>
        <s:v>0</s:v>
      </s:c>
      <s:c r="K22" s="5">
        <s:f>K21+H22</s:f>
        <s:v>-1906078.6158050378</s:v>
      </s:c>
      <s:c r="L22" s="5">
        <s:f>IF(K22&gt;=0,1,0)</s:f>
        <s:v>0</s:v>
      </s:c>
    </s:row>
    <s:row r="23">
      <s:c r="A23" s="2" t="n">
        <s:v>21</s:v>
      </s:c>
      <s:c r="B23" s="5">
        <s:f>MAX(0,A23-Inputs!B28)</s:f>
        <s:v>19</s:v>
      </s:c>
      <s:c r="C23" s="5">
        <s:f>IF(AND(B23&gt;0,B23&lt;=Inputs!B27),Investment!B12*(1+Inputs!B17)^(B23-1),0)</s:f>
        <s:v>309358.1372250208</s:v>
      </s:c>
      <s:c r="D23" s="5">
        <s:f>IF(AND(B23&gt;0,B23&lt;=Inputs!B27),Investment!B13*(1+Inputs!B18)^(B23-1),0)</s:f>
        <s:v>84455.51956380713</s:v>
      </s:c>
      <s:c r="E23" s="5">
        <s:f>C23-D23</s:f>
        <s:v>224902.61766121368</s:v>
      </s:c>
      <s:c r="F23" s="5">
        <s:f>E23</s:f>
        <s:v>224902.61766121368</s:v>
      </s:c>
      <s:c r="G23" s="5">
        <s:f>IF(AND(B23&gt;0,B23&lt;=Inputs!B21),Investment!B15,0)</s:f>
        <s:v>117083.59413909915</s:v>
      </s:c>
      <s:c r="H23" s="5">
        <s:f>E23-G23</s:f>
        <s:v>107819.02352211453</s:v>
      </s:c>
      <s:c r="I23" s="5">
        <s:f>I22+F23</s:f>
        <s:v>-1309811.3036400403</s:v>
      </s:c>
      <s:c r="J23" s="5">
        <s:f>IF(I23&gt;=0,1,0)</s:f>
        <s:v>0</s:v>
      </s:c>
      <s:c r="K23" s="5">
        <s:f>K22+H23</s:f>
        <s:v>-1798259.5922829232</s:v>
      </s:c>
      <s:c r="L23" s="5">
        <s:f>IF(K23&gt;=0,1,0)</s:f>
        <s:v>0</s:v>
      </s:c>
    </s:row>
    <s:row r="24">
      <s:c r="A24" s="2" t="n">
        <s:v>22</s:v>
      </s:c>
      <s:c r="B24" s="5">
        <s:f>MAX(0,A24-Inputs!B28)</s:f>
        <s:v>20</s:v>
      </s:c>
      <s:c r="C24" s="5">
        <s:f>IF(AND(B24&gt;0,B24&lt;=Inputs!B27),Investment!B12*(1+Inputs!B17)^(B24-1),0)</s:f>
        <s:v>315545.29996952123</s:v>
      </s:c>
      <s:c r="D24" s="5">
        <s:f>IF(AND(B24&gt;0,B24&lt;=Inputs!B27),Investment!B13*(1+Inputs!B18)^(B24-1),0)</s:f>
        <s:v>86566.9075529023</s:v>
      </s:c>
      <s:c r="E24" s="5">
        <s:f>C24-D24</s:f>
        <s:v>228978.39241661894</s:v>
      </s:c>
      <s:c r="F24" s="5">
        <s:f>E24</s:f>
        <s:v>228978.39241661894</s:v>
      </s:c>
      <s:c r="G24" s="5">
        <s:f>IF(AND(B24&gt;0,B24&lt;=Inputs!B21),Investment!B15,0)</s:f>
        <s:v>117083.59413909915</s:v>
      </s:c>
      <s:c r="H24" s="5">
        <s:f>E24-G24</s:f>
        <s:v>111894.79827751979</s:v>
      </s:c>
      <s:c r="I24" s="5">
        <s:f>I23+F24</s:f>
        <s:v>-1080832.9112234213</s:v>
      </s:c>
      <s:c r="J24" s="5">
        <s:f>IF(I24&gt;=0,1,0)</s:f>
        <s:v>0</s:v>
      </s:c>
      <s:c r="K24" s="5">
        <s:f>K23+H24</s:f>
        <s:v>-1686364.7940054033</s:v>
      </s:c>
      <s:c r="L24" s="5">
        <s:f>IF(K24&gt;=0,1,0)</s:f>
        <s:v>0</s:v>
      </s:c>
    </s:row>
    <s:row r="25">
      <s:c r="A25" s="2" t="n">
        <s:v>23</s:v>
      </s:c>
      <s:c r="B25" s="5">
        <s:f>MAX(0,A25-Inputs!B28)</s:f>
        <s:v>21</s:v>
      </s:c>
      <s:c r="C25" s="5">
        <s:f>IF(AND(B25&gt;0,B25&lt;=Inputs!B27),Investment!B12*(1+Inputs!B17)^(B25-1),0)</s:f>
        <s:v>321856.20596891164</s:v>
      </s:c>
      <s:c r="D25" s="5">
        <s:f>IF(AND(B25&gt;0,B25&lt;=Inputs!B27),Investment!B13*(1+Inputs!B18)^(B25-1),0)</s:f>
        <s:v>88731.08024172485</s:v>
      </s:c>
      <s:c r="E25" s="5">
        <s:f>C25-D25</s:f>
        <s:v>233125.1257271868</s:v>
      </s:c>
      <s:c r="F25" s="5">
        <s:f>E25</s:f>
        <s:v>233125.1257271868</s:v>
      </s:c>
      <s:c r="G25" s="5">
        <s:f>IF(AND(B25&gt;0,B25&lt;=Inputs!B21),Investment!B15,0)</s:f>
        <s:v>117083.59413909915</s:v>
      </s:c>
      <s:c r="H25" s="5">
        <s:f>E25-G25</s:f>
        <s:v>116041.53158808764</s:v>
      </s:c>
      <s:c r="I25" s="5">
        <s:f>I24+F25</s:f>
        <s:v>-847707.7854962345</s:v>
      </s:c>
      <s:c r="J25" s="5">
        <s:f>IF(I25&gt;=0,1,0)</s:f>
        <s:v>0</s:v>
      </s:c>
      <s:c r="K25" s="5">
        <s:f>K24+H25</s:f>
        <s:v>-1570323.2624173157</s:v>
      </s:c>
      <s:c r="L25" s="5">
        <s:f>IF(K25&gt;=0,1,0)</s:f>
        <s:v>0</s:v>
      </s:c>
    </s:row>
    <s:row r="26">
      <s:c r="A26" s="2" t="n">
        <s:v>24</s:v>
      </s:c>
      <s:c r="B26" s="5">
        <s:f>MAX(0,A26-Inputs!B28)</s:f>
        <s:v>22</s:v>
      </s:c>
      <s:c r="C26" s="5">
        <s:f>IF(AND(B26&gt;0,B26&lt;=Inputs!B27),Investment!B12*(1+Inputs!B17)^(B26-1),0)</s:f>
        <s:v>328293.33008828986</s:v>
      </s:c>
      <s:c r="D26" s="5">
        <s:f>IF(AND(B26&gt;0,B26&lt;=Inputs!B27),Investment!B13*(1+Inputs!B18)^(B26-1),0)</s:f>
        <s:v>90949.35724776797</s:v>
      </s:c>
      <s:c r="E26" s="5">
        <s:f>C26-D26</s:f>
        <s:v>237343.9728405219</s:v>
      </s:c>
      <s:c r="F26" s="5">
        <s:f>E26</s:f>
        <s:v>237343.9728405219</s:v>
      </s:c>
      <s:c r="G26" s="5">
        <s:f>IF(AND(B26&gt;0,B26&lt;=Inputs!B21),Investment!B15,0)</s:f>
        <s:v>117083.59413909915</s:v>
      </s:c>
      <s:c r="H26" s="5">
        <s:f>E26-G26</s:f>
        <s:v>120260.37870142274</s:v>
      </s:c>
      <s:c r="I26" s="5">
        <s:f>I25+F26</s:f>
        <s:v>-610363.8126557127</s:v>
      </s:c>
      <s:c r="J26" s="5">
        <s:f>IF(I26&gt;=0,1,0)</s:f>
        <s:v>0</s:v>
      </s:c>
      <s:c r="K26" s="5">
        <s:f>K25+H26</s:f>
        <s:v>-1450062.883715893</s:v>
      </s:c>
      <s:c r="L26" s="5">
        <s:f>IF(K26&gt;=0,1,0)</s:f>
        <s:v>0</s:v>
      </s:c>
    </s:row>
    <s:row r="27">
      <s:c r="A27" s="2" t="n">
        <s:v>25</s:v>
      </s:c>
      <s:c r="B27" s="5">
        <s:f>MAX(0,A27-Inputs!B28)</s:f>
        <s:v>23</s:v>
      </s:c>
      <s:c r="C27" s="5">
        <s:f>IF(AND(B27&gt;0,B27&lt;=Inputs!B27),Investment!B12*(1+Inputs!B17)^(B27-1),0)</s:f>
        <s:v>334859.1966900557</s:v>
      </s:c>
      <s:c r="D27" s="5">
        <s:f>IF(AND(B27&gt;0,B27&lt;=Inputs!B27),Investment!B13*(1+Inputs!B18)^(B27-1),0)</s:f>
        <s:v>93223.09117896216</s:v>
      </s:c>
      <s:c r="E27" s="5">
        <s:f>C27-D27</s:f>
        <s:v>241636.10551109357</s:v>
      </s:c>
      <s:c r="F27" s="5">
        <s:f>E27</s:f>
        <s:v>241636.10551109357</s:v>
      </s:c>
      <s:c r="G27" s="5">
        <s:f>IF(AND(B27&gt;0,B27&lt;=Inputs!B21),Investment!B15,0)</s:f>
        <s:v>117083.59413909915</s:v>
      </s:c>
      <s:c r="H27" s="5">
        <s:f>E27-G27</s:f>
        <s:v>124552.51137199442</s:v>
      </s:c>
      <s:c r="I27" s="5">
        <s:f>I26+F27</s:f>
        <s:v>-368727.70714461914</s:v>
      </s:c>
      <s:c r="J27" s="5">
        <s:f>IF(I27&gt;=0,1,0)</s:f>
        <s:v>0</s:v>
      </s:c>
      <s:c r="K27" s="5">
        <s:f>K26+H27</s:f>
        <s:v>-1325510.3723438985</s:v>
      </s:c>
      <s:c r="L27" s="5">
        <s:f>IF(K27&gt;=0,1,0)</s:f>
        <s:v>0</s:v>
      </s:c>
    </s:row>
    <s:row r="28">
      <s:c r="A28" s="2" t="n">
        <s:v>26</s:v>
      </s:c>
      <s:c r="B28" s="5">
        <s:f>MAX(0,A28-Inputs!B28)</s:f>
        <s:v>24</s:v>
      </s:c>
      <s:c r="C28" s="5">
        <s:f>IF(AND(B28&gt;0,B28&lt;=Inputs!B27),Investment!B12*(1+Inputs!B17)^(B28-1),0)</s:f>
        <s:v>341556.38062385685</s:v>
      </s:c>
      <s:c r="D28" s="5">
        <s:f>IF(AND(B28&gt;0,B28&lt;=Inputs!B27),Investment!B13*(1+Inputs!B18)^(B28-1),0)</s:f>
        <s:v>95553.66845843621</s:v>
      </s:c>
      <s:c r="E28" s="5">
        <s:f>C28-D28</s:f>
        <s:v>246002.71216542064</s:v>
      </s:c>
      <s:c r="F28" s="5">
        <s:f>E28</s:f>
        <s:v>246002.71216542064</s:v>
      </s:c>
      <s:c r="G28" s="5">
        <s:f>IF(AND(B28&gt;0,B28&lt;=Inputs!B21),Investment!B15,0)</s:f>
        <s:v>117083.59413909915</s:v>
      </s:c>
      <s:c r="H28" s="5">
        <s:f>E28-G28</s:f>
        <s:v>128919.11802632149</s:v>
      </s:c>
      <s:c r="I28" s="5">
        <s:f>I27+F28</s:f>
        <s:v>-122724.9949791985</s:v>
      </s:c>
      <s:c r="J28" s="5">
        <s:f>IF(I28&gt;=0,1,0)</s:f>
        <s:v>0</s:v>
      </s:c>
      <s:c r="K28" s="5">
        <s:f>K27+H28</s:f>
        <s:v>-1196591.254317577</s:v>
      </s:c>
      <s:c r="L28" s="5">
        <s:f>IF(K28&gt;=0,1,0)</s:f>
        <s:v>0</s:v>
      </s:c>
    </s:row>
    <s:row r="29">
      <s:c r="A29" s="2" t="n">
        <s:v>27</s:v>
      </s:c>
      <s:c r="B29" s="5">
        <s:f>MAX(0,A29-Inputs!B28)</s:f>
        <s:v>25</s:v>
      </s:c>
      <s:c r="C29" s="5">
        <s:f>IF(AND(B29&gt;0,B29&lt;=Inputs!B27),Investment!B12*(1+Inputs!B17)^(B29-1),0)</s:f>
        <s:v>348387.50823633396</s:v>
      </s:c>
      <s:c r="D29" s="5">
        <s:f>IF(AND(B29&gt;0,B29&lt;=Inputs!B27),Investment!B13*(1+Inputs!B18)^(B29-1),0)</s:f>
        <s:v>97942.5101698971</s:v>
      </s:c>
      <s:c r="E29" s="5">
        <s:f>C29-D29</s:f>
        <s:v>250444.99806643685</s:v>
      </s:c>
      <s:c r="F29" s="5">
        <s:f>E29</s:f>
        <s:v>250444.99806643685</s:v>
      </s:c>
      <s:c r="G29" s="5">
        <s:f>IF(AND(B29&gt;0,B29&lt;=Inputs!B21),Investment!B15,0)</s:f>
        <s:v>117083.59413909915</s:v>
      </s:c>
      <s:c r="H29" s="5">
        <s:f>E29-G29</s:f>
        <s:v>133361.4039273377</s:v>
      </s:c>
      <s:c r="I29" s="5">
        <s:f>I28+F29</s:f>
        <s:v>127720.00308723835</s:v>
      </s:c>
      <s:c r="J29" s="5">
        <s:f>IF(I29&gt;=0,1,0)</s:f>
        <s:v>1</s:v>
      </s:c>
      <s:c r="K29" s="5">
        <s:f>K28+H29</s:f>
        <s:v>-1063229.8503902394</s:v>
      </s:c>
      <s:c r="L29" s="5">
        <s:f>IF(K29&gt;=0,1,0)</s:f>
        <s:v>0</s:v>
      </s:c>
    </s:row>
    <s:row r="30">
      <s:c r="A30" s="2" t="n">
        <s:v>28</s:v>
      </s:c>
      <s:c r="B30" s="5">
        <s:f>MAX(0,A30-Inputs!B28)</s:f>
        <s:v>26</s:v>
      </s:c>
      <s:c r="C30" s="5">
        <s:f>IF(AND(B30&gt;0,B30&lt;=Inputs!B27),Investment!B12*(1+Inputs!B17)^(B30-1),0)</s:f>
        <s:v>355355.25840106065</s:v>
      </s:c>
      <s:c r="D30" s="5">
        <s:f>IF(AND(B30&gt;0,B30&lt;=Inputs!B27),Investment!B13*(1+Inputs!B18)^(B30-1),0)</s:f>
        <s:v>100391.07292414452</s:v>
      </s:c>
      <s:c r="E30" s="5">
        <s:f>C30-D30</s:f>
        <s:v>254964.18547691614</s:v>
      </s:c>
      <s:c r="F30" s="5">
        <s:f>E30</s:f>
        <s:v>254964.18547691614</s:v>
      </s:c>
      <s:c r="G30" s="5">
        <s:f>IF(AND(B30&gt;0,B30&lt;=Inputs!B21),Investment!B15,0)</s:f>
        <s:v>0</s:v>
      </s:c>
      <s:c r="H30" s="5">
        <s:f>E30-G30</s:f>
        <s:v>254964.18547691614</s:v>
      </s:c>
      <s:c r="I30" s="5">
        <s:f>I29+F30</s:f>
        <s:v>382684.1885641545</s:v>
      </s:c>
      <s:c r="J30" s="5">
        <s:f>IF(I30&gt;=0,1,0)</s:f>
        <s:v>1</s:v>
      </s:c>
      <s:c r="K30" s="5">
        <s:f>K29+H30</s:f>
        <s:v>-808265.6649133232</s:v>
      </s:c>
      <s:c r="L30" s="5">
        <s:f>IF(K30&gt;=0,1,0)</s:f>
        <s:v>0</s:v>
      </s:c>
    </s:row>
    <s:row r="31">
      <s:c r="A31" s="2" t="n">
        <s:v>29</s:v>
      </s:c>
      <s:c r="B31" s="5">
        <s:f>MAX(0,A31-Inputs!B28)</s:f>
        <s:v>27</s:v>
      </s:c>
      <s:c r="C31" s="5">
        <s:f>IF(AND(B31&gt;0,B31&lt;=Inputs!B27),Investment!B12*(1+Inputs!B17)^(B31-1),0)</s:f>
        <s:v>362462.3635690819</s:v>
      </s:c>
      <s:c r="D31" s="5">
        <s:f>IF(AND(B31&gt;0,B31&lt;=Inputs!B27),Investment!B13*(1+Inputs!B18)^(B31-1),0)</s:f>
        <s:v>102900.84974724811</s:v>
      </s:c>
      <s:c r="E31" s="5">
        <s:f>C31-D31</s:f>
        <s:v>259561.51382183377</s:v>
      </s:c>
      <s:c r="F31" s="5">
        <s:f>E31</s:f>
        <s:v>259561.51382183377</s:v>
      </s:c>
      <s:c r="G31" s="5">
        <s:f>IF(AND(B31&gt;0,B31&lt;=Inputs!B21),Investment!B15,0)</s:f>
        <s:v>0</s:v>
      </s:c>
      <s:c r="H31" s="5">
        <s:f>E31-G31</s:f>
        <s:v>259561.51382183377</s:v>
      </s:c>
      <s:c r="I31" s="5">
        <s:f>I30+F31</s:f>
        <s:v>642245.7023859883</s:v>
      </s:c>
      <s:c r="J31" s="5">
        <s:f>IF(I31&gt;=0,1,0)</s:f>
        <s:v>1</s:v>
      </s:c>
      <s:c r="K31" s="5">
        <s:f>K30+H31</s:f>
        <s:v>-548704.1510914895</s:v>
      </s:c>
      <s:c r="L31" s="5">
        <s:f>IF(K31&gt;=0,1,0)</s:f>
        <s:v>0</s:v>
      </s:c>
    </s:row>
    <s:row r="32">
      <s:c r="A32" s="2" t="n">
        <s:v>30</s:v>
      </s:c>
      <s:c r="B32" s="5">
        <s:f>MAX(0,A32-Inputs!B28)</s:f>
        <s:v>28</s:v>
      </s:c>
      <s:c r="C32" s="5">
        <s:f>IF(AND(B32&gt;0,B32&lt;=Inputs!B27),Investment!B12*(1+Inputs!B17)^(B32-1),0)</s:f>
        <s:v>369711.61084046355</s:v>
      </s:c>
      <s:c r="D32" s="5">
        <s:f>IF(AND(B32&gt;0,B32&lt;=Inputs!B27),Investment!B13*(1+Inputs!B18)^(B32-1),0)</s:f>
        <s:v>105473.37099092932</s:v>
      </s:c>
      <s:c r="E32" s="5">
        <s:f>C32-D32</s:f>
        <s:v>264238.23984953423</s:v>
      </s:c>
      <s:c r="F32" s="5">
        <s:f>E32</s:f>
        <s:v>264238.23984953423</s:v>
      </s:c>
      <s:c r="G32" s="5">
        <s:f>IF(AND(B32&gt;0,B32&lt;=Inputs!B21),Investment!B15,0)</s:f>
        <s:v>0</s:v>
      </s:c>
      <s:c r="H32" s="5">
        <s:f>E32-G32</s:f>
        <s:v>264238.23984953423</s:v>
      </s:c>
      <s:c r="I32" s="5">
        <s:f>I31+F32</s:f>
        <s:v>906483.9422355226</s:v>
      </s:c>
      <s:c r="J32" s="5">
        <s:f>IF(I32&gt;=0,1,0)</s:f>
        <s:v>1</s:v>
      </s:c>
      <s:c r="K32" s="5">
        <s:f>K31+H32</s:f>
        <s:v>-284465.91124195524</s:v>
      </s:c>
      <s:c r="L32" s="5">
        <s:f>IF(K32&gt;=0,1,0)</s:f>
        <s:v>0</s:v>
      </s:c>
    </s:row>
    <s:row r="33">
      <s:c r="A33" s="2" t="n">
        <s:v>31</s:v>
      </s:c>
      <s:c r="B33" s="5">
        <s:f>MAX(0,A33-Inputs!B28)</s:f>
        <s:v>29</s:v>
      </s:c>
      <s:c r="C33" s="5">
        <s:f>IF(AND(B33&gt;0,B33&lt;=Inputs!B27),Investment!B12*(1+Inputs!B17)^(B33-1),0)</s:f>
        <s:v>377105.84305727284</s:v>
      </s:c>
      <s:c r="D33" s="5">
        <s:f>IF(AND(B33&gt;0,B33&lt;=Inputs!B27),Investment!B13*(1+Inputs!B18)^(B33-1),0)</s:f>
        <s:v>108110.20526570255</s:v>
      </s:c>
      <s:c r="E33" s="5">
        <s:f>C33-D33</s:f>
        <s:v>268995.6377915703</s:v>
      </s:c>
      <s:c r="F33" s="5">
        <s:f>E33</s:f>
        <s:v>268995.6377915703</s:v>
      </s:c>
      <s:c r="G33" s="5">
        <s:f>IF(AND(B33&gt;0,B33&lt;=Inputs!B21),Investment!B15,0)</s:f>
        <s:v>0</s:v>
      </s:c>
      <s:c r="H33" s="5">
        <s:f>E33-G33</s:f>
        <s:v>268995.6377915703</s:v>
      </s:c>
      <s:c r="I33" s="5">
        <s:f>I32+F33</s:f>
        <s:v>1175479.5800270927</s:v>
      </s:c>
      <s:c r="J33" s="5">
        <s:f>IF(I33&gt;=0,1,0)</s:f>
        <s:v>1</s:v>
      </s:c>
      <s:c r="K33" s="5">
        <s:f>K32+H33</s:f>
        <s:v>-15470.273450384964</s:v>
      </s:c>
      <s:c r="L33" s="5">
        <s:f>IF(K33&gt;=0,1,0)</s:f>
        <s:v>0</s:v>
      </s:c>
    </s:row>
    <s:row r="34">
      <s:c r="A34" s="2" t="n">
        <s:v>32</s:v>
      </s:c>
      <s:c r="B34" s="5">
        <s:f>MAX(0,A34-Inputs!B28)</s:f>
        <s:v>30</s:v>
      </s:c>
      <s:c r="C34" s="5">
        <s:f>IF(AND(B34&gt;0,B34&lt;=Inputs!B27),Investment!B12*(1+Inputs!B17)^(B34-1),0)</s:f>
        <s:v>384647.95991841826</s:v>
      </s:c>
      <s:c r="D34" s="5">
        <s:f>IF(AND(B34&gt;0,B34&lt;=Inputs!B27),Investment!B13*(1+Inputs!B18)^(B34-1),0)</s:f>
        <s:v>110812.9603973451</s:v>
      </s:c>
      <s:c r="E34" s="5">
        <s:f>C34-D34</s:f>
        <s:v>273834.9995210732</s:v>
      </s:c>
      <s:c r="F34" s="5">
        <s:f>E34</s:f>
        <s:v>273834.9995210732</s:v>
      </s:c>
      <s:c r="G34" s="5">
        <s:f>IF(AND(B34&gt;0,B34&lt;=Inputs!B21),Investment!B15,0)</s:f>
        <s:v>0</s:v>
      </s:c>
      <s:c r="H34" s="5">
        <s:f>E34-G34</s:f>
        <s:v>273834.9995210732</s:v>
      </s:c>
      <s:c r="I34" s="5">
        <s:f>I33+F34</s:f>
        <s:v>1449314.579548166</s:v>
      </s:c>
      <s:c r="J34" s="5">
        <s:f>IF(I34&gt;=0,1,0)</s:f>
        <s:v>1</s:v>
      </s:c>
      <s:c r="K34" s="5">
        <s:f>K33+H34</s:f>
        <s:v>258364.72607068822</s:v>
      </s:c>
      <s:c r="L34" s="5">
        <s:f>IF(K34&gt;=0,1,0)</s:f>
        <s:v>1</s:v>
      </s:c>
    </s:row>
    <s:row r="35">
      <s:c r="A35" s="2" t="n">
        <s:v>33</s:v>
      </s:c>
      <s:c r="B35" s="5">
        <s:f>MAX(0,A35-Inputs!B28)</s:f>
        <s:v>31</s:v>
      </s:c>
      <s:c r="C35" s="5">
        <s:f>IF(AND(B35&gt;0,B35&lt;=Inputs!B27),Investment!B12*(1+Inputs!B17)^(B35-1),0)</s:f>
        <s:v>0</s:v>
      </s:c>
      <s:c r="D35" s="5">
        <s:f>IF(AND(B35&gt;0,B35&lt;=Inputs!B27),Investment!B13*(1+Inputs!B18)^(B35-1),0)</s:f>
        <s:v>0</s:v>
      </s:c>
      <s:c r="E35" s="5">
        <s:f>C35-D35</s:f>
        <s:v>0</s:v>
      </s:c>
      <s:c r="F35" s="5">
        <s:f>E35</s:f>
        <s:v>0</s:v>
      </s:c>
      <s:c r="G35" s="5">
        <s:f>IF(AND(B35&gt;0,B35&lt;=Inputs!B21),Investment!B15,0)</s:f>
        <s:v>0</s:v>
      </s:c>
      <s:c r="H35" s="5">
        <s:f>E35-G35</s:f>
        <s:v>0</s:v>
      </s:c>
      <s:c r="I35" s="5">
        <s:f>I34+F35</s:f>
        <s:v>1449314.579548166</s:v>
      </s:c>
      <s:c r="J35" s="5">
        <s:f>IF(I35&gt;=0,1,0)</s:f>
        <s:v>1</s:v>
      </s:c>
      <s:c r="K35" s="5">
        <s:f>K34+H35</s:f>
        <s:v>258364.72607068822</s:v>
      </s:c>
      <s:c r="L35" s="5">
        <s:f>IF(K35&gt;=0,1,0)</s:f>
        <s:v>1</s:v>
      </s:c>
    </s:row>
    <s:row r="36">
      <s:c r="A36" s="2" t="n">
        <s:v>34</s:v>
      </s:c>
      <s:c r="B36" s="5">
        <s:f>MAX(0,A36-Inputs!B28)</s:f>
        <s:v>32</s:v>
      </s:c>
      <s:c r="C36" s="5">
        <s:f>IF(AND(B36&gt;0,B36&lt;=Inputs!B27),Investment!B12*(1+Inputs!B17)^(B36-1),0)</s:f>
        <s:v>0</s:v>
      </s:c>
      <s:c r="D36" s="5">
        <s:f>IF(AND(B36&gt;0,B36&lt;=Inputs!B27),Investment!B13*(1+Inputs!B18)^(B36-1),0)</s:f>
        <s:v>0</s:v>
      </s:c>
      <s:c r="E36" s="5">
        <s:f>C36-D36</s:f>
        <s:v>0</s:v>
      </s:c>
      <s:c r="F36" s="5">
        <s:f>E36</s:f>
        <s:v>0</s:v>
      </s:c>
      <s:c r="G36" s="5">
        <s:f>IF(AND(B36&gt;0,B36&lt;=Inputs!B21),Investment!B15,0)</s:f>
        <s:v>0</s:v>
      </s:c>
      <s:c r="H36" s="5">
        <s:f>E36-G36</s:f>
        <s:v>0</s:v>
      </s:c>
      <s:c r="I36" s="5">
        <s:f>I35+F36</s:f>
        <s:v>1449314.579548166</s:v>
      </s:c>
      <s:c r="J36" s="5">
        <s:f>IF(I36&gt;=0,1,0)</s:f>
        <s:v>1</s:v>
      </s:c>
      <s:c r="K36" s="5">
        <s:f>K35+H36</s:f>
        <s:v>258364.72607068822</s:v>
      </s:c>
      <s:c r="L36" s="5">
        <s:f>IF(K36&gt;=0,1,0)</s:f>
        <s:v>1</s:v>
      </s:c>
    </s:row>
    <s:row r="37">
      <s:c r="A37" s="2" t="n">
        <s:v>35</s:v>
      </s:c>
      <s:c r="B37" s="5">
        <s:f>MAX(0,A37-Inputs!B28)</s:f>
        <s:v>33</s:v>
      </s:c>
      <s:c r="C37" s="5">
        <s:f>IF(AND(B37&gt;0,B37&lt;=Inputs!B27),Investment!B12*(1+Inputs!B17)^(B37-1),0)</s:f>
        <s:v>0</s:v>
      </s:c>
      <s:c r="D37" s="5">
        <s:f>IF(AND(B37&gt;0,B37&lt;=Inputs!B27),Investment!B13*(1+Inputs!B18)^(B37-1),0)</s:f>
        <s:v>0</s:v>
      </s:c>
      <s:c r="E37" s="5">
        <s:f>C37-D37</s:f>
        <s:v>0</s:v>
      </s:c>
      <s:c r="F37" s="5">
        <s:f>E37</s:f>
        <s:v>0</s:v>
      </s:c>
      <s:c r="G37" s="5">
        <s:f>IF(AND(B37&gt;0,B37&lt;=Inputs!B21),Investment!B15,0)</s:f>
        <s:v>0</s:v>
      </s:c>
      <s:c r="H37" s="5">
        <s:f>E37-G37</s:f>
        <s:v>0</s:v>
      </s:c>
      <s:c r="I37" s="5">
        <s:f>I36+F37</s:f>
        <s:v>1449314.579548166</s:v>
      </s:c>
      <s:c r="J37" s="5">
        <s:f>IF(I37&gt;=0,1,0)</s:f>
        <s:v>1</s:v>
      </s:c>
      <s:c r="K37" s="5">
        <s:f>K36+H37</s:f>
        <s:v>258364.72607068822</s:v>
      </s:c>
      <s:c r="L37" s="5">
        <s:f>IF(K37&gt;=0,1,0)</s:f>
        <s:v>1</s:v>
      </s:c>
    </s:row>
    <s:row r="38">
      <s:c r="A38" s="2" t="n">
        <s:v>36</s:v>
      </s:c>
      <s:c r="B38" s="5">
        <s:f>MAX(0,A38-Inputs!B28)</s:f>
        <s:v>34</s:v>
      </s:c>
      <s:c r="C38" s="5">
        <s:f>IF(AND(B38&gt;0,B38&lt;=Inputs!B27),Investment!B12*(1+Inputs!B17)^(B38-1),0)</s:f>
        <s:v>0</s:v>
      </s:c>
      <s:c r="D38" s="5">
        <s:f>IF(AND(B38&gt;0,B38&lt;=Inputs!B27),Investment!B13*(1+Inputs!B18)^(B38-1),0)</s:f>
        <s:v>0</s:v>
      </s:c>
      <s:c r="E38" s="5">
        <s:f>C38-D38</s:f>
        <s:v>0</s:v>
      </s:c>
      <s:c r="F38" s="5">
        <s:f>E38</s:f>
        <s:v>0</s:v>
      </s:c>
      <s:c r="G38" s="5">
        <s:f>IF(AND(B38&gt;0,B38&lt;=Inputs!B21),Investment!B15,0)</s:f>
        <s:v>0</s:v>
      </s:c>
      <s:c r="H38" s="5">
        <s:f>E38-G38</s:f>
        <s:v>0</s:v>
      </s:c>
      <s:c r="I38" s="5">
        <s:f>I37+F38</s:f>
        <s:v>1449314.579548166</s:v>
      </s:c>
      <s:c r="J38" s="5">
        <s:f>IF(I38&gt;=0,1,0)</s:f>
        <s:v>1</s:v>
      </s:c>
      <s:c r="K38" s="5">
        <s:f>K37+H38</s:f>
        <s:v>258364.72607068822</s:v>
      </s:c>
      <s:c r="L38" s="5">
        <s:f>IF(K38&gt;=0,1,0)</s:f>
        <s:v>1</s:v>
      </s:c>
    </s:row>
    <s:row r="39">
      <s:c r="A39" s="2" t="n">
        <s:v>37</s:v>
      </s:c>
      <s:c r="B39" s="5">
        <s:f>MAX(0,A39-Inputs!B28)</s:f>
        <s:v>35</s:v>
      </s:c>
      <s:c r="C39" s="5">
        <s:f>IF(AND(B39&gt;0,B39&lt;=Inputs!B27),Investment!B12*(1+Inputs!B17)^(B39-1),0)</s:f>
        <s:v>0</s:v>
      </s:c>
      <s:c r="D39" s="5">
        <s:f>IF(AND(B39&gt;0,B39&lt;=Inputs!B27),Investment!B13*(1+Inputs!B18)^(B39-1),0)</s:f>
        <s:v>0</s:v>
      </s:c>
      <s:c r="E39" s="5">
        <s:f>C39-D39</s:f>
        <s:v>0</s:v>
      </s:c>
      <s:c r="F39" s="5">
        <s:f>E39</s:f>
        <s:v>0</s:v>
      </s:c>
      <s:c r="G39" s="5">
        <s:f>IF(AND(B39&gt;0,B39&lt;=Inputs!B21),Investment!B15,0)</s:f>
        <s:v>0</s:v>
      </s:c>
      <s:c r="H39" s="5">
        <s:f>E39-G39</s:f>
        <s:v>0</s:v>
      </s:c>
      <s:c r="I39" s="5">
        <s:f>I38+F39</s:f>
        <s:v>1449314.579548166</s:v>
      </s:c>
      <s:c r="J39" s="5">
        <s:f>IF(I39&gt;=0,1,0)</s:f>
        <s:v>1</s:v>
      </s:c>
      <s:c r="K39" s="5">
        <s:f>K38+H39</s:f>
        <s:v>258364.72607068822</s:v>
      </s:c>
      <s:c r="L39" s="5">
        <s:f>IF(K39&gt;=0,1,0)</s:f>
        <s:v>1</s:v>
      </s:c>
    </s:row>
    <s:row r="40">
      <s:c r="A40" s="2" t="n">
        <s:v>38</s:v>
      </s:c>
      <s:c r="B40" s="5">
        <s:f>MAX(0,A40-Inputs!B28)</s:f>
        <s:v>36</s:v>
      </s:c>
      <s:c r="C40" s="5">
        <s:f>IF(AND(B40&gt;0,B40&lt;=Inputs!B27),Investment!B12*(1+Inputs!B17)^(B40-1),0)</s:f>
        <s:v>0</s:v>
      </s:c>
      <s:c r="D40" s="5">
        <s:f>IF(AND(B40&gt;0,B40&lt;=Inputs!B27),Investment!B13*(1+Inputs!B18)^(B40-1),0)</s:f>
        <s:v>0</s:v>
      </s:c>
      <s:c r="E40" s="5">
        <s:f>C40-D40</s:f>
        <s:v>0</s:v>
      </s:c>
      <s:c r="F40" s="5">
        <s:f>E40</s:f>
        <s:v>0</s:v>
      </s:c>
      <s:c r="G40" s="5">
        <s:f>IF(AND(B40&gt;0,B40&lt;=Inputs!B21),Investment!B15,0)</s:f>
        <s:v>0</s:v>
      </s:c>
      <s:c r="H40" s="5">
        <s:f>E40-G40</s:f>
        <s:v>0</s:v>
      </s:c>
      <s:c r="I40" s="5">
        <s:f>I39+F40</s:f>
        <s:v>1449314.579548166</s:v>
      </s:c>
      <s:c r="J40" s="5">
        <s:f>IF(I40&gt;=0,1,0)</s:f>
        <s:v>1</s:v>
      </s:c>
      <s:c r="K40" s="5">
        <s:f>K39+H40</s:f>
        <s:v>258364.72607068822</s:v>
      </s:c>
      <s:c r="L40" s="5">
        <s:f>IF(K40&gt;=0,1,0)</s:f>
        <s:v>1</s:v>
      </s:c>
    </s:row>
    <s:row r="41">
      <s:c r="A41" s="2" t="n">
        <s:v>39</s:v>
      </s:c>
      <s:c r="B41" s="5">
        <s:f>MAX(0,A41-Inputs!B28)</s:f>
        <s:v>37</s:v>
      </s:c>
      <s:c r="C41" s="5">
        <s:f>IF(AND(B41&gt;0,B41&lt;=Inputs!B27),Investment!B12*(1+Inputs!B17)^(B41-1),0)</s:f>
        <s:v>0</s:v>
      </s:c>
      <s:c r="D41" s="5">
        <s:f>IF(AND(B41&gt;0,B41&lt;=Inputs!B27),Investment!B13*(1+Inputs!B18)^(B41-1),0)</s:f>
        <s:v>0</s:v>
      </s:c>
      <s:c r="E41" s="5">
        <s:f>C41-D41</s:f>
        <s:v>0</s:v>
      </s:c>
      <s:c r="F41" s="5">
        <s:f>E41</s:f>
        <s:v>0</s:v>
      </s:c>
      <s:c r="G41" s="5">
        <s:f>IF(AND(B41&gt;0,B41&lt;=Inputs!B21),Investment!B15,0)</s:f>
        <s:v>0</s:v>
      </s:c>
      <s:c r="H41" s="5">
        <s:f>E41-G41</s:f>
        <s:v>0</s:v>
      </s:c>
      <s:c r="I41" s="5">
        <s:f>I40+F41</s:f>
        <s:v>1449314.579548166</s:v>
      </s:c>
      <s:c r="J41" s="5">
        <s:f>IF(I41&gt;=0,1,0)</s:f>
        <s:v>1</s:v>
      </s:c>
      <s:c r="K41" s="5">
        <s:f>K40+H41</s:f>
        <s:v>258364.72607068822</s:v>
      </s:c>
      <s:c r="L41" s="5">
        <s:f>IF(K41&gt;=0,1,0)</s:f>
        <s:v>1</s:v>
      </s:c>
    </s:row>
    <s:row r="42">
      <s:c r="A42" s="2" t="n">
        <s:v>40</s:v>
      </s:c>
      <s:c r="B42" s="5">
        <s:f>MAX(0,A42-Inputs!B28)</s:f>
        <s:v>38</s:v>
      </s:c>
      <s:c r="C42" s="5">
        <s:f>IF(AND(B42&gt;0,B42&lt;=Inputs!B27),Investment!B12*(1+Inputs!B17)^(B42-1),0)</s:f>
        <s:v>0</s:v>
      </s:c>
      <s:c r="D42" s="5">
        <s:f>IF(AND(B42&gt;0,B42&lt;=Inputs!B27),Investment!B13*(1+Inputs!B18)^(B42-1),0)</s:f>
        <s:v>0</s:v>
      </s:c>
      <s:c r="E42" s="5">
        <s:f>C42-D42</s:f>
        <s:v>0</s:v>
      </s:c>
      <s:c r="F42" s="5">
        <s:f>E42</s:f>
        <s:v>0</s:v>
      </s:c>
      <s:c r="G42" s="5">
        <s:f>IF(AND(B42&gt;0,B42&lt;=Inputs!B21),Investment!B15,0)</s:f>
        <s:v>0</s:v>
      </s:c>
      <s:c r="H42" s="5">
        <s:f>E42-G42</s:f>
        <s:v>0</s:v>
      </s:c>
      <s:c r="I42" s="5">
        <s:f>I41+F42</s:f>
        <s:v>1449314.579548166</s:v>
      </s:c>
      <s:c r="J42" s="5">
        <s:f>IF(I42&gt;=0,1,0)</s:f>
        <s:v>1</s:v>
      </s:c>
      <s:c r="K42" s="5">
        <s:f>K41+H42</s:f>
        <s:v>258364.72607068822</s:v>
      </s:c>
      <s:c r="L42" s="5">
        <s:f>IF(K42&gt;=0,1,0)</s:f>
        <s:v>1</s:v>
      </s:c>
    </s:row>
  </s:sheetData>
  <s:autoFilter ref="A1:L42"/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1:K92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3" customWidth="1" min="1" max="1"/>
    <s:col width="23" customWidth="1" min="2" max="2"/>
    <s:col width="23" customWidth="1" min="3" max="3"/>
    <s:col width="23" customWidth="1" min="4" max="4"/>
    <s:col width="23" customWidth="1" min="5" max="5"/>
    <s:col width="23" customWidth="1" min="6" max="6"/>
    <s:col width="23" customWidth="1" min="7" max="7"/>
    <s:col width="23" customWidth="1" min="8" max="8"/>
    <s:col width="23" customWidth="1" min="9" max="9"/>
    <s:col width="23" customWidth="1" min="10" max="10"/>
    <s:col width="23" customWidth="1" min="11" max="11"/>
  </s:cols>
  <s:sheetData>
    <s:row r="1" ht="32" customHeight="1">
      <s:c r="A1" s="1" t="inlineStr">
        <s:is>
          <s:t>Rooms</s:t>
        </s:is>
      </s:c>
      <s:c r="B1" s="1" t="inlineStr">
        <s:is>
          <s:t>Floor area m²</s:t>
        </s:is>
      </s:c>
      <s:c r="C1" s="1" t="inlineStr">
        <s:is>
          <s:t>Total cost</s:t>
        </s:is>
      </s:c>
      <s:c r="D1" s="1" t="inlineStr">
        <s:is>
          <s:t>Equity</s:t>
        </s:is>
      </s:c>
      <s:c r="E1" s="1" t="inlineStr">
        <s:is>
          <s:t>NOI</s:t>
        </s:is>
      </s:c>
      <s:c r="F1" s="1" t="inlineStr">
        <s:is>
          <s:t>Debt service</s:t>
        </s:is>
      </s:c>
      <s:c r="G1" s="1" t="inlineStr">
        <s:is>
          <s:t>Equity CF</s:t>
        </s:is>
      </s:c>
      <s:c r="H1" s="1" t="inlineStr">
        <s:is>
          <s:t>Net yield</s:t>
        </s:is>
      </s:c>
      <s:c r="I1" s="1" t="inlineStr">
        <s:is>
          <s:t>DSCR</s:t>
        </s:is>
      </s:c>
      <s:c r="J1" s="1" t="inlineStr">
        <s:is>
          <s:t>Feasible</s:t>
        </s:is>
      </s:c>
      <s:c r="K1" s="1" t="inlineStr">
        <s:is>
          <s:t>Rank value</s:t>
        </s:is>
      </s:c>
    </s:row>
    <s:row r="2">
      <s:c r="A2" s="2" t="n">
        <s:v>12</s:v>
      </s:c>
      <s:c r="B2" s="5">
        <s:f>A2*Inputs!B11</s:f>
        <s:v>408</s:v>
      </s:c>
      <s:c r="C2" s="5">
        <s:f>Inputs!B10+Inputs!B14+(B2*Inputs!B12+A2*Inputs!B13)*(1+Inputs!B15)</s:f>
        <s:v>2293120.0</s:v>
      </s:c>
      <s:c r="D2" s="5">
        <s:f>C2*(1-Inputs!B19)</s:f>
        <s:v>1490528.0</s:v>
      </s:c>
      <s:c r="E2" s="5">
        <s:f>A2*Investment!B2*Inputs!B9*Inputs!B8*(1-Inputs!B16)</s:f>
        <s:v>48735.0</s:v>
      </s:c>
      <s:c r="F2" s="5">
        <s:f>IF(Inputs!B19=0,0,IF(Inputs!B20=0,C2*Inputs!B19/Inputs!B21,-PMT(Inputs!B20,Inputs!B21,C2*Inputs!B19)))</s:f>
        <s:v>54126.02439163193</s:v>
      </s:c>
      <s:c r="G2" s="5">
        <s:f>E2-F2</s:f>
        <s:v>-5391.0243916319305</s:v>
      </s:c>
      <s:c r="H2" s="6">
        <s:f>E2/C2</s:f>
        <s:v>0.02125270373988278</s:v>
      </s:c>
      <s:c r="I2" s="5">
        <s:f>IF(F2=0,999,E2/F2)</s:f>
        <s:v>0.9003986630788756</s:v>
      </s:c>
      <s:c r="J2" s="5" t="str">
        <s:f>IF(AND(C2&lt;=Inputs!B22,D2&lt;=Inputs!B23,G2&gt;0,I2&gt;=Inputs!B24,A2&lt;=Inputs!B29),"YES","NO")</s:f>
        <s:v>NO</s:v>
      </s:c>
      <s:c r="K2" s="5">
        <s:f>IF(J2="YES",G2,-1)</s:f>
        <s:v>-1</s:v>
      </s:c>
    </s:row>
    <s:row r="3">
      <s:c r="A3" s="2" t="n">
        <s:v>13</s:v>
      </s:c>
      <s:c r="B3" s="5">
        <s:f>A3*Inputs!B11</s:f>
        <s:v>442</s:v>
      </s:c>
      <s:c r="C3" s="5">
        <s:f>Inputs!B10+Inputs!B14+(B3*Inputs!B12+A3*Inputs!B13)*(1+Inputs!B15)</s:f>
        <s:v>2388380.0</s:v>
      </s:c>
      <s:c r="D3" s="5">
        <s:f>C3*(1-Inputs!B19)</s:f>
        <s:v>1552447.0</s:v>
      </s:c>
      <s:c r="E3" s="5">
        <s:f>A3*Investment!B2*Inputs!B9*Inputs!B8*(1-Inputs!B16)</s:f>
        <s:v>52796.25</s:v>
      </s:c>
      <s:c r="F3" s="5">
        <s:f>IF(Inputs!B19=0,0,IF(Inputs!B20=0,C3*Inputs!B19/Inputs!B21,-PMT(Inputs!B20,Inputs!B21,C3*Inputs!B19)))</s:f>
        <s:v>56374.50902547004</s:v>
      </s:c>
      <s:c r="G3" s="5">
        <s:f>E3-F3</s:f>
        <s:v>-3578.259025470041</s:v>
      </s:c>
      <s:c r="H3" s="6">
        <s:f>E3/C3</s:f>
        <s:v>0.02210546479203477</s:v>
      </s:c>
      <s:c r="I3" s="5">
        <s:f>IF(F3=0,999,E3/F3)</s:f>
        <s:v>0.9365270032976539</s:v>
      </s:c>
      <s:c r="J3" s="5" t="str">
        <s:f>IF(AND(C3&lt;=Inputs!B22,D3&lt;=Inputs!B23,G3&gt;0,I3&gt;=Inputs!B24,A3&lt;=Inputs!B29),"YES","NO")</s:f>
        <s:v>NO</s:v>
      </s:c>
      <s:c r="K3" s="5">
        <s:f>IF(J3="YES",G3,-1)</s:f>
        <s:v>-1</s:v>
      </s:c>
    </s:row>
    <s:row r="4">
      <s:c r="A4" s="2" t="n">
        <s:v>14</s:v>
      </s:c>
      <s:c r="B4" s="5">
        <s:f>A4*Inputs!B11</s:f>
        <s:v>476</s:v>
      </s:c>
      <s:c r="C4" s="5">
        <s:f>Inputs!B10+Inputs!B14+(B4*Inputs!B12+A4*Inputs!B13)*(1+Inputs!B15)</s:f>
        <s:v>2483640.0</s:v>
      </s:c>
      <s:c r="D4" s="5">
        <s:f>C4*(1-Inputs!B19)</s:f>
        <s:v>1614366.0</s:v>
      </s:c>
      <s:c r="E4" s="5">
        <s:f>A4*Investment!B2*Inputs!B9*Inputs!B8*(1-Inputs!B16)</s:f>
        <s:v>56857.5</s:v>
      </s:c>
      <s:c r="F4" s="5">
        <s:f>IF(Inputs!B19=0,0,IF(Inputs!B20=0,C4*Inputs!B19/Inputs!B21,-PMT(Inputs!B20,Inputs!B21,C4*Inputs!B19)))</s:f>
        <s:v>58622.99365930816</s:v>
      </s:c>
      <s:c r="G4" s="5">
        <s:f>E4-F4</s:f>
        <s:v>-1765.4936593081584</s:v>
      </s:c>
      <s:c r="H4" s="6">
        <s:f>E4/C4</s:f>
        <s:v>0.02289281055225395</s:v>
      </s:c>
      <s:c r="I4" s="5">
        <s:f>IF(F4=0,999,E4/F4)</s:f>
        <s:v>0.9698839388931849</s:v>
      </s:c>
      <s:c r="J4" s="5" t="str">
        <s:f>IF(AND(C4&lt;=Inputs!B22,D4&lt;=Inputs!B23,G4&gt;0,I4&gt;=Inputs!B24,A4&lt;=Inputs!B29),"YES","NO")</s:f>
        <s:v>NO</s:v>
      </s:c>
      <s:c r="K4" s="5">
        <s:f>IF(J4="YES",G4,-1)</s:f>
        <s:v>-1</s:v>
      </s:c>
    </s:row>
    <s:row r="5">
      <s:c r="A5" s="2" t="n">
        <s:v>15</s:v>
      </s:c>
      <s:c r="B5" s="5">
        <s:f>A5*Inputs!B11</s:f>
        <s:v>510</s:v>
      </s:c>
      <s:c r="C5" s="5">
        <s:f>Inputs!B10+Inputs!B14+(B5*Inputs!B12+A5*Inputs!B13)*(1+Inputs!B15)</s:f>
        <s:v>2578900.0</s:v>
      </s:c>
      <s:c r="D5" s="5">
        <s:f>C5*(1-Inputs!B19)</s:f>
        <s:v>1676285.0</s:v>
      </s:c>
      <s:c r="E5" s="5">
        <s:f>A5*Investment!B2*Inputs!B9*Inputs!B8*(1-Inputs!B16)</s:f>
        <s:v>60918.75</s:v>
      </s:c>
      <s:c r="F5" s="5">
        <s:f>IF(Inputs!B19=0,0,IF(Inputs!B20=0,C5*Inputs!B19/Inputs!B21,-PMT(Inputs!B20,Inputs!B21,C5*Inputs!B19)))</s:f>
        <s:v>60871.47829314627</s:v>
      </s:c>
      <s:c r="G5" s="5">
        <s:f>E5-F5</s:f>
        <s:v>47.2717068537313</s:v>
      </s:c>
      <s:c r="H5" s="6">
        <s:f>E5/C5</s:f>
        <s:v>0.023621989995734616</s:v>
      </s:c>
      <s:c r="I5" s="5">
        <s:f>IF(F5=0,999,E5/F5)</s:f>
        <s:v>1.0007765822053158</s:v>
      </s:c>
      <s:c r="J5" s="5" t="str">
        <s:f>IF(AND(C5&lt;=Inputs!B22,D5&lt;=Inputs!B23,G5&gt;0,I5&gt;=Inputs!B24,A5&lt;=Inputs!B29),"YES","NO")</s:f>
        <s:v>NO</s:v>
      </s:c>
      <s:c r="K5" s="5">
        <s:f>IF(J5="YES",G5,-1)</s:f>
        <s:v>-1</s:v>
      </s:c>
    </s:row>
    <s:row r="6">
      <s:c r="A6" s="2" t="n">
        <s:v>16</s:v>
      </s:c>
      <s:c r="B6" s="5">
        <s:f>A6*Inputs!B11</s:f>
        <s:v>544</s:v>
      </s:c>
      <s:c r="C6" s="5">
        <s:f>Inputs!B10+Inputs!B14+(B6*Inputs!B12+A6*Inputs!B13)*(1+Inputs!B15)</s:f>
        <s:v>2674160.0</s:v>
      </s:c>
      <s:c r="D6" s="5">
        <s:f>C6*(1-Inputs!B19)</s:f>
        <s:v>1738204.0</s:v>
      </s:c>
      <s:c r="E6" s="5">
        <s:f>A6*Investment!B2*Inputs!B9*Inputs!B8*(1-Inputs!B16)</s:f>
        <s:v>64980.0</s:v>
      </s:c>
      <s:c r="F6" s="5">
        <s:f>IF(Inputs!B19=0,0,IF(Inputs!B20=0,C6*Inputs!B19/Inputs!B21,-PMT(Inputs!B20,Inputs!B21,C6*Inputs!B19)))</s:f>
        <s:v>63119.962926984386</s:v>
      </s:c>
      <s:c r="G6" s="5">
        <s:f>E6-F6</s:f>
        <s:v>1860.0370730156137</s:v>
      </s:c>
      <s:c r="H6" s="6">
        <s:f>E6/C6</s:f>
        <s:v>0.024299219194064678</s:v>
      </s:c>
      <s:c r="I6" s="5">
        <s:f>IF(F6=0,999,E6/F6)</s:f>
        <s:v>1.0294682852581403</s:v>
      </s:c>
      <s:c r="J6" s="5" t="str">
        <s:f>IF(AND(C6&lt;=Inputs!B22,D6&lt;=Inputs!B23,G6&gt;0,I6&gt;=Inputs!B24,A6&lt;=Inputs!B29),"YES","NO")</s:f>
        <s:v>NO</s:v>
      </s:c>
      <s:c r="K6" s="5">
        <s:f>IF(J6="YES",G6,-1)</s:f>
        <s:v>-1</s:v>
      </s:c>
    </s:row>
    <s:row r="7">
      <s:c r="A7" s="2" t="n">
        <s:v>17</s:v>
      </s:c>
      <s:c r="B7" s="5">
        <s:f>A7*Inputs!B11</s:f>
        <s:v>578</s:v>
      </s:c>
      <s:c r="C7" s="5">
        <s:f>Inputs!B10+Inputs!B14+(B7*Inputs!B12+A7*Inputs!B13)*(1+Inputs!B15)</s:f>
        <s:v>2769420.0</s:v>
      </s:c>
      <s:c r="D7" s="5">
        <s:f>C7*(1-Inputs!B19)</s:f>
        <s:v>1800123.0</s:v>
      </s:c>
      <s:c r="E7" s="5">
        <s:f>A7*Investment!B2*Inputs!B9*Inputs!B8*(1-Inputs!B16)</s:f>
        <s:v>69041.25</s:v>
      </s:c>
      <s:c r="F7" s="5">
        <s:f>IF(Inputs!B19=0,0,IF(Inputs!B20=0,C7*Inputs!B19/Inputs!B21,-PMT(Inputs!B20,Inputs!B21,C7*Inputs!B19)))</s:f>
        <s:v>65368.44756082249</s:v>
      </s:c>
      <s:c r="G7" s="5">
        <s:f>E7-F7</s:f>
        <s:v>3672.8024391775107</s:v>
      </s:c>
      <s:c r="H7" s="6">
        <s:f>E7/C7</s:f>
        <s:v>0.024929858959637757</s:v>
      </s:c>
      <s:c r="I7" s="5">
        <s:f>IF(F7=0,999,E7/F7)</s:f>
        <s:v>1.0561861658984655</s:v>
      </s:c>
      <s:c r="J7" s="5" t="str">
        <s:f>IF(AND(C7&lt;=Inputs!B22,D7&lt;=Inputs!B23,G7&gt;0,I7&gt;=Inputs!B24,A7&lt;=Inputs!B29),"YES","NO")</s:f>
        <s:v>NO</s:v>
      </s:c>
      <s:c r="K7" s="5">
        <s:f>IF(J7="YES",G7,-1)</s:f>
        <s:v>-1</s:v>
      </s:c>
    </s:row>
    <s:row r="8">
      <s:c r="A8" s="2" t="n">
        <s:v>18</s:v>
      </s:c>
      <s:c r="B8" s="5">
        <s:f>A8*Inputs!B11</s:f>
        <s:v>612</s:v>
      </s:c>
      <s:c r="C8" s="5">
        <s:f>Inputs!B10+Inputs!B14+(B8*Inputs!B12+A8*Inputs!B13)*(1+Inputs!B15)</s:f>
        <s:v>2864680.0</s:v>
      </s:c>
      <s:c r="D8" s="5">
        <s:f>C8*(1-Inputs!B19)</s:f>
        <s:v>1862042.0</s:v>
      </s:c>
      <s:c r="E8" s="5">
        <s:f>A8*Investment!B2*Inputs!B9*Inputs!B8*(1-Inputs!B16)</s:f>
        <s:v>73102.5</s:v>
      </s:c>
      <s:c r="F8" s="5">
        <s:f>IF(Inputs!B19=0,0,IF(Inputs!B20=0,C8*Inputs!B19/Inputs!B21,-PMT(Inputs!B20,Inputs!B21,C8*Inputs!B19)))</s:f>
        <s:v>67616.9321946606</s:v>
      </s:c>
      <s:c r="G8" s="5">
        <s:f>E8-F8</s:f>
        <s:v>5485.567805339393</s:v>
      </s:c>
      <s:c r="H8" s="6">
        <s:f>E8/C8</s:f>
        <s:v>0.025518557046511302</s:v>
      </s:c>
      <s:c r="I8" s="5">
        <s:f>IF(F8=0,999,E8/F8)</s:f>
        <s:v>1.0811271323216372</s:v>
      </s:c>
      <s:c r="J8" s="5" t="str">
        <s:f>IF(AND(C8&lt;=Inputs!B22,D8&lt;=Inputs!B23,G8&gt;0,I8&gt;=Inputs!B24,A8&lt;=Inputs!B29),"YES","NO")</s:f>
        <s:v>NO</s:v>
      </s:c>
      <s:c r="K8" s="5">
        <s:f>IF(J8="YES",G8,-1)</s:f>
        <s:v>-1</s:v>
      </s:c>
    </s:row>
    <s:row r="9">
      <s:c r="A9" s="2" t="n">
        <s:v>19</s:v>
      </s:c>
      <s:c r="B9" s="5">
        <s:f>A9*Inputs!B11</s:f>
        <s:v>646</s:v>
      </s:c>
      <s:c r="C9" s="5">
        <s:f>Inputs!B10+Inputs!B14+(B9*Inputs!B12+A9*Inputs!B13)*(1+Inputs!B15)</s:f>
        <s:v>2959940.0</s:v>
      </s:c>
      <s:c r="D9" s="5">
        <s:f>C9*(1-Inputs!B19)</s:f>
        <s:v>1923961.0</s:v>
      </s:c>
      <s:c r="E9" s="5">
        <s:f>A9*Investment!B2*Inputs!B9*Inputs!B8*(1-Inputs!B16)</s:f>
        <s:v>77163.75</s:v>
      </s:c>
      <s:c r="F9" s="5">
        <s:f>IF(Inputs!B19=0,0,IF(Inputs!B20=0,C9*Inputs!B19/Inputs!B21,-PMT(Inputs!B20,Inputs!B21,C9*Inputs!B19)))</s:f>
        <s:v>69865.41682849872</s:v>
      </s:c>
      <s:c r="G9" s="5">
        <s:f>E9-F9</s:f>
        <s:v>7298.3331715012755</s:v>
      </s:c>
      <s:c r="H9" s="6">
        <s:f>E9/C9</s:f>
        <s:v>0.026069362892491062</s:v>
      </s:c>
      <s:c r="I9" s="5">
        <s:f>IF(F9=0,999,E9/F9)</s:f>
        <s:v>1.1044627442704131</s:v>
      </s:c>
      <s:c r="J9" s="5" t="str">
        <s:f>IF(AND(C9&lt;=Inputs!B22,D9&lt;=Inputs!B23,G9&gt;0,I9&gt;=Inputs!B24,A9&lt;=Inputs!B29),"YES","NO")</s:f>
        <s:v>NO</s:v>
      </s:c>
      <s:c r="K9" s="5">
        <s:f>IF(J9="YES",G9,-1)</s:f>
        <s:v>-1</s:v>
      </s:c>
    </s:row>
    <s:row r="10">
      <s:c r="A10" s="2" t="n">
        <s:v>20</s:v>
      </s:c>
      <s:c r="B10" s="5">
        <s:f>A10*Inputs!B11</s:f>
        <s:v>680</s:v>
      </s:c>
      <s:c r="C10" s="5">
        <s:f>Inputs!B10+Inputs!B14+(B10*Inputs!B12+A10*Inputs!B13)*(1+Inputs!B15)</s:f>
        <s:v>3055200.0</s:v>
      </s:c>
      <s:c r="D10" s="5">
        <s:f>C10*(1-Inputs!B19)</s:f>
        <s:v>1985880.0</s:v>
      </s:c>
      <s:c r="E10" s="5">
        <s:f>A10*Investment!B2*Inputs!B9*Inputs!B8*(1-Inputs!B16)</s:f>
        <s:v>81225.0</s:v>
      </s:c>
      <s:c r="F10" s="5">
        <s:f>IF(Inputs!B19=0,0,IF(Inputs!B20=0,C10*Inputs!B19/Inputs!B21,-PMT(Inputs!B20,Inputs!B21,C10*Inputs!B19)))</s:f>
        <s:v>72113.90146233684</s:v>
      </s:c>
      <s:c r="G10" s="5">
        <s:f>E10-F10</s:f>
        <s:v>9111.098537663158</s:v>
      </s:c>
      <s:c r="H10" s="6">
        <s:f>E10/C10</s:f>
        <s:v>0.02658582089552239</s:v>
      </s:c>
      <s:c r="I10" s="5">
        <s:f>IF(F10=0,999,E10/F10)</s:f>
        <s:v>1.1263431648115951</s:v>
      </s:c>
      <s:c r="J10" s="5" t="str">
        <s:f>IF(AND(C10&lt;=Inputs!B22,D10&lt;=Inputs!B23,G10&gt;0,I10&gt;=Inputs!B24,A10&lt;=Inputs!B29),"YES","NO")</s:f>
        <s:v>NO</s:v>
      </s:c>
      <s:c r="K10" s="5">
        <s:f>IF(J10="YES",G10,-1)</s:f>
        <s:v>-1</s:v>
      </s:c>
    </s:row>
    <s:row r="11">
      <s:c r="A11" s="2" t="n">
        <s:v>21</s:v>
      </s:c>
      <s:c r="B11" s="5">
        <s:f>A11*Inputs!B11</s:f>
        <s:v>714</s:v>
      </s:c>
      <s:c r="C11" s="5">
        <s:f>Inputs!B10+Inputs!B14+(B11*Inputs!B12+A11*Inputs!B13)*(1+Inputs!B15)</s:f>
        <s:v>3150460.0</s:v>
      </s:c>
      <s:c r="D11" s="5">
        <s:f>C11*(1-Inputs!B19)</s:f>
        <s:v>2047799.0</s:v>
      </s:c>
      <s:c r="E11" s="5">
        <s:f>A11*Investment!B2*Inputs!B9*Inputs!B8*(1-Inputs!B16)</s:f>
        <s:v>85286.25</s:v>
      </s:c>
      <s:c r="F11" s="5">
        <s:f>IF(Inputs!B19=0,0,IF(Inputs!B20=0,C11*Inputs!B19/Inputs!B21,-PMT(Inputs!B20,Inputs!B21,C11*Inputs!B19)))</s:f>
        <s:v>74362.38609617496</s:v>
      </s:c>
      <s:c r="G11" s="5">
        <s:f>E11-F11</s:f>
        <s:v>10923.86390382504</s:v>
      </s:c>
      <s:c r="H11" s="6">
        <s:f>E11/C11</s:f>
        <s:v>0.027071046767773596</s:v>
      </s:c>
      <s:c r="I11" s="5">
        <s:f>IF(F11=0,999,E11/F11)</s:f>
        <s:v>1.1469003951768963</s:v>
      </s:c>
      <s:c r="J11" s="5" t="str">
        <s:f>IF(AND(C11&lt;=Inputs!B22,D11&lt;=Inputs!B23,G11&gt;0,I11&gt;=Inputs!B24,A11&lt;=Inputs!B29),"YES","NO")</s:f>
        <s:v>NO</s:v>
      </s:c>
      <s:c r="K11" s="5">
        <s:f>IF(J11="YES",G11,-1)</s:f>
        <s:v>-1</s:v>
      </s:c>
    </s:row>
    <s:row r="12">
      <s:c r="A12" s="2" t="n">
        <s:v>22</s:v>
      </s:c>
      <s:c r="B12" s="5">
        <s:f>A12*Inputs!B11</s:f>
        <s:v>748</s:v>
      </s:c>
      <s:c r="C12" s="5">
        <s:f>Inputs!B10+Inputs!B14+(B12*Inputs!B12+A12*Inputs!B13)*(1+Inputs!B15)</s:f>
        <s:v>3245720.0</s:v>
      </s:c>
      <s:c r="D12" s="5">
        <s:f>C12*(1-Inputs!B19)</s:f>
        <s:v>2109718.0</s:v>
      </s:c>
      <s:c r="E12" s="5">
        <s:f>A12*Investment!B2*Inputs!B9*Inputs!B8*(1-Inputs!B16)</s:f>
        <s:v>89347.5</s:v>
      </s:c>
      <s:c r="F12" s="5">
        <s:f>IF(Inputs!B19=0,0,IF(Inputs!B20=0,C12*Inputs!B19/Inputs!B21,-PMT(Inputs!B20,Inputs!B21,C12*Inputs!B19)))</s:f>
        <s:v>76610.87073001308</s:v>
      </s:c>
      <s:c r="G12" s="5">
        <s:f>E12-F12</s:f>
        <s:v>12736.629269986923</s:v>
      </s:c>
      <s:c r="H12" s="6">
        <s:f>E12/C12</s:f>
        <s:v>0.02752779044403091</s:v>
      </s:c>
      <s:c r="I12" s="5">
        <s:f>IF(F12=0,999,E12/F12)</s:f>
        <s:v>1.1662509399595848</s:v>
      </s:c>
      <s:c r="J12" s="5" t="str">
        <s:f>IF(AND(C12&lt;=Inputs!B22,D12&lt;=Inputs!B23,G12&gt;0,I12&gt;=Inputs!B24,A12&lt;=Inputs!B29),"YES","NO")</s:f>
        <s:v>NO</s:v>
      </s:c>
      <s:c r="K12" s="5">
        <s:f>IF(J12="YES",G12,-1)</s:f>
        <s:v>-1</s:v>
      </s:c>
    </s:row>
    <s:row r="13">
      <s:c r="A13" s="2" t="n">
        <s:v>23</s:v>
      </s:c>
      <s:c r="B13" s="5">
        <s:f>A13*Inputs!B11</s:f>
        <s:v>782</s:v>
      </s:c>
      <s:c r="C13" s="5">
        <s:f>Inputs!B10+Inputs!B14+(B13*Inputs!B12+A13*Inputs!B13)*(1+Inputs!B15)</s:f>
        <s:v>3340980.0</s:v>
      </s:c>
      <s:c r="D13" s="5">
        <s:f>C13*(1-Inputs!B19)</s:f>
        <s:v>2171637.0</s:v>
      </s:c>
      <s:c r="E13" s="5">
        <s:f>A13*Investment!B2*Inputs!B9*Inputs!B8*(1-Inputs!B16)</s:f>
        <s:v>93408.75</s:v>
      </s:c>
      <s:c r="F13" s="5">
        <s:f>IF(Inputs!B19=0,0,IF(Inputs!B20=0,C13*Inputs!B19/Inputs!B21,-PMT(Inputs!B20,Inputs!B21,C13*Inputs!B19)))</s:f>
        <s:v>78859.35536385118</s:v>
      </s:c>
      <s:c r="G13" s="5">
        <s:f>E13-F13</s:f>
        <s:v>14549.39463614882</s:v>
      </s:c>
      <s:c r="H13" s="6">
        <s:f>E13/C13</s:f>
        <s:v>0.027958488228004955</s:v>
      </s:c>
      <s:c r="I13" s="5">
        <s:f>IF(F13=0,999,E13/F13)</s:f>
        <s:v>1.1844980163611407</s:v>
      </s:c>
      <s:c r="J13" s="5" t="str">
        <s:f>IF(AND(C13&lt;=Inputs!B22,D13&lt;=Inputs!B23,G13&gt;0,I13&gt;=Inputs!B24,A13&lt;=Inputs!B29),"YES","NO")</s:f>
        <s:v>NO</s:v>
      </s:c>
      <s:c r="K13" s="5">
        <s:f>IF(J13="YES",G13,-1)</s:f>
        <s:v>-1</s:v>
      </s:c>
    </s:row>
    <s:row r="14">
      <s:c r="A14" s="2" t="n">
        <s:v>24</s:v>
      </s:c>
      <s:c r="B14" s="5">
        <s:f>A14*Inputs!B11</s:f>
        <s:v>816</s:v>
      </s:c>
      <s:c r="C14" s="5">
        <s:f>Inputs!B10+Inputs!B14+(B14*Inputs!B12+A14*Inputs!B13)*(1+Inputs!B15)</s:f>
        <s:v>3436240.0</s:v>
      </s:c>
      <s:c r="D14" s="5">
        <s:f>C14*(1-Inputs!B19)</s:f>
        <s:v>2233556.0</s:v>
      </s:c>
      <s:c r="E14" s="5">
        <s:f>A14*Investment!B2*Inputs!B9*Inputs!B8*(1-Inputs!B16)</s:f>
        <s:v>97470.0</s:v>
      </s:c>
      <s:c r="F14" s="5">
        <s:f>IF(Inputs!B19=0,0,IF(Inputs!B20=0,C14*Inputs!B19/Inputs!B21,-PMT(Inputs!B20,Inputs!B21,C14*Inputs!B19)))</s:f>
        <s:v>81107.8399976893</s:v>
      </s:c>
      <s:c r="G14" s="5">
        <s:f>E14-F14</s:f>
        <s:v>16362.160002310702</s:v>
      </s:c>
      <s:c r="H14" s="6">
        <s:f>E14/C14</s:f>
        <s:v>0.028365306264987313</s:v>
      </s:c>
      <s:c r="I14" s="5">
        <s:f>IF(F14=0,999,E14/F14)</s:f>
        <s:v>1.2017333959673546</s:v>
      </s:c>
      <s:c r="J14" s="5" t="str">
        <s:f>IF(AND(C14&lt;=Inputs!B22,D14&lt;=Inputs!B23,G14&gt;0,I14&gt;=Inputs!B24,A14&lt;=Inputs!B29),"YES","NO")</s:f>
        <s:v>YES</s:v>
      </s:c>
      <s:c r="K14" s="5">
        <s:f>IF(J14="YES",G14,-1)</s:f>
        <s:v>16362.160002310702</s:v>
      </s:c>
    </s:row>
    <s:row r="15">
      <s:c r="A15" s="2" t="n">
        <s:v>25</s:v>
      </s:c>
      <s:c r="B15" s="5">
        <s:f>A15*Inputs!B11</s:f>
        <s:v>850</s:v>
      </s:c>
      <s:c r="C15" s="5">
        <s:f>Inputs!B10+Inputs!B14+(B15*Inputs!B12+A15*Inputs!B13)*(1+Inputs!B15)</s:f>
        <s:v>3531500.0</s:v>
      </s:c>
      <s:c r="D15" s="5">
        <s:f>C15*(1-Inputs!B19)</s:f>
        <s:v>2295475.0</s:v>
      </s:c>
      <s:c r="E15" s="5">
        <s:f>A15*Investment!B2*Inputs!B9*Inputs!B8*(1-Inputs!B16)</s:f>
        <s:v>101531.25</s:v>
      </s:c>
      <s:c r="F15" s="5">
        <s:f>IF(Inputs!B19=0,0,IF(Inputs!B20=0,C15*Inputs!B19/Inputs!B21,-PMT(Inputs!B20,Inputs!B21,C15*Inputs!B19)))</s:f>
        <s:v>83356.32463152742</s:v>
      </s:c>
      <s:c r="G15" s="5">
        <s:f>E15-F15</s:f>
        <s:v>18174.925368472585</s:v>
      </s:c>
      <s:c r="H15" s="6">
        <s:f>E15/C15</s:f>
        <s:v>0.02875017697862098</s:v>
      </s:c>
      <s:c r="I15" s="5">
        <s:f>IF(F15=0,999,E15/F15)</s:f>
        <s:v>1.218038948439893</s:v>
      </s:c>
      <s:c r="J15" s="5" t="str">
        <s:f>IF(AND(C15&lt;=Inputs!B22,D15&lt;=Inputs!B23,G15&gt;0,I15&gt;=Inputs!B24,A15&lt;=Inputs!B29),"YES","NO")</s:f>
        <s:v>YES</s:v>
      </s:c>
      <s:c r="K15" s="5">
        <s:f>IF(J15="YES",G15,-1)</s:f>
        <s:v>18174.925368472585</s:v>
      </s:c>
    </s:row>
    <s:row r="16">
      <s:c r="A16" s="2" t="n">
        <s:v>26</s:v>
      </s:c>
      <s:c r="B16" s="5">
        <s:f>A16*Inputs!B11</s:f>
        <s:v>884</s:v>
      </s:c>
      <s:c r="C16" s="5">
        <s:f>Inputs!B10+Inputs!B14+(B16*Inputs!B12+A16*Inputs!B13)*(1+Inputs!B15)</s:f>
        <s:v>3626760.0</s:v>
      </s:c>
      <s:c r="D16" s="5">
        <s:f>C16*(1-Inputs!B19)</s:f>
        <s:v>2357394.0</s:v>
      </s:c>
      <s:c r="E16" s="5">
        <s:f>A16*Investment!B2*Inputs!B9*Inputs!B8*(1-Inputs!B16)</s:f>
        <s:v>105592.5</s:v>
      </s:c>
      <s:c r="F16" s="5">
        <s:f>IF(Inputs!B19=0,0,IF(Inputs!B20=0,C16*Inputs!B19/Inputs!B21,-PMT(Inputs!B20,Inputs!B21,C16*Inputs!B19)))</s:f>
        <s:v>85604.80926536553</s:v>
      </s:c>
      <s:c r="G16" s="5">
        <s:f>E16-F16</s:f>
        <s:v>19987.690734634467</s:v>
      </s:c>
      <s:c r="H16" s="6">
        <s:f>E16/C16</s:f>
        <s:v>0.02911482976541045</s:v>
      </s:c>
      <s:c r="I16" s="5">
        <s:f>IF(F16=0,999,E16/F16)</s:f>
        <s:v>1.2334879419294635</s:v>
      </s:c>
      <s:c r="J16" s="5" t="str">
        <s:f>IF(AND(C16&lt;=Inputs!B22,D16&lt;=Inputs!B23,G16&gt;0,I16&gt;=Inputs!B24,A16&lt;=Inputs!B29),"YES","NO")</s:f>
        <s:v>YES</s:v>
      </s:c>
      <s:c r="K16" s="5">
        <s:f>IF(J16="YES",G16,-1)</s:f>
        <s:v>19987.690734634467</s:v>
      </s:c>
    </s:row>
    <s:row r="17">
      <s:c r="A17" s="2" t="n">
        <s:v>27</s:v>
      </s:c>
      <s:c r="B17" s="5">
        <s:f>A17*Inputs!B11</s:f>
        <s:v>918</s:v>
      </s:c>
      <s:c r="C17" s="5">
        <s:f>Inputs!B10+Inputs!B14+(B17*Inputs!B12+A17*Inputs!B13)*(1+Inputs!B15)</s:f>
        <s:v>3722020.0</s:v>
      </s:c>
      <s:c r="D17" s="5">
        <s:f>C17*(1-Inputs!B19)</s:f>
        <s:v>2419313.0</s:v>
      </s:c>
      <s:c r="E17" s="5">
        <s:f>A17*Investment!B2*Inputs!B9*Inputs!B8*(1-Inputs!B16)</s:f>
        <s:v>109653.75</s:v>
      </s:c>
      <s:c r="F17" s="5">
        <s:f>IF(Inputs!B19=0,0,IF(Inputs!B20=0,C17*Inputs!B19/Inputs!B21,-PMT(Inputs!B20,Inputs!B21,C17*Inputs!B19)))</s:f>
        <s:v>87853.29389920364</s:v>
      </s:c>
      <s:c r="G17" s="5">
        <s:f>E17-F17</s:f>
        <s:v>21800.456100796364</s:v>
      </s:c>
      <s:c r="H17" s="6">
        <s:f>E17/C17</s:f>
        <s:v>0.029460816975728235</s:v>
      </s:c>
      <s:c r="I17" s="5">
        <s:f>IF(F17=0,999,E17/F17)</s:f>
        <s:v>1.2481461437952297</s:v>
      </s:c>
      <s:c r="J17" s="5" t="str">
        <s:f>IF(AND(C17&lt;=Inputs!B22,D17&lt;=Inputs!B23,G17&gt;0,I17&gt;=Inputs!B24,A17&lt;=Inputs!B29),"YES","NO")</s:f>
        <s:v>YES</s:v>
      </s:c>
      <s:c r="K17" s="5">
        <s:f>IF(J17="YES",G17,-1)</s:f>
        <s:v>21800.456100796364</s:v>
      </s:c>
    </s:row>
    <s:row r="18">
      <s:c r="A18" s="2" t="n">
        <s:v>28</s:v>
      </s:c>
      <s:c r="B18" s="5">
        <s:f>A18*Inputs!B11</s:f>
        <s:v>952</s:v>
      </s:c>
      <s:c r="C18" s="5">
        <s:f>Inputs!B10+Inputs!B14+(B18*Inputs!B12+A18*Inputs!B13)*(1+Inputs!B15)</s:f>
        <s:v>3817280.0</s:v>
      </s:c>
      <s:c r="D18" s="5">
        <s:f>C18*(1-Inputs!B19)</s:f>
        <s:v>2481232.0</s:v>
      </s:c>
      <s:c r="E18" s="5">
        <s:f>A18*Investment!B2*Inputs!B9*Inputs!B8*(1-Inputs!B16)</s:f>
        <s:v>113715.0</s:v>
      </s:c>
      <s:c r="F18" s="5">
        <s:f>IF(Inputs!B19=0,0,IF(Inputs!B20=0,C18*Inputs!B19/Inputs!B21,-PMT(Inputs!B20,Inputs!B21,C18*Inputs!B19)))</s:f>
        <s:v>90101.77853304175</s:v>
      </s:c>
      <s:c r="G18" s="5">
        <s:f>E18-F18</s:f>
        <s:v>23613.221466958246</s:v>
      </s:c>
      <s:c r="H18" s="6">
        <s:f>E18/C18</s:f>
        <s:v>0.02978953600469444</s:v>
      </s:c>
      <s:c r="I18" s="5">
        <s:f>IF(F18=0,999,E18/F18)</s:f>
        <s:v>1.2620727565138894</s:v>
      </s:c>
      <s:c r="J18" s="5" t="str">
        <s:f>IF(AND(C18&lt;=Inputs!B22,D18&lt;=Inputs!B23,G18&gt;0,I18&gt;=Inputs!B24,A18&lt;=Inputs!B29),"YES","NO")</s:f>
        <s:v>YES</s:v>
      </s:c>
      <s:c r="K18" s="5">
        <s:f>IF(J18="YES",G18,-1)</s:f>
        <s:v>23613.221466958246</s:v>
      </s:c>
    </s:row>
    <s:row r="19">
      <s:c r="A19" s="2" t="n">
        <s:v>29</s:v>
      </s:c>
      <s:c r="B19" s="5">
        <s:f>A19*Inputs!B11</s:f>
        <s:v>986</s:v>
      </s:c>
      <s:c r="C19" s="5">
        <s:f>Inputs!B10+Inputs!B14+(B19*Inputs!B12+A19*Inputs!B13)*(1+Inputs!B15)</s:f>
        <s:v>3912540.0</s:v>
      </s:c>
      <s:c r="D19" s="5">
        <s:f>C19*(1-Inputs!B19)</s:f>
        <s:v>2543151.0</s:v>
      </s:c>
      <s:c r="E19" s="5">
        <s:f>A19*Investment!B2*Inputs!B9*Inputs!B8*(1-Inputs!B16)</s:f>
        <s:v>117776.25</s:v>
      </s:c>
      <s:c r="F19" s="5">
        <s:f>IF(Inputs!B19=0,0,IF(Inputs!B20=0,C19*Inputs!B19/Inputs!B21,-PMT(Inputs!B20,Inputs!B21,C19*Inputs!B19)))</s:f>
        <s:v>92350.26316687987</s:v>
      </s:c>
      <s:c r="G19" s="5">
        <s:f>E19-F19</s:f>
        <s:v>25425.98683312013</s:v>
      </s:c>
      <s:c r="H19" s="6">
        <s:f>E19/C19</s:f>
        <s:v>0.030102248155929396</s:v>
      </s:c>
      <s:c r="I19" s="5">
        <s:f>IF(F19=0,999,E19/F19)</s:f>
        <s:v>1.2753212168672932</s:v>
      </s:c>
      <s:c r="J19" s="5" t="str">
        <s:f>IF(AND(C19&lt;=Inputs!B22,D19&lt;=Inputs!B23,G19&gt;0,I19&gt;=Inputs!B24,A19&lt;=Inputs!B29),"YES","NO")</s:f>
        <s:v>YES</s:v>
      </s:c>
      <s:c r="K19" s="5">
        <s:f>IF(J19="YES",G19,-1)</s:f>
        <s:v>25425.98683312013</s:v>
      </s:c>
    </s:row>
    <s:row r="20">
      <s:c r="A20" s="2" t="n">
        <s:v>30</s:v>
      </s:c>
      <s:c r="B20" s="5">
        <s:f>A20*Inputs!B11</s:f>
        <s:v>1020</s:v>
      </s:c>
      <s:c r="C20" s="5">
        <s:f>Inputs!B10+Inputs!B14+(B20*Inputs!B12+A20*Inputs!B13)*(1+Inputs!B15)</s:f>
        <s:v>4007800.0</s:v>
      </s:c>
      <s:c r="D20" s="5">
        <s:f>C20*(1-Inputs!B19)</s:f>
        <s:v>2605070.0</s:v>
      </s:c>
      <s:c r="E20" s="5">
        <s:f>A20*Investment!B2*Inputs!B9*Inputs!B8*(1-Inputs!B16)</s:f>
        <s:v>121837.5</s:v>
      </s:c>
      <s:c r="F20" s="5">
        <s:f>IF(Inputs!B19=0,0,IF(Inputs!B20=0,C20*Inputs!B19/Inputs!B21,-PMT(Inputs!B20,Inputs!B21,C20*Inputs!B19)))</s:f>
        <s:v>94598.74780071799</s:v>
      </s:c>
      <s:c r="G20" s="5">
        <s:f>E20-F20</s:f>
        <s:v>27238.75219928201</s:v>
      </s:c>
      <s:c r="H20" s="6">
        <s:f>E20/C20</s:f>
        <s:v>0.030400094815110534</s:v>
      </s:c>
      <s:c r="I20" s="5">
        <s:f>IF(F20=0,999,E20/F20)</s:f>
        <s:v>1.2879398811563896</s:v>
      </s:c>
      <s:c r="J20" s="5" t="str">
        <s:f>IF(AND(C20&lt;=Inputs!B22,D20&lt;=Inputs!B23,G20&gt;0,I20&gt;=Inputs!B24,A20&lt;=Inputs!B29),"YES","NO")</s:f>
        <s:v>YES</s:v>
      </s:c>
      <s:c r="K20" s="5">
        <s:f>IF(J20="YES",G20,-1)</s:f>
        <s:v>27238.75219928201</s:v>
      </s:c>
    </s:row>
    <s:row r="21">
      <s:c r="A21" s="2" t="n">
        <s:v>31</s:v>
      </s:c>
      <s:c r="B21" s="5">
        <s:f>A21*Inputs!B11</s:f>
        <s:v>1054</s:v>
      </s:c>
      <s:c r="C21" s="5">
        <s:f>Inputs!B10+Inputs!B14+(B21*Inputs!B12+A21*Inputs!B13)*(1+Inputs!B15)</s:f>
        <s:v>4103060.0000000005</s:v>
      </s:c>
      <s:c r="D21" s="5">
        <s:f>C21*(1-Inputs!B19)</s:f>
        <s:v>2666989.0000000005</s:v>
      </s:c>
      <s:c r="E21" s="5">
        <s:f>A21*Investment!B2*Inputs!B9*Inputs!B8*(1-Inputs!B16)</s:f>
        <s:v>125898.75</s:v>
      </s:c>
      <s:c r="F21" s="5">
        <s:f>IF(Inputs!B19=0,0,IF(Inputs!B20=0,C21*Inputs!B19/Inputs!B21,-PMT(Inputs!B20,Inputs!B21,C21*Inputs!B19)))</s:f>
        <s:v>96847.2324345561</s:v>
      </s:c>
      <s:c r="G21" s="5">
        <s:f>E21-F21</s:f>
        <s:v>29051.517565443894</s:v>
      </s:c>
      <s:c r="H21" s="6">
        <s:f>E21/C21</s:f>
        <s:v>0.030684111370538083</s:v>
      </s:c>
      <s:c r="I21" s="5">
        <s:f>IF(F21=0,999,E21/F21)</s:f>
        <s:v>1.2999726149642457</s:v>
      </s:c>
      <s:c r="J21" s="5" t="str">
        <s:f>IF(AND(C21&lt;=Inputs!B22,D21&lt;=Inputs!B23,G21&gt;0,I21&gt;=Inputs!B24,A21&lt;=Inputs!B29),"YES","NO")</s:f>
        <s:v>YES</s:v>
      </s:c>
      <s:c r="K21" s="5">
        <s:f>IF(J21="YES",G21,-1)</s:f>
        <s:v>29051.517565443894</s:v>
      </s:c>
    </s:row>
    <s:row r="22">
      <s:c r="A22" s="2" t="n">
        <s:v>32</s:v>
      </s:c>
      <s:c r="B22" s="5">
        <s:f>A22*Inputs!B11</s:f>
        <s:v>1088</s:v>
      </s:c>
      <s:c r="C22" s="5">
        <s:f>Inputs!B10+Inputs!B14+(B22*Inputs!B12+A22*Inputs!B13)*(1+Inputs!B15)</s:f>
        <s:v>4198320.0</s:v>
      </s:c>
      <s:c r="D22" s="5">
        <s:f>C22*(1-Inputs!B19)</s:f>
        <s:v>2728908.0</s:v>
      </s:c>
      <s:c r="E22" s="5">
        <s:f>A22*Investment!B2*Inputs!B9*Inputs!B8*(1-Inputs!B16)</s:f>
        <s:v>129960.0</s:v>
      </s:c>
      <s:c r="F22" s="5">
        <s:f>IF(Inputs!B19=0,0,IF(Inputs!B20=0,C22*Inputs!B19/Inputs!B21,-PMT(Inputs!B20,Inputs!B21,C22*Inputs!B19)))</s:f>
        <s:v>99095.71706839421</s:v>
      </s:c>
      <s:c r="G22" s="5">
        <s:f>E22-F22</s:f>
        <s:v>30864.28293160579</s:v>
      </s:c>
      <s:c r="H22" s="6">
        <s:f>E22/C22</s:f>
        <s:v>0.030955239238552566</s:v>
      </s:c>
      <s:c r="I22" s="5">
        <s:f>IF(F22=0,999,E22/F22)</s:f>
        <s:v>1.311459302628627</s:v>
      </s:c>
      <s:c r="J22" s="5" t="str">
        <s:f>IF(AND(C22&lt;=Inputs!B22,D22&lt;=Inputs!B23,G22&gt;0,I22&gt;=Inputs!B24,A22&lt;=Inputs!B29),"YES","NO")</s:f>
        <s:v>YES</s:v>
      </s:c>
      <s:c r="K22" s="5">
        <s:f>IF(J22="YES",G22,-1)</s:f>
        <s:v>30864.28293160579</s:v>
      </s:c>
    </s:row>
    <s:row r="23">
      <s:c r="A23" s="2" t="n">
        <s:v>33</s:v>
      </s:c>
      <s:c r="B23" s="5">
        <s:f>A23*Inputs!B11</s:f>
        <s:v>1122</s:v>
      </s:c>
      <s:c r="C23" s="5">
        <s:f>Inputs!B10+Inputs!B14+(B23*Inputs!B12+A23*Inputs!B13)*(1+Inputs!B15)</s:f>
        <s:v>4293580.0</s:v>
      </s:c>
      <s:c r="D23" s="5">
        <s:f>C23*(1-Inputs!B19)</s:f>
        <s:v>2790827.0</s:v>
      </s:c>
      <s:c r="E23" s="5">
        <s:f>A23*Investment!B2*Inputs!B9*Inputs!B8*(1-Inputs!B16)</s:f>
        <s:v>134021.25</s:v>
      </s:c>
      <s:c r="F23" s="5">
        <s:f>IF(Inputs!B19=0,0,IF(Inputs!B20=0,C23*Inputs!B19/Inputs!B21,-PMT(Inputs!B20,Inputs!B21,C23*Inputs!B19)))</s:f>
        <s:v>101344.20170223233</s:v>
      </s:c>
      <s:c r="G23" s="5">
        <s:f>E23-F23</s:f>
        <s:v>32677.048297767673</s:v>
      </s:c>
      <s:c r="H23" s="6">
        <s:f>E23/C23</s:f>
        <s:v>0.031214336288132513</s:v>
      </s:c>
      <s:c r="I23" s="5">
        <s:f>IF(F23=0,999,E23/F23)</s:f>
        <s:v>1.3224362888937522</s:v>
      </s:c>
      <s:c r="J23" s="5" t="str">
        <s:f>IF(AND(C23&lt;=Inputs!B22,D23&lt;=Inputs!B23,G23&gt;0,I23&gt;=Inputs!B24,A23&lt;=Inputs!B29),"YES","NO")</s:f>
        <s:v>YES</s:v>
      </s:c>
      <s:c r="K23" s="5">
        <s:f>IF(J23="YES",G23,-1)</s:f>
        <s:v>32677.048297767673</s:v>
      </s:c>
    </s:row>
    <s:row r="24">
      <s:c r="A24" s="2" t="n">
        <s:v>34</s:v>
      </s:c>
      <s:c r="B24" s="5">
        <s:f>A24*Inputs!B11</s:f>
        <s:v>1156</s:v>
      </s:c>
      <s:c r="C24" s="5">
        <s:f>Inputs!B10+Inputs!B14+(B24*Inputs!B12+A24*Inputs!B13)*(1+Inputs!B15)</s:f>
        <s:v>4388840.0</s:v>
      </s:c>
      <s:c r="D24" s="5">
        <s:f>C24*(1-Inputs!B19)</s:f>
        <s:v>2852746.0</s:v>
      </s:c>
      <s:c r="E24" s="5">
        <s:f>A24*Investment!B2*Inputs!B9*Inputs!B8*(1-Inputs!B16)</s:f>
        <s:v>138082.5</s:v>
      </s:c>
      <s:c r="F24" s="5">
        <s:f>IF(Inputs!B19=0,0,IF(Inputs!B20=0,C24*Inputs!B19/Inputs!B21,-PMT(Inputs!B20,Inputs!B21,C24*Inputs!B19)))</s:f>
        <s:v>103592.68633607044</s:v>
      </s:c>
      <s:c r="G24" s="5">
        <s:f>E24-F24</s:f>
        <s:v>34489.813663929555</s:v>
      </s:c>
      <s:c r="H24" s="6">
        <s:f>E24/C24</s:f>
        <s:v>0.03146218590789366</s:v>
      </s:c>
      <s:c r="I24" s="5">
        <s:f>IF(F24=0,999,E24/F24)</s:f>
        <s:v>1.332936763045601</s:v>
      </s:c>
      <s:c r="J24" s="5" t="str">
        <s:f>IF(AND(C24&lt;=Inputs!B22,D24&lt;=Inputs!B23,G24&gt;0,I24&gt;=Inputs!B24,A24&lt;=Inputs!B29),"YES","NO")</s:f>
        <s:v>YES</s:v>
      </s:c>
      <s:c r="K24" s="5">
        <s:f>IF(J24="YES",G24,-1)</s:f>
        <s:v>34489.813663929555</s:v>
      </s:c>
    </s:row>
    <s:row r="25">
      <s:c r="A25" s="2" t="n">
        <s:v>35</s:v>
      </s:c>
      <s:c r="B25" s="5">
        <s:f>A25*Inputs!B11</s:f>
        <s:v>1190</s:v>
      </s:c>
      <s:c r="C25" s="5">
        <s:f>Inputs!B10+Inputs!B14+(B25*Inputs!B12+A25*Inputs!B13)*(1+Inputs!B15)</s:f>
        <s:v>4484100.0</s:v>
      </s:c>
      <s:c r="D25" s="5">
        <s:f>C25*(1-Inputs!B19)</s:f>
        <s:v>2914665.0</s:v>
      </s:c>
      <s:c r="E25" s="5">
        <s:f>A25*Investment!B2*Inputs!B9*Inputs!B8*(1-Inputs!B16)</s:f>
        <s:v>142143.75</s:v>
      </s:c>
      <s:c r="F25" s="5">
        <s:f>IF(Inputs!B19=0,0,IF(Inputs!B20=0,C25*Inputs!B19/Inputs!B21,-PMT(Inputs!B20,Inputs!B21,C25*Inputs!B19)))</s:f>
        <s:v>105841.17096990856</s:v>
      </s:c>
      <s:c r="G25" s="5">
        <s:f>E25-F25</s:f>
        <s:v>36302.57903009144</s:v>
      </s:c>
      <s:c r="H25" s="6">
        <s:f>E25/C25</s:f>
        <s:v>0.03169950491737472</s:v>
      </s:c>
      <s:c r="I25" s="5">
        <s:f>IF(F25=0,999,E25/F25)</s:f>
        <s:v>1.3429910940839132</s:v>
      </s:c>
      <s:c r="J25" s="5" t="str">
        <s:f>IF(AND(C25&lt;=Inputs!B22,D25&lt;=Inputs!B23,G25&gt;0,I25&gt;=Inputs!B24,A25&lt;=Inputs!B29),"YES","NO")</s:f>
        <s:v>YES</s:v>
      </s:c>
      <s:c r="K25" s="5">
        <s:f>IF(J25="YES",G25,-1)</s:f>
        <s:v>36302.57903009144</s:v>
      </s:c>
    </s:row>
    <s:row r="26">
      <s:c r="A26" s="2" t="n">
        <s:v>36</s:v>
      </s:c>
      <s:c r="B26" s="5">
        <s:f>A26*Inputs!B11</s:f>
        <s:v>1224</s:v>
      </s:c>
      <s:c r="C26" s="5">
        <s:f>Inputs!B10+Inputs!B14+(B26*Inputs!B12+A26*Inputs!B13)*(1+Inputs!B15)</s:f>
        <s:v>4579360.0</s:v>
      </s:c>
      <s:c r="D26" s="5">
        <s:f>C26*(1-Inputs!B19)</s:f>
        <s:v>2976584.0</s:v>
      </s:c>
      <s:c r="E26" s="5">
        <s:f>A26*Investment!B2*Inputs!B9*Inputs!B8*(1-Inputs!B16)</s:f>
        <s:v>146205.0</s:v>
      </s:c>
      <s:c r="F26" s="5">
        <s:f>IF(Inputs!B19=0,0,IF(Inputs!B20=0,C26*Inputs!B19/Inputs!B21,-PMT(Inputs!B20,Inputs!B21,C26*Inputs!B19)))</s:f>
        <s:v>108089.65560374668</s:v>
      </s:c>
      <s:c r="G26" s="5">
        <s:f>E26-F26</s:f>
        <s:v>38115.34439625332</s:v>
      </s:c>
      <s:c r="H26" s="6">
        <s:f>E26/C26</s:f>
        <s:v>0.03192695049089829</s:v>
      </s:c>
      <s:c r="I26" s="5">
        <s:f>IF(F26=0,999,E26/F26)</s:f>
        <s:v>1.3526271240606316</s:v>
      </s:c>
      <s:c r="J26" s="5" t="str">
        <s:f>IF(AND(C26&lt;=Inputs!B22,D26&lt;=Inputs!B23,G26&gt;0,I26&gt;=Inputs!B24,A26&lt;=Inputs!B29),"YES","NO")</s:f>
        <s:v>YES</s:v>
      </s:c>
      <s:c r="K26" s="5">
        <s:f>IF(J26="YES",G26,-1)</s:f>
        <s:v>38115.34439625332</s:v>
      </s:c>
    </s:row>
    <s:row r="27">
      <s:c r="A27" s="2" t="n">
        <s:v>37</s:v>
      </s:c>
      <s:c r="B27" s="5">
        <s:f>A27*Inputs!B11</s:f>
        <s:v>1258</s:v>
      </s:c>
      <s:c r="C27" s="5">
        <s:f>Inputs!B10+Inputs!B14+(B27*Inputs!B12+A27*Inputs!B13)*(1+Inputs!B15)</s:f>
        <s:v>4674620.0</s:v>
      </s:c>
      <s:c r="D27" s="5">
        <s:f>C27*(1-Inputs!B19)</s:f>
        <s:v>3038503.0</s:v>
      </s:c>
      <s:c r="E27" s="5">
        <s:f>A27*Investment!B2*Inputs!B9*Inputs!B8*(1-Inputs!B16)</s:f>
        <s:v>150266.25</s:v>
      </s:c>
      <s:c r="F27" s="5">
        <s:f>IF(Inputs!B19=0,0,IF(Inputs!B20=0,C27*Inputs!B19/Inputs!B21,-PMT(Inputs!B20,Inputs!B21,C27*Inputs!B19)))</s:f>
        <s:v>110338.1402375848</s:v>
      </s:c>
      <s:c r="G27" s="5">
        <s:f>E27-F27</s:f>
        <s:v>39928.1097624152</s:v>
      </s:c>
      <s:c r="H27" s="6">
        <s:f>E27/C27</s:f>
        <s:v>0.03214512623485973</s:v>
      </s:c>
      <s:c r="I27" s="5">
        <s:f>IF(F27=0,999,E27/F27)</s:f>
        <s:v>1.3618704255522187</s:v>
      </s:c>
      <s:c r="J27" s="5" t="str">
        <s:f>IF(AND(C27&lt;=Inputs!B22,D27&lt;=Inputs!B23,G27&gt;0,I27&gt;=Inputs!B24,A27&lt;=Inputs!B29),"YES","NO")</s:f>
        <s:v>YES</s:v>
      </s:c>
      <s:c r="K27" s="5">
        <s:f>IF(J27="YES",G27,-1)</s:f>
        <s:v>39928.1097624152</s:v>
      </s:c>
    </s:row>
    <s:row r="28">
      <s:c r="A28" s="2" t="n">
        <s:v>38</s:v>
      </s:c>
      <s:c r="B28" s="5">
        <s:f>A28*Inputs!B11</s:f>
        <s:v>1292</s:v>
      </s:c>
      <s:c r="C28" s="5">
        <s:f>Inputs!B10+Inputs!B14+(B28*Inputs!B12+A28*Inputs!B13)*(1+Inputs!B15)</s:f>
        <s:v>4769880.0</s:v>
      </s:c>
      <s:c r="D28" s="5">
        <s:f>C28*(1-Inputs!B19)</s:f>
        <s:v>3100422.0</s:v>
      </s:c>
      <s:c r="E28" s="5">
        <s:f>A28*Investment!B2*Inputs!B9*Inputs!B8*(1-Inputs!B16)</s:f>
        <s:v>154327.5</s:v>
      </s:c>
      <s:c r="F28" s="5">
        <s:f>IF(Inputs!B19=0,0,IF(Inputs!B20=0,C28*Inputs!B19/Inputs!B21,-PMT(Inputs!B20,Inputs!B21,C28*Inputs!B19)))</s:f>
        <s:v>112586.62487142292</s:v>
      </s:c>
      <s:c r="G28" s="5">
        <s:f>E28-F28</s:f>
        <s:v>41740.875128577085</s:v>
      </s:c>
      <s:c r="H28" s="6">
        <s:f>E28/C28</s:f>
        <s:v>0.03235458753679338</s:v>
      </s:c>
      <s:c r="I28" s="5">
        <s:f>IF(F28=0,999,E28/F28)</s:f>
        <s:v>1.3707445282798587</s:v>
      </s:c>
      <s:c r="J28" s="5" t="str">
        <s:f>IF(AND(C28&lt;=Inputs!B22,D28&lt;=Inputs!B23,G28&gt;0,I28&gt;=Inputs!B24,A28&lt;=Inputs!B29),"YES","NO")</s:f>
        <s:v>YES</s:v>
      </s:c>
      <s:c r="K28" s="5">
        <s:f>IF(J28="YES",G28,-1)</s:f>
        <s:v>41740.875128577085</s:v>
      </s:c>
    </s:row>
    <s:row r="29">
      <s:c r="A29" s="2" t="n">
        <s:v>39</s:v>
      </s:c>
      <s:c r="B29" s="5">
        <s:f>A29*Inputs!B11</s:f>
        <s:v>1326</s:v>
      </s:c>
      <s:c r="C29" s="5">
        <s:f>Inputs!B10+Inputs!B14+(B29*Inputs!B12+A29*Inputs!B13)*(1+Inputs!B15)</s:f>
        <s:v>4865140.0</s:v>
      </s:c>
      <s:c r="D29" s="5">
        <s:f>C29*(1-Inputs!B19)</s:f>
        <s:v>3162341.0</s:v>
      </s:c>
      <s:c r="E29" s="5">
        <s:f>A29*Investment!B2*Inputs!B9*Inputs!B8*(1-Inputs!B16)</s:f>
        <s:v>158388.75</s:v>
      </s:c>
      <s:c r="F29" s="5">
        <s:f>IF(Inputs!B19=0,0,IF(Inputs!B20=0,C29*Inputs!B19/Inputs!B21,-PMT(Inputs!B20,Inputs!B21,C29*Inputs!B19)))</s:f>
        <s:v>114835.10950526103</s:v>
      </s:c>
      <s:c r="G29" s="5">
        <s:f>E29-F29</s:f>
        <s:v>43553.64049473897</s:v>
      </s:c>
      <s:c r="H29" s="6">
        <s:f>E29/C29</s:f>
        <s:v>0.032555846286026716</s:v>
      </s:c>
      <s:c r="I29" s="5">
        <s:f>IF(F29=0,999,E29/F29)</s:f>
        <s:v>1.3792711191061615</s:v>
      </s:c>
      <s:c r="J29" s="5" t="str">
        <s:f>IF(AND(C29&lt;=Inputs!B22,D29&lt;=Inputs!B23,G29&gt;0,I29&gt;=Inputs!B24,A29&lt;=Inputs!B29),"YES","NO")</s:f>
        <s:v>YES</s:v>
      </s:c>
      <s:c r="K29" s="5">
        <s:f>IF(J29="YES",G29,-1)</s:f>
        <s:v>43553.64049473897</s:v>
      </s:c>
    </s:row>
    <s:row r="30">
      <s:c r="A30" s="2" t="n">
        <s:v>40</s:v>
      </s:c>
      <s:c r="B30" s="5">
        <s:f>A30*Inputs!B11</s:f>
        <s:v>1360</s:v>
      </s:c>
      <s:c r="C30" s="5">
        <s:f>Inputs!B10+Inputs!B14+(B30*Inputs!B12+A30*Inputs!B13)*(1+Inputs!B15)</s:f>
        <s:v>4960400.0</s:v>
      </s:c>
      <s:c r="D30" s="5">
        <s:f>C30*(1-Inputs!B19)</s:f>
        <s:v>3224260.0</s:v>
      </s:c>
      <s:c r="E30" s="5">
        <s:f>A30*Investment!B2*Inputs!B9*Inputs!B8*(1-Inputs!B16)</s:f>
        <s:v>162450.0</s:v>
      </s:c>
      <s:c r="F30" s="5">
        <s:f>IF(Inputs!B19=0,0,IF(Inputs!B20=0,C30*Inputs!B19/Inputs!B21,-PMT(Inputs!B20,Inputs!B21,C30*Inputs!B19)))</s:f>
        <s:v>117083.59413909915</s:v>
      </s:c>
      <s:c r="G30" s="5">
        <s:f>E30-F30</s:f>
        <s:v>45366.40586090085</s:v>
      </s:c>
      <s:c r="H30" s="6">
        <s:f>E30/C30</s:f>
        <s:v>0.03274937505039916</s:v>
      </s:c>
      <s:c r="I30" s="5">
        <s:f>IF(F30=0,999,E30/F30)</s:f>
        <s:v>1.3874702189873338</s:v>
      </s:c>
      <s:c r="J30" s="5" t="str">
        <s:f>IF(AND(C30&lt;=Inputs!B22,D30&lt;=Inputs!B23,G30&gt;0,I30&gt;=Inputs!B24,A30&lt;=Inputs!B29),"YES","NO")</s:f>
        <s:v>YES</s:v>
      </s:c>
      <s:c r="K30" s="5">
        <s:f>IF(J30="YES",G30,-1)</s:f>
        <s:v>45366.40586090085</s:v>
      </s:c>
    </s:row>
    <s:row r="31">
      <s:c r="A31" s="2" t="n">
        <s:v>41</s:v>
      </s:c>
      <s:c r="B31" s="5">
        <s:f>A31*Inputs!B11</s:f>
        <s:v>1394</s:v>
      </s:c>
      <s:c r="C31" s="5">
        <s:f>Inputs!B10+Inputs!B14+(B31*Inputs!B12+A31*Inputs!B13)*(1+Inputs!B15)</s:f>
        <s:v>5055660.0</s:v>
      </s:c>
      <s:c r="D31" s="5">
        <s:f>C31*(1-Inputs!B19)</s:f>
        <s:v>3286179.0</s:v>
      </s:c>
      <s:c r="E31" s="5">
        <s:f>A31*Investment!B2*Inputs!B9*Inputs!B8*(1-Inputs!B16)</s:f>
        <s:v>166511.25</s:v>
      </s:c>
      <s:c r="F31" s="5">
        <s:f>IF(Inputs!B19=0,0,IF(Inputs!B20=0,C31*Inputs!B19/Inputs!B21,-PMT(Inputs!B20,Inputs!B21,C31*Inputs!B19)))</s:f>
        <s:v>119332.07877293727</s:v>
      </s:c>
      <s:c r="G31" s="5">
        <s:f>E31-F31</s:f>
        <s:v>47179.17122706273</s:v>
      </s:c>
      <s:c r="H31" s="6">
        <s:f>E31/C31</s:f>
        <s:v>0.032935610780788264</s:v>
      </s:c>
      <s:c r="I31" s="5">
        <s:f>IF(F31=0,999,E31/F31)</s:f>
        <s:v>1.3953603399202852</s:v>
      </s:c>
      <s:c r="J31" s="5" t="str">
        <s:f>IF(AND(C31&lt;=Inputs!B22,D31&lt;=Inputs!B23,G31&gt;0,I31&gt;=Inputs!B24,A31&lt;=Inputs!B29),"YES","NO")</s:f>
        <s:v>NO</s:v>
      </s:c>
      <s:c r="K31" s="5">
        <s:f>IF(J31="YES",G31,-1)</s:f>
        <s:v>-1</s:v>
      </s:c>
    </s:row>
    <s:row r="32">
      <s:c r="A32" s="2" t="n">
        <s:v>42</s:v>
      </s:c>
      <s:c r="B32" s="5">
        <s:f>A32*Inputs!B11</s:f>
        <s:v>1428</s:v>
      </s:c>
      <s:c r="C32" s="5">
        <s:f>Inputs!B10+Inputs!B14+(B32*Inputs!B12+A32*Inputs!B13)*(1+Inputs!B15)</s:f>
        <s:v>5150920.0</s:v>
      </s:c>
      <s:c r="D32" s="5">
        <s:f>C32*(1-Inputs!B19)</s:f>
        <s:v>3348098.0</s:v>
      </s:c>
      <s:c r="E32" s="5">
        <s:f>A32*Investment!B2*Inputs!B9*Inputs!B8*(1-Inputs!B16)</s:f>
        <s:v>170572.5</s:v>
      </s:c>
      <s:c r="F32" s="5">
        <s:f>IF(Inputs!B19=0,0,IF(Inputs!B20=0,C32*Inputs!B19/Inputs!B21,-PMT(Inputs!B20,Inputs!B21,C32*Inputs!B19)))</s:f>
        <s:v>121580.56340677536</s:v>
      </s:c>
      <s:c r="G32" s="5">
        <s:f>E32-F32</s:f>
        <s:v>48991.936593224644</s:v>
      </s:c>
      <s:c r="H32" s="6">
        <s:f>E32/C32</s:f>
        <s:v>0.03311495810457161</s:v>
      </s:c>
      <s:c r="I32" s="5">
        <s:f>IF(F32=0,999,E32/F32)</s:f>
        <s:v>1.4029586244744647</s:v>
      </s:c>
      <s:c r="J32" s="5" t="str">
        <s:f>IF(AND(C32&lt;=Inputs!B22,D32&lt;=Inputs!B23,G32&gt;0,I32&gt;=Inputs!B24,A32&lt;=Inputs!B29),"YES","NO")</s:f>
        <s:v>NO</s:v>
      </s:c>
      <s:c r="K32" s="5">
        <s:f>IF(J32="YES",G32,-1)</s:f>
        <s:v>-1</s:v>
      </s:c>
    </s:row>
    <s:row r="33">
      <s:c r="A33" s="2" t="n">
        <s:v>43</s:v>
      </s:c>
      <s:c r="B33" s="5">
        <s:f>A33*Inputs!B11</s:f>
        <s:v>1462</s:v>
      </s:c>
      <s:c r="C33" s="5">
        <s:f>Inputs!B10+Inputs!B14+(B33*Inputs!B12+A33*Inputs!B13)*(1+Inputs!B15)</s:f>
        <s:v>5246180.0</s:v>
      </s:c>
      <s:c r="D33" s="5">
        <s:f>C33*(1-Inputs!B19)</s:f>
        <s:v>3410017.0</s:v>
      </s:c>
      <s:c r="E33" s="5">
        <s:f>A33*Investment!B2*Inputs!B9*Inputs!B8*(1-Inputs!B16)</s:f>
        <s:v>174633.75</s:v>
      </s:c>
      <s:c r="F33" s="5">
        <s:f>IF(Inputs!B19=0,0,IF(Inputs!B20=0,C33*Inputs!B19/Inputs!B21,-PMT(Inputs!B20,Inputs!B21,C33*Inputs!B19)))</s:f>
        <s:v>123829.04804061347</s:v>
      </s:c>
      <s:c r="G33" s="5">
        <s:f>E33-F33</s:f>
        <s:v>50804.701959386526</s:v>
      </s:c>
      <s:c r="H33" s="6">
        <s:f>E33/C33</s:f>
        <s:v>0.03328779226027319</s:v>
      </s:c>
      <s:c r="I33" s="5">
        <s:f>IF(F33=0,999,E33/F33)</s:f>
        <s:v>1.4102809701219992</s:v>
      </s:c>
      <s:c r="J33" s="5" t="str">
        <s:f>IF(AND(C33&lt;=Inputs!B22,D33&lt;=Inputs!B23,G33&gt;0,I33&gt;=Inputs!B24,A33&lt;=Inputs!B29),"YES","NO")</s:f>
        <s:v>NO</s:v>
      </s:c>
      <s:c r="K33" s="5">
        <s:f>IF(J33="YES",G33,-1)</s:f>
        <s:v>-1</s:v>
      </s:c>
    </s:row>
    <s:row r="34">
      <s:c r="A34" s="2" t="n">
        <s:v>44</s:v>
      </s:c>
      <s:c r="B34" s="5">
        <s:f>A34*Inputs!B11</s:f>
        <s:v>1496</s:v>
      </s:c>
      <s:c r="C34" s="5">
        <s:f>Inputs!B10+Inputs!B14+(B34*Inputs!B12+A34*Inputs!B13)*(1+Inputs!B15)</s:f>
        <s:v>5341440.0</s:v>
      </s:c>
      <s:c r="D34" s="5">
        <s:f>C34*(1-Inputs!B19)</s:f>
        <s:v>3471936.0</s:v>
      </s:c>
      <s:c r="E34" s="5">
        <s:f>A34*Investment!B2*Inputs!B9*Inputs!B8*(1-Inputs!B16)</s:f>
        <s:v>178695.0</s:v>
      </s:c>
      <s:c r="F34" s="5">
        <s:f>IF(Inputs!B19=0,0,IF(Inputs!B20=0,C34*Inputs!B19/Inputs!B21,-PMT(Inputs!B20,Inputs!B21,C34*Inputs!B19)))</s:f>
        <s:v>126077.53267445159</s:v>
      </s:c>
      <s:c r="G34" s="5">
        <s:f>E34-F34</s:f>
        <s:v>52617.46732554841</s:v>
      </s:c>
      <s:c r="H34" s="6">
        <s:f>E34/C34</s:f>
        <s:v>0.033454461718188354</s:v>
      </s:c>
      <s:c r="I34" s="5">
        <s:f>IF(F34=0,999,E34/F34)</s:f>
        <s:v>1.417342140263908</s:v>
      </s:c>
      <s:c r="J34" s="5" t="str">
        <s:f>IF(AND(C34&lt;=Inputs!B22,D34&lt;=Inputs!B23,G34&gt;0,I34&gt;=Inputs!B24,A34&lt;=Inputs!B29),"YES","NO")</s:f>
        <s:v>NO</s:v>
      </s:c>
      <s:c r="K34" s="5">
        <s:f>IF(J34="YES",G34,-1)</s:f>
        <s:v>-1</s:v>
      </s:c>
    </s:row>
    <s:row r="35">
      <s:c r="A35" s="2" t="n">
        <s:v>45</s:v>
      </s:c>
      <s:c r="B35" s="5">
        <s:f>A35*Inputs!B11</s:f>
        <s:v>1530</s:v>
      </s:c>
      <s:c r="C35" s="5">
        <s:f>Inputs!B10+Inputs!B14+(B35*Inputs!B12+A35*Inputs!B13)*(1+Inputs!B15)</s:f>
        <s:v>5436700.0</s:v>
      </s:c>
      <s:c r="D35" s="5">
        <s:f>C35*(1-Inputs!B19)</s:f>
        <s:v>3533855.0</s:v>
      </s:c>
      <s:c r="E35" s="5">
        <s:f>A35*Investment!B2*Inputs!B9*Inputs!B8*(1-Inputs!B16)</s:f>
        <s:v>182756.25</s:v>
      </s:c>
      <s:c r="F35" s="5">
        <s:f>IF(Inputs!B19=0,0,IF(Inputs!B20=0,C35*Inputs!B19/Inputs!B21,-PMT(Inputs!B20,Inputs!B21,C35*Inputs!B19)))</s:f>
        <s:v>128326.01730828968</s:v>
      </s:c>
      <s:c r="G35" s="5">
        <s:f>E35-F35</s:f>
        <s:v>54430.23269171032</s:v>
      </s:c>
      <s:c r="H35" s="6">
        <s:f>E35/C35</s:f>
        <s:v>0.033615290525502606</s:v>
      </s:c>
      <s:c r="I35" s="5">
        <s:f>IF(F35=0,999,E35/F35)</s:f>
        <s:v>1.4241558635841354</s:v>
      </s:c>
      <s:c r="J35" s="5" t="str">
        <s:f>IF(AND(C35&lt;=Inputs!B22,D35&lt;=Inputs!B23,G35&gt;0,I35&gt;=Inputs!B24,A35&lt;=Inputs!B29),"YES","NO")</s:f>
        <s:v>NO</s:v>
      </s:c>
      <s:c r="K35" s="5">
        <s:f>IF(J35="YES",G35,-1)</s:f>
        <s:v>-1</s:v>
      </s:c>
    </s:row>
    <s:row r="36">
      <s:c r="A36" s="2" t="n">
        <s:v>46</s:v>
      </s:c>
      <s:c r="B36" s="5">
        <s:f>A36*Inputs!B11</s:f>
        <s:v>1564</s:v>
      </s:c>
      <s:c r="C36" s="5">
        <s:f>Inputs!B10+Inputs!B14+(B36*Inputs!B12+A36*Inputs!B13)*(1+Inputs!B15)</s:f>
        <s:v>5531960.0</s:v>
      </s:c>
      <s:c r="D36" s="5">
        <s:f>C36*(1-Inputs!B19)</s:f>
        <s:v>3595774.0</s:v>
      </s:c>
      <s:c r="E36" s="5">
        <s:f>A36*Investment!B2*Inputs!B9*Inputs!B8*(1-Inputs!B16)</s:f>
        <s:v>186817.5</s:v>
      </s:c>
      <s:c r="F36" s="5">
        <s:f>IF(Inputs!B19=0,0,IF(Inputs!B20=0,C36*Inputs!B19/Inputs!B21,-PMT(Inputs!B20,Inputs!B21,C36*Inputs!B19)))</s:f>
        <s:v>130574.5019421278</s:v>
      </s:c>
      <s:c r="G36" s="5">
        <s:f>E36-F36</s:f>
        <s:v>56242.9980578722</s:v>
      </s:c>
      <s:c r="H36" s="6">
        <s:f>E36/C36</s:f>
        <s:v>0.033770580409113585</s:v>
      </s:c>
      <s:c r="I36" s="5">
        <s:f>IF(F36=0,999,E36/F36)</s:f>
        <s:v>1.430734923138361</s:v>
      </s:c>
      <s:c r="J36" s="5" t="str">
        <s:f>IF(AND(C36&lt;=Inputs!B22,D36&lt;=Inputs!B23,G36&gt;0,I36&gt;=Inputs!B24,A36&lt;=Inputs!B29),"YES","NO")</s:f>
        <s:v>NO</s:v>
      </s:c>
      <s:c r="K36" s="5">
        <s:f>IF(J36="YES",G36,-1)</s:f>
        <s:v>-1</s:v>
      </s:c>
    </s:row>
    <s:row r="37">
      <s:c r="A37" s="2" t="n">
        <s:v>47</s:v>
      </s:c>
      <s:c r="B37" s="5">
        <s:f>A37*Inputs!B11</s:f>
        <s:v>1598</s:v>
      </s:c>
      <s:c r="C37" s="5">
        <s:f>Inputs!B10+Inputs!B14+(B37*Inputs!B12+A37*Inputs!B13)*(1+Inputs!B15)</s:f>
        <s:v>5627220.0</s:v>
      </s:c>
      <s:c r="D37" s="5">
        <s:f>C37*(1-Inputs!B19)</s:f>
        <s:v>3657693.0</s:v>
      </s:c>
      <s:c r="E37" s="5">
        <s:f>A37*Investment!B2*Inputs!B9*Inputs!B8*(1-Inputs!B16)</s:f>
        <s:v>190878.75</s:v>
      </s:c>
      <s:c r="F37" s="5">
        <s:f>IF(Inputs!B19=0,0,IF(Inputs!B20=0,C37*Inputs!B19/Inputs!B21,-PMT(Inputs!B20,Inputs!B21,C37*Inputs!B19)))</s:f>
        <s:v>132822.98657596592</s:v>
      </s:c>
      <s:c r="G37" s="5">
        <s:f>E37-F37</s:f>
        <s:v>58055.763424034085</s:v>
      </s:c>
      <s:c r="H37" s="6">
        <s:f>E37/C37</s:f>
        <s:v>0.03392061266486827</s:v>
      </s:c>
      <s:c r="I37" s="5">
        <s:f>IF(F37=0,999,E37/F37)</s:f>
        <s:v>1.4370912363940112</s:v>
      </s:c>
      <s:c r="J37" s="5" t="str">
        <s:f>IF(AND(C37&lt;=Inputs!B22,D37&lt;=Inputs!B23,G37&gt;0,I37&gt;=Inputs!B24,A37&lt;=Inputs!B29),"YES","NO")</s:f>
        <s:v>NO</s:v>
      </s:c>
      <s:c r="K37" s="5">
        <s:f>IF(J37="YES",G37,-1)</s:f>
        <s:v>-1</s:v>
      </s:c>
    </s:row>
    <s:row r="38">
      <s:c r="A38" s="2" t="n">
        <s:v>48</s:v>
      </s:c>
      <s:c r="B38" s="5">
        <s:f>A38*Inputs!B11</s:f>
        <s:v>1632</s:v>
      </s:c>
      <s:c r="C38" s="5">
        <s:f>Inputs!B10+Inputs!B14+(B38*Inputs!B12+A38*Inputs!B13)*(1+Inputs!B15)</s:f>
        <s:v>5722480.0</s:v>
      </s:c>
      <s:c r="D38" s="5">
        <s:f>C38*(1-Inputs!B19)</s:f>
        <s:v>3719612.0</s:v>
      </s:c>
      <s:c r="E38" s="5">
        <s:f>A38*Investment!B2*Inputs!B9*Inputs!B8*(1-Inputs!B16)</s:f>
        <s:v>194940.0</s:v>
      </s:c>
      <s:c r="F38" s="5">
        <s:f>IF(Inputs!B19=0,0,IF(Inputs!B20=0,C38*Inputs!B19/Inputs!B21,-PMT(Inputs!B20,Inputs!B21,C38*Inputs!B19)))</s:f>
        <s:v>135071.47120980403</s:v>
      </s:c>
      <s:c r="G38" s="5">
        <s:f>E38-F38</s:f>
        <s:v>59868.52879019597</s:v>
      </s:c>
      <s:c r="H38" s="6">
        <s:f>E38/C38</s:f>
        <s:v>0.03406564985810348</s:v>
      </s:c>
      <s:c r="I38" s="5">
        <s:f>IF(F38=0,999,E38/F38)</s:f>
        <s:v>1.4432359272758886</s:v>
      </s:c>
      <s:c r="J38" s="5" t="str">
        <s:f>IF(AND(C38&lt;=Inputs!B22,D38&lt;=Inputs!B23,G38&gt;0,I38&gt;=Inputs!B24,A38&lt;=Inputs!B29),"YES","NO")</s:f>
        <s:v>NO</s:v>
      </s:c>
      <s:c r="K38" s="5">
        <s:f>IF(J38="YES",G38,-1)</s:f>
        <s:v>-1</s:v>
      </s:c>
    </s:row>
    <s:row r="39">
      <s:c r="A39" s="2" t="n">
        <s:v>49</s:v>
      </s:c>
      <s:c r="B39" s="5">
        <s:f>A39*Inputs!B11</s:f>
        <s:v>1666</s:v>
      </s:c>
      <s:c r="C39" s="5">
        <s:f>Inputs!B10+Inputs!B14+(B39*Inputs!B12+A39*Inputs!B13)*(1+Inputs!B15)</s:f>
        <s:v>5817740.0</s:v>
      </s:c>
      <s:c r="D39" s="5">
        <s:f>C39*(1-Inputs!B19)</s:f>
        <s:v>3781531.0</s:v>
      </s:c>
      <s:c r="E39" s="5">
        <s:f>A39*Investment!B2*Inputs!B9*Inputs!B8*(1-Inputs!B16)</s:f>
        <s:v>199001.25</s:v>
      </s:c>
      <s:c r="F39" s="5">
        <s:f>IF(Inputs!B19=0,0,IF(Inputs!B20=0,C39*Inputs!B19/Inputs!B21,-PMT(Inputs!B20,Inputs!B21,C39*Inputs!B19)))</s:f>
        <s:v>137319.95584364215</s:v>
      </s:c>
      <s:c r="G39" s="5">
        <s:f>E39-F39</s:f>
        <s:v>61681.29415635785</s:v>
      </s:c>
      <s:c r="H39" s="6">
        <s:f>E39/C39</s:f>
        <s:v>0.034205937357118056</s:v>
      </s:c>
      <s:c r="I39" s="5">
        <s:f>IF(F39=0,999,E39/F39)</s:f>
        <s:v>1.4491793911337298</s:v>
      </s:c>
      <s:c r="J39" s="5" t="str">
        <s:f>IF(AND(C39&lt;=Inputs!B22,D39&lt;=Inputs!B23,G39&gt;0,I39&gt;=Inputs!B24,A39&lt;=Inputs!B29),"YES","NO")</s:f>
        <s:v>NO</s:v>
      </s:c>
      <s:c r="K39" s="5">
        <s:f>IF(J39="YES",G39,-1)</s:f>
        <s:v>-1</s:v>
      </s:c>
    </s:row>
    <s:row r="40">
      <s:c r="A40" s="2" t="n">
        <s:v>50</s:v>
      </s:c>
      <s:c r="B40" s="5">
        <s:f>A40*Inputs!B11</s:f>
        <s:v>1700</s:v>
      </s:c>
      <s:c r="C40" s="5">
        <s:f>Inputs!B10+Inputs!B14+(B40*Inputs!B12+A40*Inputs!B13)*(1+Inputs!B15)</s:f>
        <s:v>5913000.0</s:v>
      </s:c>
      <s:c r="D40" s="5">
        <s:f>C40*(1-Inputs!B19)</s:f>
        <s:v>3843450.0</s:v>
      </s:c>
      <s:c r="E40" s="5">
        <s:f>A40*Investment!B2*Inputs!B9*Inputs!B8*(1-Inputs!B16)</s:f>
        <s:v>203062.5</s:v>
      </s:c>
      <s:c r="F40" s="5">
        <s:f>IF(Inputs!B19=0,0,IF(Inputs!B20=0,C40*Inputs!B19/Inputs!B21,-PMT(Inputs!B20,Inputs!B21,C40*Inputs!B19)))</s:f>
        <s:v>139568.44047748027</s:v>
      </s:c>
      <s:c r="G40" s="5">
        <s:f>E40-F40</s:f>
        <s:v>63494.05952251973</s:v>
      </s:c>
      <s:c r="H40" s="6">
        <s:f>E40/C40</s:f>
        <s:v>0.03434170471841705</s:v>
      </s:c>
      <s:c r="I40" s="5">
        <s:f>IF(F40=0,999,E40/F40)</s:f>
        <s:v>1.4549313534298942</s:v>
      </s:c>
      <s:c r="J40" s="5" t="str">
        <s:f>IF(AND(C40&lt;=Inputs!B22,D40&lt;=Inputs!B23,G40&gt;0,I40&gt;=Inputs!B24,A40&lt;=Inputs!B29),"YES","NO")</s:f>
        <s:v>NO</s:v>
      </s:c>
      <s:c r="K40" s="5">
        <s:f>IF(J40="YES",G40,-1)</s:f>
        <s:v>-1</s:v>
      </s:c>
    </s:row>
    <s:row r="41">
      <s:c r="A41" s="2" t="n">
        <s:v>51</s:v>
      </s:c>
      <s:c r="B41" s="5">
        <s:f>A41*Inputs!B11</s:f>
        <s:v>1734</s:v>
      </s:c>
      <s:c r="C41" s="5">
        <s:f>Inputs!B10+Inputs!B14+(B41*Inputs!B12+A41*Inputs!B13)*(1+Inputs!B15)</s:f>
        <s:v>6008260.0</s:v>
      </s:c>
      <s:c r="D41" s="5">
        <s:f>C41*(1-Inputs!B19)</s:f>
        <s:v>3905369.0</s:v>
      </s:c>
      <s:c r="E41" s="5">
        <s:f>A41*Investment!B2*Inputs!B9*Inputs!B8*(1-Inputs!B16)</s:f>
        <s:v>207123.75</s:v>
      </s:c>
      <s:c r="F41" s="5">
        <s:f>IF(Inputs!B19=0,0,IF(Inputs!B20=0,C41*Inputs!B19/Inputs!B21,-PMT(Inputs!B20,Inputs!B21,C41*Inputs!B19)))</s:f>
        <s:v>141816.92511131841</s:v>
      </s:c>
      <s:c r="G41" s="5">
        <s:f>E41-F41</s:f>
        <s:v>65306.824888681585</s:v>
      </s:c>
      <s:c r="H41" s="6">
        <s:f>E41/C41</s:f>
        <s:v>0.03447316694017902</s:v>
      </s:c>
      <s:c r="I41" s="5">
        <s:f>IF(F41=0,999,E41/F41)</s:f>
        <s:v>1.4605009228441481</s:v>
      </s:c>
      <s:c r="J41" s="5" t="str">
        <s:f>IF(AND(C41&lt;=Inputs!B22,D41&lt;=Inputs!B23,G41&gt;0,I41&gt;=Inputs!B24,A41&lt;=Inputs!B29),"YES","NO")</s:f>
        <s:v>NO</s:v>
      </s:c>
      <s:c r="K41" s="5">
        <s:f>IF(J41="YES",G41,-1)</s:f>
        <s:v>-1</s:v>
      </s:c>
    </s:row>
    <s:row r="42">
      <s:c r="A42" s="2" t="n">
        <s:v>52</s:v>
      </s:c>
      <s:c r="B42" s="5">
        <s:f>A42*Inputs!B11</s:f>
        <s:v>1768</s:v>
      </s:c>
      <s:c r="C42" s="5">
        <s:f>Inputs!B10+Inputs!B14+(B42*Inputs!B12+A42*Inputs!B13)*(1+Inputs!B15)</s:f>
        <s:v>6103520.0</s:v>
      </s:c>
      <s:c r="D42" s="5">
        <s:f>C42*(1-Inputs!B19)</s:f>
        <s:v>3967288.0</s:v>
      </s:c>
      <s:c r="E42" s="5">
        <s:f>A42*Investment!B2*Inputs!B9*Inputs!B8*(1-Inputs!B16)</s:f>
        <s:v>211185.0</s:v>
      </s:c>
      <s:c r="F42" s="5">
        <s:f>IF(Inputs!B19=0,0,IF(Inputs!B20=0,C42*Inputs!B19/Inputs!B21,-PMT(Inputs!B20,Inputs!B21,C42*Inputs!B19)))</s:f>
        <s:v>144065.40974515653</s:v>
      </s:c>
      <s:c r="G42" s="5">
        <s:f>E42-F42</s:f>
        <s:v>67119.59025484347</s:v>
      </s:c>
      <s:c r="H42" s="6">
        <s:f>E42/C42</s:f>
        <s:v>0.03460052559834325</s:v>
      </s:c>
      <s:c r="I42" s="5">
        <s:f>IF(F42=0,999,E42/F42)</s:f>
        <s:v>1.4658966394054909</s:v>
      </s:c>
      <s:c r="J42" s="5" t="str">
        <s:f>IF(AND(C42&lt;=Inputs!B22,D42&lt;=Inputs!B23,G42&gt;0,I42&gt;=Inputs!B24,A42&lt;=Inputs!B29),"YES","NO")</s:f>
        <s:v>NO</s:v>
      </s:c>
      <s:c r="K42" s="5">
        <s:f>IF(J42="YES",G42,-1)</s:f>
        <s:v>-1</s:v>
      </s:c>
    </s:row>
    <s:row r="43">
      <s:c r="A43" s="2" t="n">
        <s:v>53</s:v>
      </s:c>
      <s:c r="B43" s="5">
        <s:f>A43*Inputs!B11</s:f>
        <s:v>1802</s:v>
      </s:c>
      <s:c r="C43" s="5">
        <s:f>Inputs!B10+Inputs!B14+(B43*Inputs!B12+A43*Inputs!B13)*(1+Inputs!B15)</s:f>
        <s:v>6198780.0</s:v>
      </s:c>
      <s:c r="D43" s="5">
        <s:f>C43*(1-Inputs!B19)</s:f>
        <s:v>4029207.0</s:v>
      </s:c>
      <s:c r="E43" s="5">
        <s:f>A43*Investment!B2*Inputs!B9*Inputs!B8*(1-Inputs!B16)</s:f>
        <s:v>215246.25</s:v>
      </s:c>
      <s:c r="F43" s="5">
        <s:f>IF(Inputs!B19=0,0,IF(Inputs!B20=0,C43*Inputs!B19/Inputs!B21,-PMT(Inputs!B20,Inputs!B21,C43*Inputs!B19)))</s:f>
        <s:v>146313.89437899465</s:v>
      </s:c>
      <s:c r="G43" s="5">
        <s:f>E43-F43</s:f>
        <s:v>68932.35562100535</s:v>
      </s:c>
      <s:c r="H43" s="6">
        <s:f>E43/C43</s:f>
        <s:v>0.034723969877943725</s:v>
      </s:c>
      <s:c r="I43" s="5">
        <s:f>IF(F43=0,999,E43/F43)</s:f>
        <s:v>1.471126518185969</s:v>
      </s:c>
      <s:c r="J43" s="5" t="str">
        <s:f>IF(AND(C43&lt;=Inputs!B22,D43&lt;=Inputs!B23,G43&gt;0,I43&gt;=Inputs!B24,A43&lt;=Inputs!B29),"YES","NO")</s:f>
        <s:v>NO</s:v>
      </s:c>
      <s:c r="K43" s="5">
        <s:f>IF(J43="YES",G43,-1)</s:f>
        <s:v>-1</s:v>
      </s:c>
    </s:row>
    <s:row r="44">
      <s:c r="A44" s="2" t="n">
        <s:v>54</s:v>
      </s:c>
      <s:c r="B44" s="5">
        <s:f>A44*Inputs!B11</s:f>
        <s:v>1836</s:v>
      </s:c>
      <s:c r="C44" s="5">
        <s:f>Inputs!B10+Inputs!B14+(B44*Inputs!B12+A44*Inputs!B13)*(1+Inputs!B15)</s:f>
        <s:v>6294040.0</s:v>
      </s:c>
      <s:c r="D44" s="5">
        <s:f>C44*(1-Inputs!B19)</s:f>
        <s:v>4091126.0</s:v>
      </s:c>
      <s:c r="E44" s="5">
        <s:f>A44*Investment!B2*Inputs!B9*Inputs!B8*(1-Inputs!B16)</s:f>
        <s:v>219307.5</s:v>
      </s:c>
      <s:c r="F44" s="5">
        <s:f>IF(Inputs!B19=0,0,IF(Inputs!B20=0,C44*Inputs!B19/Inputs!B21,-PMT(Inputs!B20,Inputs!B21,C44*Inputs!B19)))</s:f>
        <s:v>148562.37901283274</s:v>
      </s:c>
      <s:c r="G44" s="5">
        <s:f>E44-F44</s:f>
        <s:v>70745.12098716726</s:v>
      </s:c>
      <s:c r="H44" s="6">
        <s:f>E44/C44</s:f>
        <s:v>0.034843677510787985</s:v>
      </s:c>
      <s:c r="I44" s="5">
        <s:f>IF(F44=0,999,E44/F44)</s:f>
        <s:v>1.476198089026673</s:v>
      </s:c>
      <s:c r="J44" s="5" t="str">
        <s:f>IF(AND(C44&lt;=Inputs!B22,D44&lt;=Inputs!B23,G44&gt;0,I44&gt;=Inputs!B24,A44&lt;=Inputs!B29),"YES","NO")</s:f>
        <s:v>NO</s:v>
      </s:c>
      <s:c r="K44" s="5">
        <s:f>IF(J44="YES",G44,-1)</s:f>
        <s:v>-1</s:v>
      </s:c>
    </s:row>
    <s:row r="45">
      <s:c r="A45" s="2" t="n">
        <s:v>55</s:v>
      </s:c>
      <s:c r="B45" s="5">
        <s:f>A45*Inputs!B11</s:f>
        <s:v>1870</s:v>
      </s:c>
      <s:c r="C45" s="5">
        <s:f>Inputs!B10+Inputs!B14+(B45*Inputs!B12+A45*Inputs!B13)*(1+Inputs!B15)</s:f>
        <s:v>6389300.0</s:v>
      </s:c>
      <s:c r="D45" s="5">
        <s:f>C45*(1-Inputs!B19)</s:f>
        <s:v>4153045.0</s:v>
      </s:c>
      <s:c r="E45" s="5">
        <s:f>A45*Investment!B2*Inputs!B9*Inputs!B8*(1-Inputs!B16)</s:f>
        <s:v>223368.75</s:v>
      </s:c>
      <s:c r="F45" s="5">
        <s:f>IF(Inputs!B19=0,0,IF(Inputs!B20=0,C45*Inputs!B19/Inputs!B21,-PMT(Inputs!B20,Inputs!B21,C45*Inputs!B19)))</s:f>
        <s:v>150810.86364667086</s:v>
      </s:c>
      <s:c r="G45" s="5">
        <s:f>E45-F45</s:f>
        <s:v>72557.88635332914</s:v>
      </s:c>
      <s:c r="H45" s="6">
        <s:f>E45/C45</s:f>
        <s:v>0.03495981562925516</s:v>
      </s:c>
      <s:c r="I45" s="5">
        <s:f>IF(F45=0,999,E45/F45)</s:f>
        <s:v>1.4811184327100089</s:v>
      </s:c>
      <s:c r="J45" s="5" t="str">
        <s:f>IF(AND(C45&lt;=Inputs!B22,D45&lt;=Inputs!B23,G45&gt;0,I45&gt;=Inputs!B24,A45&lt;=Inputs!B29),"YES","NO")</s:f>
        <s:v>NO</s:v>
      </s:c>
      <s:c r="K45" s="5">
        <s:f>IF(J45="YES",G45,-1)</s:f>
        <s:v>-1</s:v>
      </s:c>
    </s:row>
    <s:row r="46">
      <s:c r="A46" s="2" t="n">
        <s:v>56</s:v>
      </s:c>
      <s:c r="B46" s="5">
        <s:f>A46*Inputs!B11</s:f>
        <s:v>1904</s:v>
      </s:c>
      <s:c r="C46" s="5">
        <s:f>Inputs!B10+Inputs!B14+(B46*Inputs!B12+A46*Inputs!B13)*(1+Inputs!B15)</s:f>
        <s:v>6484560.0</s:v>
      </s:c>
      <s:c r="D46" s="5">
        <s:f>C46*(1-Inputs!B19)</s:f>
        <s:v>4214964.0</s:v>
      </s:c>
      <s:c r="E46" s="5">
        <s:f>A46*Investment!B2*Inputs!B9*Inputs!B8*(1-Inputs!B16)</s:f>
        <s:v>227430.0</s:v>
      </s:c>
      <s:c r="F46" s="5">
        <s:f>IF(Inputs!B19=0,0,IF(Inputs!B20=0,C46*Inputs!B19/Inputs!B21,-PMT(Inputs!B20,Inputs!B21,C46*Inputs!B19)))</s:f>
        <s:v>153059.34828050897</s:v>
      </s:c>
      <s:c r="G46" s="5">
        <s:f>E46-F46</s:f>
        <s:v>74370.65171949103</s:v>
      </s:c>
      <s:c r="H46" s="6">
        <s:f>E46/C46</s:f>
        <s:v>0.03507254154483882</s:v>
      </s:c>
      <s:c r="I46" s="5">
        <s:f>IF(F46=0,999,E46/F46)</s:f>
        <s:v>1.4858942139436877</s:v>
      </s:c>
      <s:c r="J46" s="5" t="str">
        <s:f>IF(AND(C46&lt;=Inputs!B22,D46&lt;=Inputs!B23,G46&gt;0,I46&gt;=Inputs!B24,A46&lt;=Inputs!B29),"YES","NO")</s:f>
        <s:v>NO</s:v>
      </s:c>
      <s:c r="K46" s="5">
        <s:f>IF(J46="YES",G46,-1)</s:f>
        <s:v>-1</s:v>
      </s:c>
    </s:row>
    <s:row r="47">
      <s:c r="A47" s="2" t="n">
        <s:v>57</s:v>
      </s:c>
      <s:c r="B47" s="5">
        <s:f>A47*Inputs!B11</s:f>
        <s:v>1938</s:v>
      </s:c>
      <s:c r="C47" s="5">
        <s:f>Inputs!B10+Inputs!B14+(B47*Inputs!B12+A47*Inputs!B13)*(1+Inputs!B15)</s:f>
        <s:v>6579820.0</s:v>
      </s:c>
      <s:c r="D47" s="5">
        <s:f>C47*(1-Inputs!B19)</s:f>
        <s:v>4276883.0</s:v>
      </s:c>
      <s:c r="E47" s="5">
        <s:f>A47*Investment!B2*Inputs!B9*Inputs!B8*(1-Inputs!B16)</s:f>
        <s:v>231491.25</s:v>
      </s:c>
      <s:c r="F47" s="5">
        <s:f>IF(Inputs!B19=0,0,IF(Inputs!B20=0,C47*Inputs!B19/Inputs!B21,-PMT(Inputs!B20,Inputs!B21,C47*Inputs!B19)))</s:f>
        <s:v>155307.8329143471</s:v>
      </s:c>
      <s:c r="G47" s="5">
        <s:f>E47-F47</s:f>
        <s:v>76183.41708565291</s:v>
      </s:c>
      <s:c r="H47" s="6">
        <s:f>E47/C47</s:f>
        <s:v>0.03518200345906119</s:v>
      </s:c>
      <s:c r="I47" s="5">
        <s:f>IF(F47=0,999,E47/F47)</s:f>
        <s:v>1.4905317114795387</s:v>
      </s:c>
      <s:c r="J47" s="5" t="str">
        <s:f>IF(AND(C47&lt;=Inputs!B22,D47&lt;=Inputs!B23,G47&gt;0,I47&gt;=Inputs!B24,A47&lt;=Inputs!B29),"YES","NO")</s:f>
        <s:v>NO</s:v>
      </s:c>
      <s:c r="K47" s="5">
        <s:f>IF(J47="YES",G47,-1)</s:f>
        <s:v>-1</s:v>
      </s:c>
    </s:row>
    <s:row r="48">
      <s:c r="A48" s="2" t="n">
        <s:v>58</s:v>
      </s:c>
      <s:c r="B48" s="5">
        <s:f>A48*Inputs!B11</s:f>
        <s:v>1972</s:v>
      </s:c>
      <s:c r="C48" s="5">
        <s:f>Inputs!B10+Inputs!B14+(B48*Inputs!B12+A48*Inputs!B13)*(1+Inputs!B15)</s:f>
        <s:v>6675080.0</s:v>
      </s:c>
      <s:c r="D48" s="5">
        <s:f>C48*(1-Inputs!B19)</s:f>
        <s:v>4338802.0</s:v>
      </s:c>
      <s:c r="E48" s="5">
        <s:f>A48*Investment!B2*Inputs!B9*Inputs!B8*(1-Inputs!B16)</s:f>
        <s:v>235552.5</s:v>
      </s:c>
      <s:c r="F48" s="5">
        <s:f>IF(Inputs!B19=0,0,IF(Inputs!B20=0,C48*Inputs!B19/Inputs!B21,-PMT(Inputs!B20,Inputs!B21,C48*Inputs!B19)))</s:f>
        <s:v>157556.3175481852</s:v>
      </s:c>
      <s:c r="G48" s="5">
        <s:f>E48-F48</s:f>
        <s:v>77996.18245181479</s:v>
      </s:c>
      <s:c r="H48" s="6">
        <s:f>E48/C48</s:f>
        <s:v>0.03528834111351475</s:v>
      </s:c>
      <s:c r="I48" s="5">
        <s:f>IF(F48=0,999,E48/F48)</s:f>
        <s:v>1.4950368456533731</s:v>
      </s:c>
      <s:c r="J48" s="5" t="str">
        <s:f>IF(AND(C48&lt;=Inputs!B22,D48&lt;=Inputs!B23,G48&gt;0,I48&gt;=Inputs!B24,A48&lt;=Inputs!B29),"YES","NO")</s:f>
        <s:v>NO</s:v>
      </s:c>
      <s:c r="K48" s="5">
        <s:f>IF(J48="YES",G48,-1)</s:f>
        <s:v>-1</s:v>
      </s:c>
    </s:row>
    <s:row r="49">
      <s:c r="A49" s="2" t="n">
        <s:v>59</s:v>
      </s:c>
      <s:c r="B49" s="5">
        <s:f>A49*Inputs!B11</s:f>
        <s:v>2006</s:v>
      </s:c>
      <s:c r="C49" s="5">
        <s:f>Inputs!B10+Inputs!B14+(B49*Inputs!B12+A49*Inputs!B13)*(1+Inputs!B15)</s:f>
        <s:v>6770340.0</s:v>
      </s:c>
      <s:c r="D49" s="5">
        <s:f>C49*(1-Inputs!B19)</s:f>
        <s:v>4400721.0</s:v>
      </s:c>
      <s:c r="E49" s="5">
        <s:f>A49*Investment!B2*Inputs!B9*Inputs!B8*(1-Inputs!B16)</s:f>
        <s:v>239613.75</s:v>
      </s:c>
      <s:c r="F49" s="5">
        <s:f>IF(Inputs!B19=0,0,IF(Inputs!B20=0,C49*Inputs!B19/Inputs!B21,-PMT(Inputs!B20,Inputs!B21,C49*Inputs!B19)))</s:f>
        <s:v>159804.80218202333</s:v>
      </s:c>
      <s:c r="G49" s="5">
        <s:f>E49-F49</s:f>
        <s:v>79808.94781797667</s:v>
      </s:c>
      <s:c r="H49" s="6">
        <s:f>E49/C49</s:f>
        <s:v>0.035391686385026454</s:v>
      </s:c>
      <s:c r="I49" s="5">
        <s:f>IF(F49=0,999,E49/F49)</s:f>
        <s:v>1.4994152035998984</s:v>
      </s:c>
      <s:c r="J49" s="5" t="str">
        <s:f>IF(AND(C49&lt;=Inputs!B22,D49&lt;=Inputs!B23,G49&gt;0,I49&gt;=Inputs!B24,A49&lt;=Inputs!B29),"YES","NO")</s:f>
        <s:v>NO</s:v>
      </s:c>
      <s:c r="K49" s="5">
        <s:f>IF(J49="YES",G49,-1)</s:f>
        <s:v>-1</s:v>
      </s:c>
    </s:row>
    <s:row r="50">
      <s:c r="A50" s="2" t="n">
        <s:v>60</s:v>
      </s:c>
      <s:c r="B50" s="5">
        <s:f>A50*Inputs!B11</s:f>
        <s:v>2040</s:v>
      </s:c>
      <s:c r="C50" s="5">
        <s:f>Inputs!B10+Inputs!B14+(B50*Inputs!B12+A50*Inputs!B13)*(1+Inputs!B15)</s:f>
        <s:v>6865600.0</s:v>
      </s:c>
      <s:c r="D50" s="5">
        <s:f>C50*(1-Inputs!B19)</s:f>
        <s:v>4462640.0</s:v>
      </s:c>
      <s:c r="E50" s="5">
        <s:f>A50*Investment!B2*Inputs!B9*Inputs!B8*(1-Inputs!B16)</s:f>
        <s:v>243675.0</s:v>
      </s:c>
      <s:c r="F50" s="5">
        <s:f>IF(Inputs!B19=0,0,IF(Inputs!B20=0,C50*Inputs!B19/Inputs!B21,-PMT(Inputs!B20,Inputs!B21,C50*Inputs!B19)))</s:f>
        <s:v>162053.28681586141</s:v>
      </s:c>
      <s:c r="G50" s="5">
        <s:f>E50-F50</s:f>
        <s:v>81621.71318413859</s:v>
      </s:c>
      <s:c r="H50" s="6">
        <s:f>E50/C50</s:f>
        <s:v>0.035492163831274764</s:v>
      </s:c>
      <s:c r="I50" s="5">
        <s:f>IF(F50=0,999,E50/F50)</s:f>
        <s:v>1.5036720623684976</s:v>
      </s:c>
      <s:c r="J50" s="5" t="str">
        <s:f>IF(AND(C50&lt;=Inputs!B22,D50&lt;=Inputs!B23,G50&gt;0,I50&gt;=Inputs!B24,A50&lt;=Inputs!B29),"YES","NO")</s:f>
        <s:v>NO</s:v>
      </s:c>
      <s:c r="K50" s="5">
        <s:f>IF(J50="YES",G50,-1)</s:f>
        <s:v>-1</s:v>
      </s:c>
    </s:row>
    <s:row r="51">
      <s:c r="A51" s="2" t="n">
        <s:v>61</s:v>
      </s:c>
      <s:c r="B51" s="5">
        <s:f>A51*Inputs!B11</s:f>
        <s:v>2074</s:v>
      </s:c>
      <s:c r="C51" s="5">
        <s:f>Inputs!B10+Inputs!B14+(B51*Inputs!B12+A51*Inputs!B13)*(1+Inputs!B15)</s:f>
        <s:v>6960860.000000001</s:v>
      </s:c>
      <s:c r="D51" s="5">
        <s:f>C51*(1-Inputs!B19)</s:f>
        <s:v>4524559.000000001</s:v>
      </s:c>
      <s:c r="E51" s="5">
        <s:f>A51*Investment!B2*Inputs!B9*Inputs!B8*(1-Inputs!B16)</s:f>
        <s:v>247736.25</s:v>
      </s:c>
      <s:c r="F51" s="5">
        <s:f>IF(Inputs!B19=0,0,IF(Inputs!B20=0,C51*Inputs!B19/Inputs!B21,-PMT(Inputs!B20,Inputs!B21,C51*Inputs!B19)))</s:f>
        <s:v>164301.77144969953</s:v>
      </s:c>
      <s:c r="G51" s="5">
        <s:f>E51-F51</s:f>
        <s:v>83434.47855030047</s:v>
      </s:c>
      <s:c r="H51" s="6">
        <s:f>E51/C51</s:f>
        <s:v>0.03558989119160563</s:v>
      </s:c>
      <s:c r="I51" s="5">
        <s:f>IF(F51=0,999,E51/F51)</s:f>
        <s:v>1.5078124101409562</s:v>
      </s:c>
      <s:c r="J51" s="5" t="str">
        <s:f>IF(AND(C51&lt;=Inputs!B22,D51&lt;=Inputs!B23,G51&gt;0,I51&gt;=Inputs!B24,A51&lt;=Inputs!B29),"YES","NO")</s:f>
        <s:v>NO</s:v>
      </s:c>
      <s:c r="K51" s="5">
        <s:f>IF(J51="YES",G51,-1)</s:f>
        <s:v>-1</s:v>
      </s:c>
    </s:row>
    <s:row r="52">
      <s:c r="A52" s="2" t="n">
        <s:v>62</s:v>
      </s:c>
      <s:c r="B52" s="5">
        <s:f>A52*Inputs!B11</s:f>
        <s:v>2108</s:v>
      </s:c>
      <s:c r="C52" s="5">
        <s:f>Inputs!B10+Inputs!B14+(B52*Inputs!B12+A52*Inputs!B13)*(1+Inputs!B15)</s:f>
        <s:v>7056120.000000001</s:v>
      </s:c>
      <s:c r="D52" s="5">
        <s:f>C52*(1-Inputs!B19)</s:f>
        <s:v>4586478.000000001</s:v>
      </s:c>
      <s:c r="E52" s="5">
        <s:f>A52*Investment!B2*Inputs!B9*Inputs!B8*(1-Inputs!B16)</s:f>
        <s:v>251797.5</s:v>
      </s:c>
      <s:c r="F52" s="5">
        <s:f>IF(Inputs!B19=0,0,IF(Inputs!B20=0,C52*Inputs!B19/Inputs!B21,-PMT(Inputs!B20,Inputs!B21,C52*Inputs!B19)))</s:f>
        <s:v>166550.25608353765</s:v>
      </s:c>
      <s:c r="G52" s="5">
        <s:f>E52-F52</s:f>
        <s:v>85247.24391646235</s:v>
      </s:c>
      <s:c r="H52" s="6">
        <s:f>E52/C52</s:f>
        <s:v>0.03568497984728151</s:v>
      </s:c>
      <s:c r="I52" s="5">
        <s:f>IF(F52=0,999,E52/F52)</s:f>
        <s:v>1.511840965730514</s:v>
      </s:c>
      <s:c r="J52" s="5" t="str">
        <s:f>IF(AND(C52&lt;=Inputs!B22,D52&lt;=Inputs!B23,G52&gt;0,I52&gt;=Inputs!B24,A52&lt;=Inputs!B29),"YES","NO")</s:f>
        <s:v>NO</s:v>
      </s:c>
      <s:c r="K52" s="5">
        <s:f>IF(J52="YES",G52,-1)</s:f>
        <s:v>-1</s:v>
      </s:c>
    </s:row>
    <s:row r="53">
      <s:c r="A53" s="2" t="n">
        <s:v>63</s:v>
      </s:c>
      <s:c r="B53" s="5">
        <s:f>A53*Inputs!B11</s:f>
        <s:v>2142</s:v>
      </s:c>
      <s:c r="C53" s="5">
        <s:f>Inputs!B10+Inputs!B14+(B53*Inputs!B12+A53*Inputs!B13)*(1+Inputs!B15)</s:f>
        <s:v>7151380.000000001</s:v>
      </s:c>
      <s:c r="D53" s="5">
        <s:f>C53*(1-Inputs!B19)</s:f>
        <s:v>4648397.000000001</s:v>
      </s:c>
      <s:c r="E53" s="5">
        <s:f>A53*Investment!B2*Inputs!B9*Inputs!B8*(1-Inputs!B16)</s:f>
        <s:v>255858.75</s:v>
      </s:c>
      <s:c r="F53" s="5">
        <s:f>IF(Inputs!B19=0,0,IF(Inputs!B20=0,C53*Inputs!B19/Inputs!B21,-PMT(Inputs!B20,Inputs!B21,C53*Inputs!B19)))</s:f>
        <s:v>168798.74071737577</s:v>
      </s:c>
      <s:c r="G53" s="5">
        <s:f>E53-F53</s:f>
        <s:v>87060.00928262423</s:v>
      </s:c>
      <s:c r="H53" s="6">
        <s:f>E53/C53</s:f>
        <s:v>0.03577753524494572</s:v>
      </s:c>
      <s:c r="I53" s="5">
        <s:f>IF(F53=0,999,E53/F53)</s:f>
        <s:v>1.5157621965224914</s:v>
      </s:c>
      <s:c r="J53" s="5" t="str">
        <s:f>IF(AND(C53&lt;=Inputs!B22,D53&lt;=Inputs!B23,G53&gt;0,I53&gt;=Inputs!B24,A53&lt;=Inputs!B29),"YES","NO")</s:f>
        <s:v>NO</s:v>
      </s:c>
      <s:c r="K53" s="5">
        <s:f>IF(J53="YES",G53,-1)</s:f>
        <s:v>-1</s:v>
      </s:c>
    </s:row>
    <s:row r="54">
      <s:c r="A54" s="2" t="n">
        <s:v>64</s:v>
      </s:c>
      <s:c r="B54" s="5">
        <s:f>A54*Inputs!B11</s:f>
        <s:v>2176</s:v>
      </s:c>
      <s:c r="C54" s="5">
        <s:f>Inputs!B10+Inputs!B14+(B54*Inputs!B12+A54*Inputs!B13)*(1+Inputs!B15)</s:f>
        <s:v>7246640.000000001</s:v>
      </s:c>
      <s:c r="D54" s="5">
        <s:f>C54*(1-Inputs!B19)</s:f>
        <s:v>4710316.000000001</s:v>
      </s:c>
      <s:c r="E54" s="5">
        <s:f>A54*Investment!B2*Inputs!B9*Inputs!B8*(1-Inputs!B16)</s:f>
        <s:v>259920.0</s:v>
      </s:c>
      <s:c r="F54" s="5">
        <s:f>IF(Inputs!B19=0,0,IF(Inputs!B20=0,C54*Inputs!B19/Inputs!B21,-PMT(Inputs!B20,Inputs!B21,C54*Inputs!B19)))</s:f>
        <s:v>171047.22535121389</s:v>
      </s:c>
      <s:c r="G54" s="5">
        <s:f>E54-F54</s:f>
        <s:v>88872.77464878611</s:v>
      </s:c>
      <s:c r="H54" s="6">
        <s:f>E54/C54</s:f>
        <s:v>0.035867657286687345</s:v>
      </s:c>
      <s:c r="I54" s="5">
        <s:f>IF(F54=0,999,E54/F54)</s:f>
        <s:v>1.5195803349998942</s:v>
      </s:c>
      <s:c r="J54" s="5" t="str">
        <s:f>IF(AND(C54&lt;=Inputs!B22,D54&lt;=Inputs!B23,G54&gt;0,I54&gt;=Inputs!B24,A54&lt;=Inputs!B29),"YES","NO")</s:f>
        <s:v>NO</s:v>
      </s:c>
      <s:c r="K54" s="5">
        <s:f>IF(J54="YES",G54,-1)</s:f>
        <s:v>-1</s:v>
      </s:c>
    </s:row>
    <s:row r="55">
      <s:c r="A55" s="2" t="n">
        <s:v>65</s:v>
      </s:c>
      <s:c r="B55" s="5">
        <s:f>A55*Inputs!B11</s:f>
        <s:v>2210</s:v>
      </s:c>
      <s:c r="C55" s="5">
        <s:f>Inputs!B10+Inputs!B14+(B55*Inputs!B12+A55*Inputs!B13)*(1+Inputs!B15)</s:f>
        <s:v>7341900.000000001</s:v>
      </s:c>
      <s:c r="D55" s="5">
        <s:f>C55*(1-Inputs!B19)</s:f>
        <s:v>4772235.000000001</s:v>
      </s:c>
      <s:c r="E55" s="5">
        <s:f>A55*Investment!B2*Inputs!B9*Inputs!B8*(1-Inputs!B16)</s:f>
        <s:v>263981.25</s:v>
      </s:c>
      <s:c r="F55" s="5">
        <s:f>IF(Inputs!B19=0,0,IF(Inputs!B20=0,C55*Inputs!B19/Inputs!B21,-PMT(Inputs!B20,Inputs!B21,C55*Inputs!B19)))</s:f>
        <s:v>173295.709985052</s:v>
      </s:c>
      <s:c r="G55" s="5">
        <s:f>E55-F55</s:f>
        <s:v>90685.540014948</s:v>
      </s:c>
      <s:c r="H55" s="6">
        <s:f>E55/C55</s:f>
        <s:v>0.03595544068973971</s:v>
      </s:c>
      <s:c r="I55" s="5">
        <s:f>IF(F55=0,999,E55/F55)</s:f>
        <s:v>1.5232993939825186</s:v>
      </s:c>
      <s:c r="J55" s="5" t="str">
        <s:f>IF(AND(C55&lt;=Inputs!B22,D55&lt;=Inputs!B23,G55&gt;0,I55&gt;=Inputs!B24,A55&lt;=Inputs!B29),"YES","NO")</s:f>
        <s:v>NO</s:v>
      </s:c>
      <s:c r="K55" s="5">
        <s:f>IF(J55="YES",G55,-1)</s:f>
        <s:v>-1</s:v>
      </s:c>
    </s:row>
    <s:row r="56">
      <s:c r="A56" s="2" t="n">
        <s:v>66</s:v>
      </s:c>
      <s:c r="B56" s="5">
        <s:f>A56*Inputs!B11</s:f>
        <s:v>2244</s:v>
      </s:c>
      <s:c r="C56" s="5">
        <s:f>Inputs!B10+Inputs!B14+(B56*Inputs!B12+A56*Inputs!B13)*(1+Inputs!B15)</s:f>
        <s:v>7437160.000000001</s:v>
      </s:c>
      <s:c r="D56" s="5">
        <s:f>C56*(1-Inputs!B19)</s:f>
        <s:v>4834154.000000001</s:v>
      </s:c>
      <s:c r="E56" s="5">
        <s:f>A56*Investment!B2*Inputs!B9*Inputs!B8*(1-Inputs!B16)</s:f>
        <s:v>268042.5</s:v>
      </s:c>
      <s:c r="F56" s="5">
        <s:f>IF(Inputs!B19=0,0,IF(Inputs!B20=0,C56*Inputs!B19/Inputs!B21,-PMT(Inputs!B20,Inputs!B21,C56*Inputs!B19)))</s:f>
        <s:v>175544.19461889012</s:v>
      </s:c>
      <s:c r="G56" s="5">
        <s:f>E56-F56</s:f>
        <s:v>92498.30538110988</s:v>
      </s:c>
      <s:c r="H56" s="6">
        <s:f>E56/C56</s:f>
        <s:v>0.03604097531853557</s:v>
      </s:c>
      <s:c r="I56" s="5">
        <s:f>IF(F56=0,999,E56/F56)</s:f>
        <s:v>1.5269231806948986</s:v>
      </s:c>
      <s:c r="J56" s="5" t="str">
        <s:f>IF(AND(C56&lt;=Inputs!B22,D56&lt;=Inputs!B23,G56&gt;0,I56&gt;=Inputs!B24,A56&lt;=Inputs!B29),"YES","NO")</s:f>
        <s:v>NO</s:v>
      </s:c>
      <s:c r="K56" s="5">
        <s:f>IF(J56="YES",G56,-1)</s:f>
        <s:v>-1</s:v>
      </s:c>
    </s:row>
    <s:row r="57">
      <s:c r="A57" s="2" t="n">
        <s:v>67</s:v>
      </s:c>
      <s:c r="B57" s="5">
        <s:f>A57*Inputs!B11</s:f>
        <s:v>2278</s:v>
      </s:c>
      <s:c r="C57" s="5">
        <s:f>Inputs!B10+Inputs!B14+(B57*Inputs!B12+A57*Inputs!B13)*(1+Inputs!B15)</s:f>
        <s:v>7532420.000000001</s:v>
      </s:c>
      <s:c r="D57" s="5">
        <s:f>C57*(1-Inputs!B19)</s:f>
        <s:v>4896073.000000001</s:v>
      </s:c>
      <s:c r="E57" s="5">
        <s:f>A57*Investment!B2*Inputs!B9*Inputs!B8*(1-Inputs!B16)</s:f>
        <s:v>272103.75</s:v>
      </s:c>
      <s:c r="F57" s="5">
        <s:f>IF(Inputs!B19=0,0,IF(Inputs!B20=0,C57*Inputs!B19/Inputs!B21,-PMT(Inputs!B20,Inputs!B21,C57*Inputs!B19)))</s:f>
        <s:v>177792.6792527282</s:v>
      </s:c>
      <s:c r="G57" s="5">
        <s:f>E57-F57</s:f>
        <s:v>94311.07074727179</s:v>
      </s:c>
      <s:c r="H57" s="6">
        <s:f>E57/C57</s:f>
        <s:v>0.03612434649156579</s:v>
      </s:c>
      <s:c r="I57" s="5">
        <s:f>IF(F57=0,999,E57/F57)</s:f>
        <s:v>1.5304553097667806</s:v>
      </s:c>
      <s:c r="J57" s="5" t="str">
        <s:f>IF(AND(C57&lt;=Inputs!B22,D57&lt;=Inputs!B23,G57&gt;0,I57&gt;=Inputs!B24,A57&lt;=Inputs!B29),"YES","NO")</s:f>
        <s:v>NO</s:v>
      </s:c>
      <s:c r="K57" s="5">
        <s:f>IF(J57="YES",G57,-1)</s:f>
        <s:v>-1</s:v>
      </s:c>
    </s:row>
    <s:row r="58">
      <s:c r="A58" s="2" t="n">
        <s:v>68</s:v>
      </s:c>
      <s:c r="B58" s="5">
        <s:f>A58*Inputs!B11</s:f>
        <s:v>2312</s:v>
      </s:c>
      <s:c r="C58" s="5">
        <s:f>Inputs!B10+Inputs!B14+(B58*Inputs!B12+A58*Inputs!B13)*(1+Inputs!B15)</s:f>
        <s:v>7627680.000000001</s:v>
      </s:c>
      <s:c r="D58" s="5">
        <s:f>C58*(1-Inputs!B19)</s:f>
        <s:v>4957992.000000001</s:v>
      </s:c>
      <s:c r="E58" s="5">
        <s:f>A58*Investment!B2*Inputs!B9*Inputs!B8*(1-Inputs!B16)</s:f>
        <s:v>276165.0</s:v>
      </s:c>
      <s:c r="F58" s="5">
        <s:f>IF(Inputs!B19=0,0,IF(Inputs!B20=0,C58*Inputs!B19/Inputs!B21,-PMT(Inputs!B20,Inputs!B21,C58*Inputs!B19)))</s:f>
        <s:v>180041.16388656633</s:v>
      </s:c>
      <s:c r="G58" s="5">
        <s:f>E58-F58</s:f>
        <s:v>96123.83611343367</s:v>
      </s:c>
      <s:c r="H58" s="6">
        <s:f>E58/C58</s:f>
        <s:v>0.03620563526524447</s:v>
      </s:c>
      <s:c r="I58" s="5">
        <s:f>IF(F58=0,999,E58/F58)</s:f>
        <s:v>1.5338992152594382</s:v>
      </s:c>
      <s:c r="J58" s="5" t="str">
        <s:f>IF(AND(C58&lt;=Inputs!B22,D58&lt;=Inputs!B23,G58&gt;0,I58&gt;=Inputs!B24,A58&lt;=Inputs!B29),"YES","NO")</s:f>
        <s:v>NO</s:v>
      </s:c>
      <s:c r="K58" s="5">
        <s:f>IF(J58="YES",G58,-1)</s:f>
        <s:v>-1</s:v>
      </s:c>
    </s:row>
    <s:row r="59">
      <s:c r="A59" s="2" t="n">
        <s:v>69</s:v>
      </s:c>
      <s:c r="B59" s="5">
        <s:f>A59*Inputs!B11</s:f>
        <s:v>2346</s:v>
      </s:c>
      <s:c r="C59" s="5">
        <s:f>Inputs!B10+Inputs!B14+(B59*Inputs!B12+A59*Inputs!B13)*(1+Inputs!B15)</s:f>
        <s:v>7722940.000000001</s:v>
      </s:c>
      <s:c r="D59" s="5">
        <s:f>C59*(1-Inputs!B19)</s:f>
        <s:v>5019911.000000001</s:v>
      </s:c>
      <s:c r="E59" s="5">
        <s:f>A59*Investment!B2*Inputs!B9*Inputs!B8*(1-Inputs!B16)</s:f>
        <s:v>280226.25</s:v>
      </s:c>
      <s:c r="F59" s="5">
        <s:f>IF(Inputs!B19=0,0,IF(Inputs!B20=0,C59*Inputs!B19/Inputs!B21,-PMT(Inputs!B20,Inputs!B21,C59*Inputs!B19)))</s:f>
        <s:v>182289.64852040444</s:v>
      </s:c>
      <s:c r="G59" s="5">
        <s:f>E59-F59</s:f>
        <s:v>97936.60147959556</s:v>
      </s:c>
      <s:c r="H59" s="6">
        <s:f>E59/C59</s:f>
        <s:v>0.036284918696765735</s:v>
      </s:c>
      <s:c r="I59" s="5">
        <s:f>IF(F59=0,999,E59/F59)</s:f>
        <s:v>1.5372581618019474</s:v>
      </s:c>
      <s:c r="J59" s="5" t="str">
        <s:f>IF(AND(C59&lt;=Inputs!B22,D59&lt;=Inputs!B23,G59&gt;0,I59&gt;=Inputs!B24,A59&lt;=Inputs!B29),"YES","NO")</s:f>
        <s:v>NO</s:v>
      </s:c>
      <s:c r="K59" s="5">
        <s:f>IF(J59="YES",G59,-1)</s:f>
        <s:v>-1</s:v>
      </s:c>
    </s:row>
    <s:row r="60">
      <s:c r="A60" s="2" t="n">
        <s:v>70</s:v>
      </s:c>
      <s:c r="B60" s="5">
        <s:f>A60*Inputs!B11</s:f>
        <s:v>2380</s:v>
      </s:c>
      <s:c r="C60" s="5">
        <s:f>Inputs!B10+Inputs!B14+(B60*Inputs!B12+A60*Inputs!B13)*(1+Inputs!B15)</s:f>
        <s:v>7818200.000000001</s:v>
      </s:c>
      <s:c r="D60" s="5">
        <s:f>C60*(1-Inputs!B19)</s:f>
        <s:v>5081830.000000001</s:v>
      </s:c>
      <s:c r="E60" s="5">
        <s:f>A60*Investment!B2*Inputs!B9*Inputs!B8*(1-Inputs!B16)</s:f>
        <s:v>284287.5</s:v>
      </s:c>
      <s:c r="F60" s="5">
        <s:f>IF(Inputs!B19=0,0,IF(Inputs!B20=0,C60*Inputs!B19/Inputs!B21,-PMT(Inputs!B20,Inputs!B21,C60*Inputs!B19)))</s:f>
        <s:v>184538.13315424256</s:v>
      </s:c>
      <s:c r="G60" s="5">
        <s:f>E60-F60</s:f>
        <s:v>99749.36684575744</s:v>
      </s:c>
      <s:c r="H60" s="6">
        <s:f>E60/C60</s:f>
        <s:v>0.03636227008774398</s:v>
      </s:c>
      <s:c r="I60" s="5">
        <s:f>IF(F60=0,999,E60/F60)</s:f>
        <s:v>1.540535254913324</s:v>
      </s:c>
      <s:c r="J60" s="5" t="str">
        <s:f>IF(AND(C60&lt;=Inputs!B22,D60&lt;=Inputs!B23,G60&gt;0,I60&gt;=Inputs!B24,A60&lt;=Inputs!B29),"YES","NO")</s:f>
        <s:v>NO</s:v>
      </s:c>
      <s:c r="K60" s="5">
        <s:f>IF(J60="YES",G60,-1)</s:f>
        <s:v>-1</s:v>
      </s:c>
    </s:row>
    <s:row r="61">
      <s:c r="A61" s="2" t="n">
        <s:v>71</s:v>
      </s:c>
      <s:c r="B61" s="5">
        <s:f>A61*Inputs!B11</s:f>
        <s:v>2414</s:v>
      </s:c>
      <s:c r="C61" s="5">
        <s:f>Inputs!B10+Inputs!B14+(B61*Inputs!B12+A61*Inputs!B13)*(1+Inputs!B15)</s:f>
        <s:v>7913460.000000001</s:v>
      </s:c>
      <s:c r="D61" s="5">
        <s:f>C61*(1-Inputs!B19)</s:f>
        <s:v>5143749.000000001</s:v>
      </s:c>
      <s:c r="E61" s="5">
        <s:f>A61*Investment!B2*Inputs!B9*Inputs!B8*(1-Inputs!B16)</s:f>
        <s:v>288348.75</s:v>
      </s:c>
      <s:c r="F61" s="5">
        <s:f>IF(Inputs!B19=0,0,IF(Inputs!B20=0,C61*Inputs!B19/Inputs!B21,-PMT(Inputs!B20,Inputs!B21,C61*Inputs!B19)))</s:f>
        <s:v>186786.61778808068</s:v>
      </s:c>
      <s:c r="G61" s="5">
        <s:f>E61-F61</s:f>
        <s:v>101562.13221191932</s:v>
      </s:c>
      <s:c r="H61" s="6">
        <s:f>E61/C61</s:f>
        <s:v>0.03643775921025695</s:v>
      </s:c>
      <s:c r="I61" s="5">
        <s:f>IF(F61=0,999,E61/F61)</s:f>
        <s:v>1.543733450579136</s:v>
      </s:c>
      <s:c r="J61" s="5" t="str">
        <s:f>IF(AND(C61&lt;=Inputs!B22,D61&lt;=Inputs!B23,G61&gt;0,I61&gt;=Inputs!B24,A61&lt;=Inputs!B29),"YES","NO")</s:f>
        <s:v>NO</s:v>
      </s:c>
      <s:c r="K61" s="5">
        <s:f>IF(J61="YES",G61,-1)</s:f>
        <s:v>-1</s:v>
      </s:c>
    </s:row>
    <s:row r="62">
      <s:c r="A62" s="2" t="n">
        <s:v>72</s:v>
      </s:c>
      <s:c r="B62" s="5">
        <s:f>A62*Inputs!B11</s:f>
        <s:v>2448</s:v>
      </s:c>
      <s:c r="C62" s="5">
        <s:f>Inputs!B10+Inputs!B14+(B62*Inputs!B12+A62*Inputs!B13)*(1+Inputs!B15)</s:f>
        <s:v>8008720.000000001</s:v>
      </s:c>
      <s:c r="D62" s="5">
        <s:f>C62*(1-Inputs!B19)</s:f>
        <s:v>5205668.000000001</s:v>
      </s:c>
      <s:c r="E62" s="5">
        <s:f>A62*Investment!B2*Inputs!B9*Inputs!B8*(1-Inputs!B16)</s:f>
        <s:v>292410.0</s:v>
      </s:c>
      <s:c r="F62" s="5">
        <s:f>IF(Inputs!B19=0,0,IF(Inputs!B20=0,C62*Inputs!B19/Inputs!B21,-PMT(Inputs!B20,Inputs!B21,C62*Inputs!B19)))</s:f>
        <s:v>189035.1024219188</s:v>
      </s:c>
      <s:c r="G62" s="5">
        <s:f>E62-F62</s:f>
        <s:v>103374.8975780812</s:v>
      </s:c>
      <s:c r="H62" s="6">
        <s:f>E62/C62</s:f>
        <s:v>0.03651145251675673</s:v>
      </s:c>
      <s:c r="I62" s="5">
        <s:f>IF(F62=0,999,E62/F62)</s:f>
        <s:v>1.5468555641446557</s:v>
      </s:c>
      <s:c r="J62" s="5" t="str">
        <s:f>IF(AND(C62&lt;=Inputs!B22,D62&lt;=Inputs!B23,G62&gt;0,I62&gt;=Inputs!B24,A62&lt;=Inputs!B29),"YES","NO")</s:f>
        <s:v>NO</s:v>
      </s:c>
      <s:c r="K62" s="5">
        <s:f>IF(J62="YES",G62,-1)</s:f>
        <s:v>-1</s:v>
      </s:c>
    </s:row>
    <s:row r="63">
      <s:c r="A63" s="2" t="n">
        <s:v>73</s:v>
      </s:c>
      <s:c r="B63" s="5">
        <s:f>A63*Inputs!B11</s:f>
        <s:v>2482</s:v>
      </s:c>
      <s:c r="C63" s="5">
        <s:f>Inputs!B10+Inputs!B14+(B63*Inputs!B12+A63*Inputs!B13)*(1+Inputs!B15)</s:f>
        <s:v>8103980.000000001</s:v>
      </s:c>
      <s:c r="D63" s="5">
        <s:f>C63*(1-Inputs!B19)</s:f>
        <s:v>5267587.000000001</s:v>
      </s:c>
      <s:c r="E63" s="5">
        <s:f>A63*Investment!B2*Inputs!B9*Inputs!B8*(1-Inputs!B16)</s:f>
        <s:v>296471.25</s:v>
      </s:c>
      <s:c r="F63" s="5">
        <s:f>IF(Inputs!B19=0,0,IF(Inputs!B20=0,C63*Inputs!B19/Inputs!B21,-PMT(Inputs!B20,Inputs!B21,C63*Inputs!B19)))</s:f>
        <s:v>191283.5870557569</s:v>
      </s:c>
      <s:c r="G63" s="5">
        <s:f>E63-F63</s:f>
        <s:v>105187.66294424309</s:v>
      </s:c>
      <s:c r="H63" s="6">
        <s:f>E63/C63</s:f>
        <s:v>0.03658341333517604</s:v>
      </s:c>
      <s:c r="I63" s="5">
        <s:f>IF(F63=0,999,E63/F63)</s:f>
        <s:v>1.549904278580797</s:v>
      </s:c>
      <s:c r="J63" s="5" t="str">
        <s:f>IF(AND(C63&lt;=Inputs!B22,D63&lt;=Inputs!B23,G63&gt;0,I63&gt;=Inputs!B24,A63&lt;=Inputs!B29),"YES","NO")</s:f>
        <s:v>NO</s:v>
      </s:c>
      <s:c r="K63" s="5">
        <s:f>IF(J63="YES",G63,-1)</s:f>
        <s:v>-1</s:v>
      </s:c>
    </s:row>
    <s:row r="64">
      <s:c r="A64" s="2" t="n">
        <s:v>74</s:v>
      </s:c>
      <s:c r="B64" s="5">
        <s:f>A64*Inputs!B11</s:f>
        <s:v>2516</s:v>
      </s:c>
      <s:c r="C64" s="5">
        <s:f>Inputs!B10+Inputs!B14+(B64*Inputs!B12+A64*Inputs!B13)*(1+Inputs!B15)</s:f>
        <s:v>8199240.000000001</s:v>
      </s:c>
      <s:c r="D64" s="5">
        <s:f>C64*(1-Inputs!B19)</s:f>
        <s:v>5329506.000000001</s:v>
      </s:c>
      <s:c r="E64" s="5">
        <s:f>A64*Investment!B2*Inputs!B9*Inputs!B8*(1-Inputs!B16)</s:f>
        <s:v>300532.5</s:v>
      </s:c>
      <s:c r="F64" s="5">
        <s:f>IF(Inputs!B19=0,0,IF(Inputs!B20=0,C64*Inputs!B19/Inputs!B21,-PMT(Inputs!B20,Inputs!B21,C64*Inputs!B19)))</s:f>
        <s:v>193532.07168959503</s:v>
      </s:c>
      <s:c r="G64" s="5">
        <s:f>E64-F64</s:f>
        <s:v>107000.42831040497</s:v>
      </s:c>
      <s:c r="H64" s="6">
        <s:f>E64/C64</s:f>
        <s:v>0.03665370205043394</s:v>
      </s:c>
      <s:c r="I64" s="5">
        <s:f>IF(F64=0,999,E64/F64)</s:f>
        <s:v>1.5528821521738387</s:v>
      </s:c>
      <s:c r="J64" s="5" t="str">
        <s:f>IF(AND(C64&lt;=Inputs!B22,D64&lt;=Inputs!B23,G64&gt;0,I64&gt;=Inputs!B24,A64&lt;=Inputs!B29),"YES","NO")</s:f>
        <s:v>NO</s:v>
      </s:c>
      <s:c r="K64" s="5">
        <s:f>IF(J64="YES",G64,-1)</s:f>
        <s:v>-1</s:v>
      </s:c>
    </s:row>
    <s:row r="65">
      <s:c r="A65" s="2" t="n">
        <s:v>75</s:v>
      </s:c>
      <s:c r="B65" s="5">
        <s:f>A65*Inputs!B11</s:f>
        <s:v>2550</s:v>
      </s:c>
      <s:c r="C65" s="5">
        <s:f>Inputs!B10+Inputs!B14+(B65*Inputs!B12+A65*Inputs!B13)*(1+Inputs!B15)</s:f>
        <s:v>8294500.000000001</s:v>
      </s:c>
      <s:c r="D65" s="5">
        <s:f>C65*(1-Inputs!B19)</s:f>
        <s:v>5391425.000000001</s:v>
      </s:c>
      <s:c r="E65" s="5">
        <s:f>A65*Investment!B2*Inputs!B9*Inputs!B8*(1-Inputs!B16)</s:f>
        <s:v>304593.75</s:v>
      </s:c>
      <s:c r="F65" s="5">
        <s:f>IF(Inputs!B19=0,0,IF(Inputs!B20=0,C65*Inputs!B19/Inputs!B21,-PMT(Inputs!B20,Inputs!B21,C65*Inputs!B19)))</s:f>
        <s:v>195780.55632343315</s:v>
      </s:c>
      <s:c r="G65" s="5">
        <s:f>E65-F65</s:f>
        <s:v>108813.19367656685</s:v>
      </s:c>
      <s:c r="H65" s="6">
        <s:f>E65/C65</s:f>
        <s:v>0.0367223762734342</s:v>
      </s:c>
      <s:c r="I65" s="5">
        <s:f>IF(F65=0,999,E65/F65)</s:f>
        <s:v>1.5557916256852669</s:v>
      </s:c>
      <s:c r="J65" s="5" t="str">
        <s:f>IF(AND(C65&lt;=Inputs!B22,D65&lt;=Inputs!B23,G65&gt;0,I65&gt;=Inputs!B24,A65&lt;=Inputs!B29),"YES","NO")</s:f>
        <s:v>NO</s:v>
      </s:c>
      <s:c r="K65" s="5">
        <s:f>IF(J65="YES",G65,-1)</s:f>
        <s:v>-1</s:v>
      </s:c>
    </s:row>
    <s:row r="66">
      <s:c r="A66" s="2" t="n">
        <s:v>76</s:v>
      </s:c>
      <s:c r="B66" s="5">
        <s:f>A66*Inputs!B11</s:f>
        <s:v>2584</s:v>
      </s:c>
      <s:c r="C66" s="5">
        <s:f>Inputs!B10+Inputs!B14+(B66*Inputs!B12+A66*Inputs!B13)*(1+Inputs!B15)</s:f>
        <s:v>8389760.0</s:v>
      </s:c>
      <s:c r="D66" s="5">
        <s:f>C66*(1-Inputs!B19)</s:f>
        <s:v>5453344.0</s:v>
      </s:c>
      <s:c r="E66" s="5">
        <s:f>A66*Investment!B2*Inputs!B9*Inputs!B8*(1-Inputs!B16)</s:f>
        <s:v>308655.0</s:v>
      </s:c>
      <s:c r="F66" s="5">
        <s:f>IF(Inputs!B19=0,0,IF(Inputs!B20=0,C66*Inputs!B19/Inputs!B21,-PMT(Inputs!B20,Inputs!B21,C66*Inputs!B19)))</s:f>
        <s:v>198029.04095727127</s:v>
      </s:c>
      <s:c r="G66" s="5">
        <s:f>E66-F66</s:f>
        <s:v>110625.95904272873</s:v>
      </s:c>
      <s:c r="H66" s="6">
        <s:f>E66/C66</s:f>
        <s:v>0.03678949099855061</s:v>
      </s:c>
      <s:c r="I66" s="5">
        <s:f>IF(F66=0,999,E66/F66)</s:f>
        <s:v>1.5586350290238415</s:v>
      </s:c>
      <s:c r="J66" s="5" t="str">
        <s:f>IF(AND(C66&lt;=Inputs!B22,D66&lt;=Inputs!B23,G66&gt;0,I66&gt;=Inputs!B24,A66&lt;=Inputs!B29),"YES","NO")</s:f>
        <s:v>NO</s:v>
      </s:c>
      <s:c r="K66" s="5">
        <s:f>IF(J66="YES",G66,-1)</s:f>
        <s:v>-1</s:v>
      </s:c>
    </s:row>
    <s:row r="67">
      <s:c r="A67" s="2" t="n">
        <s:v>77</s:v>
      </s:c>
      <s:c r="B67" s="5">
        <s:f>A67*Inputs!B11</s:f>
        <s:v>2618</s:v>
      </s:c>
      <s:c r="C67" s="5">
        <s:f>Inputs!B10+Inputs!B14+(B67*Inputs!B12+A67*Inputs!B13)*(1+Inputs!B15)</s:f>
        <s:v>8485020.0</s:v>
      </s:c>
      <s:c r="D67" s="5">
        <s:f>C67*(1-Inputs!B19)</s:f>
        <s:v>5515263.0</s:v>
      </s:c>
      <s:c r="E67" s="5">
        <s:f>A67*Investment!B2*Inputs!B9*Inputs!B8*(1-Inputs!B16)</s:f>
        <s:v>312716.25</s:v>
      </s:c>
      <s:c r="F67" s="5">
        <s:f>IF(Inputs!B19=0,0,IF(Inputs!B20=0,C67*Inputs!B19/Inputs!B21,-PMT(Inputs!B20,Inputs!B21,C67*Inputs!B19)))</s:f>
        <s:v>200277.52559110938</s:v>
      </s:c>
      <s:c r="G67" s="5">
        <s:f>E67-F67</s:f>
        <s:v>112438.72440889062</s:v>
      </s:c>
      <s:c r="H67" s="6">
        <s:f>E67/C67</s:f>
        <s:v>0.03685509875050383</s:v>
      </s:c>
      <s:c r="I67" s="5">
        <s:f>IF(F67=0,999,E67/F67)</s:f>
        <s:v>1.5614145874682304</s:v>
      </s:c>
      <s:c r="J67" s="5" t="str">
        <s:f>IF(AND(C67&lt;=Inputs!B22,D67&lt;=Inputs!B23,G67&gt;0,I67&gt;=Inputs!B24,A67&lt;=Inputs!B29),"YES","NO")</s:f>
        <s:v>NO</s:v>
      </s:c>
      <s:c r="K67" s="5">
        <s:f>IF(J67="YES",G67,-1)</s:f>
        <s:v>-1</s:v>
      </s:c>
    </s:row>
    <s:row r="68">
      <s:c r="A68" s="2" t="n">
        <s:v>78</s:v>
      </s:c>
      <s:c r="B68" s="5">
        <s:f>A68*Inputs!B11</s:f>
        <s:v>2652</s:v>
      </s:c>
      <s:c r="C68" s="5">
        <s:f>Inputs!B10+Inputs!B14+(B68*Inputs!B12+A68*Inputs!B13)*(1+Inputs!B15)</s:f>
        <s:v>8580280.0</s:v>
      </s:c>
      <s:c r="D68" s="5">
        <s:f>C68*(1-Inputs!B19)</s:f>
        <s:v>5577182.0</s:v>
      </s:c>
      <s:c r="E68" s="5">
        <s:f>A68*Investment!B2*Inputs!B9*Inputs!B8*(1-Inputs!B16)</s:f>
        <s:v>316777.5</s:v>
      </s:c>
      <s:c r="F68" s="5">
        <s:f>IF(Inputs!B19=0,0,IF(Inputs!B20=0,C68*Inputs!B19/Inputs!B21,-PMT(Inputs!B20,Inputs!B21,C68*Inputs!B19)))</s:f>
        <s:v>202526.0102249475</s:v>
      </s:c>
      <s:c r="G68" s="5">
        <s:f>E68-F68</s:f>
        <s:v>114251.4897750525</s:v>
      </s:c>
      <s:c r="H68" s="6">
        <s:f>E68/C68</s:f>
        <s:v>0.036919249721454314</s:v>
      </s:c>
      <s:c r="I68" s="5">
        <s:f>IF(F68=0,999,E68/F68)</s:f>
        <s:v>1.5641324274751294</s:v>
      </s:c>
      <s:c r="J68" s="5" t="str">
        <s:f>IF(AND(C68&lt;=Inputs!B22,D68&lt;=Inputs!B23,G68&gt;0,I68&gt;=Inputs!B24,A68&lt;=Inputs!B29),"YES","NO")</s:f>
        <s:v>NO</s:v>
      </s:c>
      <s:c r="K68" s="5">
        <s:f>IF(J68="YES",G68,-1)</s:f>
        <s:v>-1</s:v>
      </s:c>
    </s:row>
    <s:row r="69">
      <s:c r="A69" s="2" t="n">
        <s:v>79</s:v>
      </s:c>
      <s:c r="B69" s="5">
        <s:f>A69*Inputs!B11</s:f>
        <s:v>2686</s:v>
      </s:c>
      <s:c r="C69" s="5">
        <s:f>Inputs!B10+Inputs!B14+(B69*Inputs!B12+A69*Inputs!B13)*(1+Inputs!B15)</s:f>
        <s:v>8675540.0</s:v>
      </s:c>
      <s:c r="D69" s="5">
        <s:f>C69*(1-Inputs!B19)</s:f>
        <s:v>5639101.0</s:v>
      </s:c>
      <s:c r="E69" s="5">
        <s:f>A69*Investment!B2*Inputs!B9*Inputs!B8*(1-Inputs!B16)</s:f>
        <s:v>320838.75</s:v>
      </s:c>
      <s:c r="F69" s="5">
        <s:f>IF(Inputs!B19=0,0,IF(Inputs!B20=0,C69*Inputs!B19/Inputs!B21,-PMT(Inputs!B20,Inputs!B21,C69*Inputs!B19)))</s:f>
        <s:v>204774.49485878562</s:v>
      </s:c>
      <s:c r="G69" s="5">
        <s:f>E69-F69</s:f>
        <s:v>116064.25514121438</s:v>
      </s:c>
      <s:c r="H69" s="6">
        <s:f>E69/C69</s:f>
        <s:v>0.03698199189906334</s:v>
      </s:c>
      <s:c r="I69" s="5">
        <s:f>IF(F69=0,999,E69/F69)</s:f>
        <s:v>1.566790582104736</s:v>
      </s:c>
      <s:c r="J69" s="5" t="str">
        <s:f>IF(AND(C69&lt;=Inputs!B22,D69&lt;=Inputs!B23,G69&gt;0,I69&gt;=Inputs!B24,A69&lt;=Inputs!B29),"YES","NO")</s:f>
        <s:v>NO</s:v>
      </s:c>
      <s:c r="K69" s="5">
        <s:f>IF(J69="YES",G69,-1)</s:f>
        <s:v>-1</s:v>
      </s:c>
    </s:row>
    <s:row r="70">
      <s:c r="A70" s="2" t="n">
        <s:v>80</s:v>
      </s:c>
      <s:c r="B70" s="5">
        <s:f>A70*Inputs!B11</s:f>
        <s:v>2720</s:v>
      </s:c>
      <s:c r="C70" s="5">
        <s:f>Inputs!B10+Inputs!B14+(B70*Inputs!B12+A70*Inputs!B13)*(1+Inputs!B15)</s:f>
        <s:v>8770800.0</s:v>
      </s:c>
      <s:c r="D70" s="5">
        <s:f>C70*(1-Inputs!B19)</s:f>
        <s:v>5701020.0</s:v>
      </s:c>
      <s:c r="E70" s="5">
        <s:f>A70*Investment!B2*Inputs!B9*Inputs!B8*(1-Inputs!B16)</s:f>
        <s:v>324900.0</s:v>
      </s:c>
      <s:c r="F70" s="5">
        <s:f>IF(Inputs!B19=0,0,IF(Inputs!B20=0,C70*Inputs!B19/Inputs!B21,-PMT(Inputs!B20,Inputs!B21,C70*Inputs!B19)))</s:f>
        <s:v>207022.97949262374</s:v>
      </s:c>
      <s:c r="G70" s="5">
        <s:f>E70-F70</s:f>
        <s:v>117877.02050737626</s:v>
      </s:c>
      <s:c r="H70" s="6">
        <s:f>E70/C70</s:f>
        <s:v>0.03704337118620878</s:v>
      </s:c>
      <s:c r="I70" s="5">
        <s:f>IF(F70=0,999,E70/F70)</s:f>
        <s:v>1.5693909960926644</s:v>
      </s:c>
      <s:c r="J70" s="5" t="str">
        <s:f>IF(AND(C70&lt;=Inputs!B22,D70&lt;=Inputs!B23,G70&gt;0,I70&gt;=Inputs!B24,A70&lt;=Inputs!B29),"YES","NO")</s:f>
        <s:v>NO</s:v>
      </s:c>
      <s:c r="K70" s="5">
        <s:f>IF(J70="YES",G70,-1)</s:f>
        <s:v>-1</s:v>
      </s:c>
    </s:row>
    <s:row r="71">
      <s:c r="A71" s="2" t="n">
        <s:v>81</s:v>
      </s:c>
      <s:c r="B71" s="5">
        <s:f>A71*Inputs!B11</s:f>
        <s:v>2754</s:v>
      </s:c>
      <s:c r="C71" s="5">
        <s:f>Inputs!B10+Inputs!B14+(B71*Inputs!B12+A71*Inputs!B13)*(1+Inputs!B15)</s:f>
        <s:v>8866060.0</s:v>
      </s:c>
      <s:c r="D71" s="5">
        <s:f>C71*(1-Inputs!B19)</s:f>
        <s:v>5762939.0</s:v>
      </s:c>
      <s:c r="E71" s="5">
        <s:f>A71*Investment!B2*Inputs!B9*Inputs!B8*(1-Inputs!B16)</s:f>
        <s:v>328961.25</s:v>
      </s:c>
      <s:c r="F71" s="5">
        <s:f>IF(Inputs!B19=0,0,IF(Inputs!B20=0,C71*Inputs!B19/Inputs!B21,-PMT(Inputs!B20,Inputs!B21,C71*Inputs!B19)))</s:f>
        <s:v>209271.46412646185</s:v>
      </s:c>
      <s:c r="G71" s="5">
        <s:f>E71-F71</s:f>
        <s:v>119689.78587353815</s:v>
      </s:c>
      <s:c r="H71" s="6">
        <s:f>E71/C71</s:f>
        <s:v>0.03710343151298322</s:v>
      </s:c>
      <s:c r="I71" s="5">
        <s:f>IF(F71=0,999,E71/F71)</s:f>
        <s:v>1.5719355305948932</s:v>
      </s:c>
      <s:c r="J71" s="5" t="str">
        <s:f>IF(AND(C71&lt;=Inputs!B22,D71&lt;=Inputs!B23,G71&gt;0,I71&gt;=Inputs!B24,A71&lt;=Inputs!B29),"YES","NO")</s:f>
        <s:v>NO</s:v>
      </s:c>
      <s:c r="K71" s="5">
        <s:f>IF(J71="YES",G71,-1)</s:f>
        <s:v>-1</s:v>
      </s:c>
    </s:row>
    <s:row r="72">
      <s:c r="A72" s="2" t="n">
        <s:v>82</s:v>
      </s:c>
      <s:c r="B72" s="5">
        <s:f>A72*Inputs!B11</s:f>
        <s:v>2788</s:v>
      </s:c>
      <s:c r="C72" s="5">
        <s:f>Inputs!B10+Inputs!B14+(B72*Inputs!B12+A72*Inputs!B13)*(1+Inputs!B15)</s:f>
        <s:v>8961320.0</s:v>
      </s:c>
      <s:c r="D72" s="5">
        <s:f>C72*(1-Inputs!B19)</s:f>
        <s:v>5824858.0</s:v>
      </s:c>
      <s:c r="E72" s="5">
        <s:f>A72*Investment!B2*Inputs!B9*Inputs!B8*(1-Inputs!B16)</s:f>
        <s:v>333022.5</s:v>
      </s:c>
      <s:c r="F72" s="5">
        <s:f>IF(Inputs!B19=0,0,IF(Inputs!B20=0,C72*Inputs!B19/Inputs!B21,-PMT(Inputs!B20,Inputs!B21,C72*Inputs!B19)))</s:f>
        <s:v>211519.94876029997</s:v>
      </s:c>
      <s:c r="G72" s="5">
        <s:f>E72-F72</s:f>
        <s:v>121502.55123970003</s:v>
      </s:c>
      <s:c r="H72" s="6">
        <s:f>E72/C72</s:f>
        <s:v>0.03716221494154879</s:v>
      </s:c>
      <s:c r="I72" s="5">
        <s:f>IF(F72=0,999,E72/F72)</s:f>
        <s:v>1.574425967630079</s:v>
      </s:c>
      <s:c r="J72" s="5" t="str">
        <s:f>IF(AND(C72&lt;=Inputs!B22,D72&lt;=Inputs!B23,G72&gt;0,I72&gt;=Inputs!B24,A72&lt;=Inputs!B29),"YES","NO")</s:f>
        <s:v>NO</s:v>
      </s:c>
      <s:c r="K72" s="5">
        <s:f>IF(J72="YES",G72,-1)</s:f>
        <s:v>-1</s:v>
      </s:c>
    </s:row>
    <s:row r="73">
      <s:c r="A73" s="2" t="n">
        <s:v>83</s:v>
      </s:c>
      <s:c r="B73" s="5">
        <s:f>A73*Inputs!B11</s:f>
        <s:v>2822</s:v>
      </s:c>
      <s:c r="C73" s="5">
        <s:f>Inputs!B10+Inputs!B14+(B73*Inputs!B12+A73*Inputs!B13)*(1+Inputs!B15)</s:f>
        <s:v>9056580.0</s:v>
      </s:c>
      <s:c r="D73" s="5">
        <s:f>C73*(1-Inputs!B19)</s:f>
        <s:v>5886777.0</s:v>
      </s:c>
      <s:c r="E73" s="5">
        <s:f>A73*Investment!B2*Inputs!B9*Inputs!B8*(1-Inputs!B16)</s:f>
        <s:v>337083.75</s:v>
      </s:c>
      <s:c r="F73" s="5">
        <s:f>IF(Inputs!B19=0,0,IF(Inputs!B20=0,C73*Inputs!B19/Inputs!B21,-PMT(Inputs!B20,Inputs!B21,C73*Inputs!B19)))</s:f>
        <s:v>213768.43339413803</s:v>
      </s:c>
      <s:c r="G73" s="5">
        <s:f>E73-F73</s:f>
        <s:v>123315.31660586197</s:v>
      </s:c>
      <s:c r="H73" s="6">
        <s:f>E73/C73</s:f>
        <s:v>0.03721976176437463</s:v>
      </s:c>
      <s:c r="I73" s="5">
        <s:f>IF(F73=0,999,E73/F73)</s:f>
        <s:v>1.5768640142415131</s:v>
      </s:c>
      <s:c r="J73" s="5" t="str">
        <s:f>IF(AND(C73&lt;=Inputs!B22,D73&lt;=Inputs!B23,G73&gt;0,I73&gt;=Inputs!B24,A73&lt;=Inputs!B29),"YES","NO")</s:f>
        <s:v>NO</s:v>
      </s:c>
      <s:c r="K73" s="5">
        <s:f>IF(J73="YES",G73,-1)</s:f>
        <s:v>-1</s:v>
      </s:c>
    </s:row>
    <s:row r="74">
      <s:c r="A74" s="2" t="n">
        <s:v>84</s:v>
      </s:c>
      <s:c r="B74" s="5">
        <s:f>A74*Inputs!B11</s:f>
        <s:v>2856</s:v>
      </s:c>
      <s:c r="C74" s="5">
        <s:f>Inputs!B10+Inputs!B14+(B74*Inputs!B12+A74*Inputs!B13)*(1+Inputs!B15)</s:f>
        <s:v>9151840.0</s:v>
      </s:c>
      <s:c r="D74" s="5">
        <s:f>C74*(1-Inputs!B19)</s:f>
        <s:v>5948696.0</s:v>
      </s:c>
      <s:c r="E74" s="5">
        <s:f>A74*Investment!B2*Inputs!B9*Inputs!B8*(1-Inputs!B16)</s:f>
        <s:v>341145.0</s:v>
      </s:c>
      <s:c r="F74" s="5">
        <s:f>IF(Inputs!B19=0,0,IF(Inputs!B20=0,C74*Inputs!B19/Inputs!B21,-PMT(Inputs!B20,Inputs!B21,C74*Inputs!B19)))</s:f>
        <s:v>216016.91802797615</s:v>
      </s:c>
      <s:c r="G74" s="5">
        <s:f>E74-F74</s:f>
        <s:v>125128.08197202385</s:v>
      </s:c>
      <s:c r="H74" s="6">
        <s:f>E74/C74</s:f>
        <s:v>0.0372761105963391</s:v>
      </s:c>
      <s:c r="I74" s="5">
        <s:f>IF(F74=0,999,E74/F74)</s:f>
        <s:v>1.5792513063991527</s:v>
      </s:c>
      <s:c r="J74" s="5" t="str">
        <s:f>IF(AND(C74&lt;=Inputs!B22,D74&lt;=Inputs!B23,G74&gt;0,I74&gt;=Inputs!B24,A74&lt;=Inputs!B29),"YES","NO")</s:f>
        <s:v>NO</s:v>
      </s:c>
      <s:c r="K74" s="5">
        <s:f>IF(J74="YES",G74,-1)</s:f>
        <s:v>-1</s:v>
      </s:c>
    </s:row>
    <s:row r="75">
      <s:c r="A75" s="2" t="n">
        <s:v>85</s:v>
      </s:c>
      <s:c r="B75" s="5">
        <s:f>A75*Inputs!B11</s:f>
        <s:v>2890</s:v>
      </s:c>
      <s:c r="C75" s="5">
        <s:f>Inputs!B10+Inputs!B14+(B75*Inputs!B12+A75*Inputs!B13)*(1+Inputs!B15)</s:f>
        <s:v>9247100.0</s:v>
      </s:c>
      <s:c r="D75" s="5">
        <s:f>C75*(1-Inputs!B19)</s:f>
        <s:v>6010615.0</s:v>
      </s:c>
      <s:c r="E75" s="5">
        <s:f>A75*Investment!B2*Inputs!B9*Inputs!B8*(1-Inputs!B16)</s:f>
        <s:v>345206.25</s:v>
      </s:c>
      <s:c r="F75" s="5">
        <s:f>IF(Inputs!B19=0,0,IF(Inputs!B20=0,C75*Inputs!B19/Inputs!B21,-PMT(Inputs!B20,Inputs!B21,C75*Inputs!B19)))</s:f>
        <s:v>218265.40266181427</s:v>
      </s:c>
      <s:c r="G75" s="5">
        <s:f>E75-F75</s:f>
        <s:v>126940.84733818573</s:v>
      </s:c>
      <s:c r="H75" s="6">
        <s:f>E75/C75</s:f>
        <s:v>0.03733129846113917</s:v>
      </s:c>
      <s:c r="I75" s="5">
        <s:f>IF(F75=0,999,E75/F75)</s:f>
        <s:v>1.5815894126604708</s:v>
      </s:c>
      <s:c r="J75" s="5" t="str">
        <s:f>IF(AND(C75&lt;=Inputs!B22,D75&lt;=Inputs!B23,G75&gt;0,I75&gt;=Inputs!B24,A75&lt;=Inputs!B29),"YES","NO")</s:f>
        <s:v>NO</s:v>
      </s:c>
      <s:c r="K75" s="5">
        <s:f>IF(J75="YES",G75,-1)</s:f>
        <s:v>-1</s:v>
      </s:c>
    </s:row>
    <s:row r="76">
      <s:c r="A76" s="2" t="n">
        <s:v>86</s:v>
      </s:c>
      <s:c r="B76" s="5">
        <s:f>A76*Inputs!B11</s:f>
        <s:v>2924</s:v>
      </s:c>
      <s:c r="C76" s="5">
        <s:f>Inputs!B10+Inputs!B14+(B76*Inputs!B12+A76*Inputs!B13)*(1+Inputs!B15)</s:f>
        <s:v>9342360.0</s:v>
      </s:c>
      <s:c r="D76" s="5">
        <s:f>C76*(1-Inputs!B19)</s:f>
        <s:v>6072534.0</s:v>
      </s:c>
      <s:c r="E76" s="5">
        <s:f>A76*Investment!B2*Inputs!B9*Inputs!B8*(1-Inputs!B16)</s:f>
        <s:v>349267.5</s:v>
      </s:c>
      <s:c r="F76" s="5">
        <s:f>IF(Inputs!B19=0,0,IF(Inputs!B20=0,C76*Inputs!B19/Inputs!B21,-PMT(Inputs!B20,Inputs!B21,C76*Inputs!B19)))</s:f>
        <s:v>220513.88729565238</s:v>
      </s:c>
      <s:c r="G76" s="5">
        <s:f>E76-F76</s:f>
        <s:v>128753.61270434762</s:v>
      </s:c>
      <s:c r="H76" s="6">
        <s:f>E76/C76</s:f>
        <s:v>0.0373853608724134</s:v>
      </s:c>
      <s:c r="I76" s="5">
        <s:f>IF(F76=0,999,E76/F76)</s:f>
        <s:v>1.5838798376073346</s:v>
      </s:c>
      <s:c r="J76" s="5" t="str">
        <s:f>IF(AND(C76&lt;=Inputs!B22,D76&lt;=Inputs!B23,G76&gt;0,I76&gt;=Inputs!B24,A76&lt;=Inputs!B29),"YES","NO")</s:f>
        <s:v>NO</s:v>
      </s:c>
      <s:c r="K76" s="5">
        <s:f>IF(J76="YES",G76,-1)</s:f>
        <s:v>-1</s:v>
      </s:c>
    </s:row>
    <s:row r="77">
      <s:c r="A77" s="2" t="n">
        <s:v>87</s:v>
      </s:c>
      <s:c r="B77" s="5">
        <s:f>A77*Inputs!B11</s:f>
        <s:v>2958</s:v>
      </s:c>
      <s:c r="C77" s="5">
        <s:f>Inputs!B10+Inputs!B14+(B77*Inputs!B12+A77*Inputs!B13)*(1+Inputs!B15)</s:f>
        <s:v>9437620.0</s:v>
      </s:c>
      <s:c r="D77" s="5">
        <s:f>C77*(1-Inputs!B19)</s:f>
        <s:v>6134453.0</s:v>
      </s:c>
      <s:c r="E77" s="5">
        <s:f>A77*Investment!B2*Inputs!B9*Inputs!B8*(1-Inputs!B16)</s:f>
        <s:v>353328.75</s:v>
      </s:c>
      <s:c r="F77" s="5">
        <s:f>IF(Inputs!B19=0,0,IF(Inputs!B20=0,C77*Inputs!B19/Inputs!B21,-PMT(Inputs!B20,Inputs!B21,C77*Inputs!B19)))</s:f>
        <s:v>222762.3719294905</s:v>
      </s:c>
      <s:c r="G77" s="5">
        <s:f>E77-F77</s:f>
        <s:v>130566.3780705095</s:v>
      </s:c>
      <s:c r="H77" s="6">
        <s:f>E77/C77</s:f>
        <s:v>0.037438331909951876</s:v>
      </s:c>
      <s:c r="I77" s="5">
        <s:f>IF(F77=0,999,E77/F77)</s:f>
        <s:v>1.586124025074741</s:v>
      </s:c>
      <s:c r="J77" s="5" t="str">
        <s:f>IF(AND(C77&lt;=Inputs!B22,D77&lt;=Inputs!B23,G77&gt;0,I77&gt;=Inputs!B24,A77&lt;=Inputs!B29),"YES","NO")</s:f>
        <s:v>NO</s:v>
      </s:c>
      <s:c r="K77" s="5">
        <s:f>IF(J77="YES",G77,-1)</s:f>
        <s:v>-1</s:v>
      </s:c>
    </s:row>
    <s:row r="78">
      <s:c r="A78" s="2" t="n">
        <s:v>88</s:v>
      </s:c>
      <s:c r="B78" s="5">
        <s:f>A78*Inputs!B11</s:f>
        <s:v>2992</s:v>
      </s:c>
      <s:c r="C78" s="5">
        <s:f>Inputs!B10+Inputs!B14+(B78*Inputs!B12+A78*Inputs!B13)*(1+Inputs!B15)</s:f>
        <s:v>9532880.0</s:v>
      </s:c>
      <s:c r="D78" s="5">
        <s:f>C78*(1-Inputs!B19)</s:f>
        <s:v>6196372.0</s:v>
      </s:c>
      <s:c r="E78" s="5">
        <s:f>A78*Investment!B2*Inputs!B9*Inputs!B8*(1-Inputs!B16)</s:f>
        <s:v>357390.0</s:v>
      </s:c>
      <s:c r="F78" s="5">
        <s:f>IF(Inputs!B19=0,0,IF(Inputs!B20=0,C78*Inputs!B19/Inputs!B21,-PMT(Inputs!B20,Inputs!B21,C78*Inputs!B19)))</s:f>
        <s:v>225010.85656332862</s:v>
      </s:c>
      <s:c r="G78" s="5">
        <s:f>E78-F78</s:f>
        <s:v>132379.14343667138</s:v>
      </s:c>
      <s:c r="H78" s="6">
        <s:f>E78/C78</s:f>
        <s:v>0.03749024429133693</s:v>
      </s:c>
      <s:c r="I78" s="5">
        <s:f>IF(F78=0,999,E78/F78)</s:f>
        <s:v>1.5883233611859686</s:v>
      </s:c>
      <s:c r="J78" s="5" t="str">
        <s:f>IF(AND(C78&lt;=Inputs!B22,D78&lt;=Inputs!B23,G78&gt;0,I78&gt;=Inputs!B24,A78&lt;=Inputs!B29),"YES","NO")</s:f>
        <s:v>NO</s:v>
      </s:c>
      <s:c r="K78" s="5">
        <s:f>IF(J78="YES",G78,-1)</s:f>
        <s:v>-1</s:v>
      </s:c>
    </s:row>
    <s:row r="79">
      <s:c r="A79" s="2" t="n">
        <s:v>89</s:v>
      </s:c>
      <s:c r="B79" s="5">
        <s:f>A79*Inputs!B11</s:f>
        <s:v>3026</s:v>
      </s:c>
      <s:c r="C79" s="5">
        <s:f>Inputs!B10+Inputs!B14+(B79*Inputs!B12+A79*Inputs!B13)*(1+Inputs!B15)</s:f>
        <s:v>9628140.0</s:v>
      </s:c>
      <s:c r="D79" s="5">
        <s:f>C79*(1-Inputs!B19)</s:f>
        <s:v>6258291.0</s:v>
      </s:c>
      <s:c r="E79" s="5">
        <s:f>A79*Investment!B2*Inputs!B9*Inputs!B8*(1-Inputs!B16)</s:f>
        <s:v>361451.25</s:v>
      </s:c>
      <s:c r="F79" s="5">
        <s:f>IF(Inputs!B19=0,0,IF(Inputs!B20=0,C79*Inputs!B19/Inputs!B21,-PMT(Inputs!B20,Inputs!B21,C79*Inputs!B19)))</s:f>
        <s:v>227259.34119716674</s:v>
      </s:c>
      <s:c r="G79" s="5">
        <s:f>E79-F79</s:f>
        <s:v>134191.90880283326</s:v>
      </s:c>
      <s:c r="H79" s="6">
        <s:f>E79/C79</s:f>
        <s:v>0.03754112943933096</s:v>
      </s:c>
      <s:c r="I79" s="5">
        <s:f>IF(F79=0,999,E79/F79)</s:f>
        <s:v>1.5904791772075517</s:v>
      </s:c>
      <s:c r="J79" s="5" t="str">
        <s:f>IF(AND(C79&lt;=Inputs!B22,D79&lt;=Inputs!B23,G79&gt;0,I79&gt;=Inputs!B24,A79&lt;=Inputs!B29),"YES","NO")</s:f>
        <s:v>NO</s:v>
      </s:c>
      <s:c r="K79" s="5">
        <s:f>IF(J79="YES",G79,-1)</s:f>
        <s:v>-1</s:v>
      </s:c>
    </s:row>
    <s:row r="80">
      <s:c r="A80" s="2" t="n">
        <s:v>90</s:v>
      </s:c>
      <s:c r="B80" s="5">
        <s:f>A80*Inputs!B11</s:f>
        <s:v>3060</s:v>
      </s:c>
      <s:c r="C80" s="5">
        <s:f>Inputs!B10+Inputs!B14+(B80*Inputs!B12+A80*Inputs!B13)*(1+Inputs!B15)</s:f>
        <s:v>9723400.0</s:v>
      </s:c>
      <s:c r="D80" s="5">
        <s:f>C80*(1-Inputs!B19)</s:f>
        <s:v>6320210.0</s:v>
      </s:c>
      <s:c r="E80" s="5">
        <s:f>A80*Investment!B2*Inputs!B9*Inputs!B8*(1-Inputs!B16)</s:f>
        <s:v>365512.5</s:v>
      </s:c>
      <s:c r="F80" s="5">
        <s:f>IF(Inputs!B19=0,0,IF(Inputs!B20=0,C80*Inputs!B19/Inputs!B21,-PMT(Inputs!B20,Inputs!B21,C80*Inputs!B19)))</s:f>
        <s:v>229507.82583100485</s:v>
      </s:c>
      <s:c r="G80" s="5">
        <s:f>E80-F80</s:f>
        <s:v>136004.67416899515</s:v>
      </s:c>
      <s:c r="H80" s="6">
        <s:f>E80/C80</s:f>
        <s:v>0.037591017545303085</s:v>
      </s:c>
      <s:c r="I80" s="5">
        <s:f>IF(F80=0,999,E80/F80)</s:f>
        <s:v>1.5925927522364334</s:v>
      </s:c>
      <s:c r="J80" s="5" t="str">
        <s:f>IF(AND(C80&lt;=Inputs!B22,D80&lt;=Inputs!B23,G80&gt;0,I80&gt;=Inputs!B24,A80&lt;=Inputs!B29),"YES","NO")</s:f>
        <s:v>NO</s:v>
      </s:c>
      <s:c r="K80" s="5">
        <s:f>IF(J80="YES",G80,-1)</s:f>
        <s:v>-1</s:v>
      </s:c>
    </s:row>
    <s:row r="81">
      <s:c r="A81" s="2" t="n">
        <s:v>91</s:v>
      </s:c>
      <s:c r="B81" s="5">
        <s:f>A81*Inputs!B11</s:f>
        <s:v>3094</s:v>
      </s:c>
      <s:c r="C81" s="5">
        <s:f>Inputs!B10+Inputs!B14+(B81*Inputs!B12+A81*Inputs!B13)*(1+Inputs!B15)</s:f>
        <s:v>9818660.0</s:v>
      </s:c>
      <s:c r="D81" s="5">
        <s:f>C81*(1-Inputs!B19)</s:f>
        <s:v>6382129.0</s:v>
      </s:c>
      <s:c r="E81" s="5">
        <s:f>A81*Investment!B2*Inputs!B9*Inputs!B8*(1-Inputs!B16)</s:f>
        <s:v>369573.75</s:v>
      </s:c>
      <s:c r="F81" s="5">
        <s:f>IF(Inputs!B19=0,0,IF(Inputs!B20=0,C81*Inputs!B19/Inputs!B21,-PMT(Inputs!B20,Inputs!B21,C81*Inputs!B19)))</s:f>
        <s:v>231756.31046484297</s:v>
      </s:c>
      <s:c r="G81" s="5">
        <s:f>E81-F81</s:f>
        <s:v>137817.43953515703</s:v>
      </s:c>
      <s:c r="H81" s="6">
        <s:f>E81/C81</s:f>
        <s:v>0.03763993762896363</s:v>
      </s:c>
      <s:c r="I81" s="5">
        <s:f>IF(F81=0,999,E81/F81)</s:f>
        <s:v>1.5946653157306958</s:v>
      </s:c>
      <s:c r="J81" s="5" t="str">
        <s:f>IF(AND(C81&lt;=Inputs!B22,D81&lt;=Inputs!B23,G81&gt;0,I81&gt;=Inputs!B24,A81&lt;=Inputs!B29),"YES","NO")</s:f>
        <s:v>NO</s:v>
      </s:c>
      <s:c r="K81" s="5">
        <s:f>IF(J81="YES",G81,-1)</s:f>
        <s:v>-1</s:v>
      </s:c>
    </s:row>
    <s:row r="82">
      <s:c r="A82" s="2" t="n">
        <s:v>92</s:v>
      </s:c>
      <s:c r="B82" s="5">
        <s:f>A82*Inputs!B11</s:f>
        <s:v>3128</s:v>
      </s:c>
      <s:c r="C82" s="5">
        <s:f>Inputs!B10+Inputs!B14+(B82*Inputs!B12+A82*Inputs!B13)*(1+Inputs!B15)</s:f>
        <s:v>9913920.0</s:v>
      </s:c>
      <s:c r="D82" s="5">
        <s:f>C82*(1-Inputs!B19)</s:f>
        <s:v>6444048.0</s:v>
      </s:c>
      <s:c r="E82" s="5">
        <s:f>A82*Investment!B2*Inputs!B9*Inputs!B8*(1-Inputs!B16)</s:f>
        <s:v>373635.0</s:v>
      </s:c>
      <s:c r="F82" s="5">
        <s:f>IF(Inputs!B19=0,0,IF(Inputs!B20=0,C82*Inputs!B19/Inputs!B21,-PMT(Inputs!B20,Inputs!B21,C82*Inputs!B19)))</s:f>
        <s:v>234004.7950986811</s:v>
      </s:c>
      <s:c r="G82" s="5">
        <s:f>E82-F82</s:f>
        <s:v>139630.2049013189</s:v>
      </s:c>
      <s:c r="H82" s="6">
        <s:f>E82/C82</s:f>
        <s:v>0.037687917594654785</s:v>
      </s:c>
      <s:c r="I82" s="5">
        <s:f>IF(F82=0,999,E82/F82)</s:f>
        <s:v>1.5966980498943883</s:v>
      </s:c>
      <s:c r="J82" s="5" t="str">
        <s:f>IF(AND(C82&lt;=Inputs!B22,D82&lt;=Inputs!B23,G82&gt;0,I82&gt;=Inputs!B24,A82&lt;=Inputs!B29),"YES","NO")</s:f>
        <s:v>NO</s:v>
      </s:c>
      <s:c r="K82" s="5">
        <s:f>IF(J82="YES",G82,-1)</s:f>
        <s:v>-1</s:v>
      </s:c>
    </s:row>
    <s:row r="83">
      <s:c r="A83" s="2" t="n">
        <s:v>93</s:v>
      </s:c>
      <s:c r="B83" s="5">
        <s:f>A83*Inputs!B11</s:f>
        <s:v>3162</s:v>
      </s:c>
      <s:c r="C83" s="5">
        <s:f>Inputs!B10+Inputs!B14+(B83*Inputs!B12+A83*Inputs!B13)*(1+Inputs!B15)</s:f>
        <s:v>10009180.0</s:v>
      </s:c>
      <s:c r="D83" s="5">
        <s:f>C83*(1-Inputs!B19)</s:f>
        <s:v>6505967.0</s:v>
      </s:c>
      <s:c r="E83" s="5">
        <s:f>A83*Investment!B2*Inputs!B9*Inputs!B8*(1-Inputs!B16)</s:f>
        <s:v>377696.25</s:v>
      </s:c>
      <s:c r="F83" s="5">
        <s:f>IF(Inputs!B19=0,0,IF(Inputs!B20=0,C83*Inputs!B19/Inputs!B21,-PMT(Inputs!B20,Inputs!B21,C83*Inputs!B19)))</s:f>
        <s:v>236253.2797325192</s:v>
      </s:c>
      <s:c r="G83" s="5">
        <s:f>E83-F83</s:f>
        <s:v>141442.9702674808</s:v>
      </s:c>
      <s:c r="H83" s="6">
        <s:f>E83/C83</s:f>
        <s:v>0.0377349842844269</s:v>
      </s:c>
      <s:c r="I83" s="5">
        <s:f>IF(F83=0,999,E83/F83)</s:f>
        <s:v>1.5986920919261711</s:v>
      </s:c>
      <s:c r="J83" s="5" t="str">
        <s:f>IF(AND(C83&lt;=Inputs!B22,D83&lt;=Inputs!B23,G83&gt;0,I83&gt;=Inputs!B24,A83&lt;=Inputs!B29),"YES","NO")</s:f>
        <s:v>NO</s:v>
      </s:c>
      <s:c r="K83" s="5">
        <s:f>IF(J83="YES",G83,-1)</s:f>
        <s:v>-1</s:v>
      </s:c>
    </s:row>
    <s:row r="84">
      <s:c r="A84" s="2" t="n">
        <s:v>94</s:v>
      </s:c>
      <s:c r="B84" s="5">
        <s:f>A84*Inputs!B11</s:f>
        <s:v>3196</s:v>
      </s:c>
      <s:c r="C84" s="5">
        <s:f>Inputs!B10+Inputs!B14+(B84*Inputs!B12+A84*Inputs!B13)*(1+Inputs!B15)</s:f>
        <s:v>10104440.0</s:v>
      </s:c>
      <s:c r="D84" s="5">
        <s:f>C84*(1-Inputs!B19)</s:f>
        <s:v>6567886.0</s:v>
      </s:c>
      <s:c r="E84" s="5">
        <s:f>A84*Investment!B2*Inputs!B9*Inputs!B8*(1-Inputs!B16)</s:f>
        <s:v>381757.5</s:v>
      </s:c>
      <s:c r="F84" s="5">
        <s:f>IF(Inputs!B19=0,0,IF(Inputs!B20=0,C84*Inputs!B19/Inputs!B21,-PMT(Inputs!B20,Inputs!B21,C84*Inputs!B19)))</s:f>
        <s:v>238501.76436635733</s:v>
      </s:c>
      <s:c r="G84" s="5">
        <s:f>E84-F84</s:f>
        <s:v>143255.73563364267</s:v>
      </s:c>
      <s:c r="H84" s="6">
        <s:f>E84/C84</s:f>
        <s:v>0.037781163528112394</s:v>
      </s:c>
      <s:c r="I84" s="5">
        <s:f>IF(F84=0,999,E84/F84)</s:f>
        <s:v>1.600648536140767</s:v>
      </s:c>
      <s:c r="J84" s="5" t="str">
        <s:f>IF(AND(C84&lt;=Inputs!B22,D84&lt;=Inputs!B23,G84&gt;0,I84&gt;=Inputs!B24,A84&lt;=Inputs!B29),"YES","NO")</s:f>
        <s:v>NO</s:v>
      </s:c>
      <s:c r="K84" s="5">
        <s:f>IF(J84="YES",G84,-1)</s:f>
        <s:v>-1</s:v>
      </s:c>
    </s:row>
    <s:row r="85">
      <s:c r="A85" s="2" t="n">
        <s:v>95</s:v>
      </s:c>
      <s:c r="B85" s="5">
        <s:f>A85*Inputs!B11</s:f>
        <s:v>3230</s:v>
      </s:c>
      <s:c r="C85" s="5">
        <s:f>Inputs!B10+Inputs!B14+(B85*Inputs!B12+A85*Inputs!B13)*(1+Inputs!B15)</s:f>
        <s:v>10199700.0</s:v>
      </s:c>
      <s:c r="D85" s="5">
        <s:f>C85*(1-Inputs!B19)</s:f>
        <s:v>6629805.0</s:v>
      </s:c>
      <s:c r="E85" s="5">
        <s:f>A85*Investment!B2*Inputs!B9*Inputs!B8*(1-Inputs!B16)</s:f>
        <s:v>385818.75</s:v>
      </s:c>
      <s:c r="F85" s="5">
        <s:f>IF(Inputs!B19=0,0,IF(Inputs!B20=0,C85*Inputs!B19/Inputs!B21,-PMT(Inputs!B20,Inputs!B21,C85*Inputs!B19)))</s:f>
        <s:v>240750.24900019544</s:v>
      </s:c>
      <s:c r="G85" s="5">
        <s:f>E85-F85</s:f>
        <s:v>145068.50099980456</s:v>
      </s:c>
      <s:c r="H85" s="6">
        <s:f>E85/C85</s:f>
        <s:v>0.03782648019059384</s:v>
      </s:c>
      <s:c r="I85" s="5">
        <s:f>IF(F85=0,999,E85/F85)</s:f>
        <s:v>1.6025684359715315</s:v>
      </s:c>
      <s:c r="J85" s="5" t="str">
        <s:f>IF(AND(C85&lt;=Inputs!B22,D85&lt;=Inputs!B23,G85&gt;0,I85&gt;=Inputs!B24,A85&lt;=Inputs!B29),"YES","NO")</s:f>
        <s:v>NO</s:v>
      </s:c>
      <s:c r="K85" s="5">
        <s:f>IF(J85="YES",G85,-1)</s:f>
        <s:v>-1</s:v>
      </s:c>
    </s:row>
    <s:row r="86">
      <s:c r="A86" s="2" t="n">
        <s:v>96</s:v>
      </s:c>
      <s:c r="B86" s="5">
        <s:f>A86*Inputs!B11</s:f>
        <s:v>3264</s:v>
      </s:c>
      <s:c r="C86" s="5">
        <s:f>Inputs!B10+Inputs!B14+(B86*Inputs!B12+A86*Inputs!B13)*(1+Inputs!B15)</s:f>
        <s:v>10294960.0</s:v>
      </s:c>
      <s:c r="D86" s="5">
        <s:f>C86*(1-Inputs!B19)</s:f>
        <s:v>6691724.0</s:v>
      </s:c>
      <s:c r="E86" s="5">
        <s:f>A86*Investment!B2*Inputs!B9*Inputs!B8*(1-Inputs!B16)</s:f>
        <s:v>389880.0</s:v>
      </s:c>
      <s:c r="F86" s="5">
        <s:f>IF(Inputs!B19=0,0,IF(Inputs!B20=0,C86*Inputs!B19/Inputs!B21,-PMT(Inputs!B20,Inputs!B21,C86*Inputs!B19)))</s:f>
        <s:v>242998.73363403356</s:v>
      </s:c>
      <s:c r="G86" s="5">
        <s:f>E86-F86</s:f>
        <s:v>146881.26636596644</s:v>
      </s:c>
      <s:c r="H86" s="6">
        <s:f>E86/C86</s:f>
        <s:v>0.03787095821644766</s:v>
      </s:c>
      <s:c r="I86" s="5">
        <s:f>IF(F86=0,999,E86/F86)</s:f>
        <s:v>1.6044528058618441</s:v>
      </s:c>
      <s:c r="J86" s="5" t="str">
        <s:f>IF(AND(C86&lt;=Inputs!B22,D86&lt;=Inputs!B23,G86&gt;0,I86&gt;=Inputs!B24,A86&lt;=Inputs!B29),"YES","NO")</s:f>
        <s:v>NO</s:v>
      </s:c>
      <s:c r="K86" s="5">
        <s:f>IF(J86="YES",G86,-1)</s:f>
        <s:v>-1</s:v>
      </s:c>
    </s:row>
    <s:row r="87">
      <s:c r="A87" s="2" t="n"/>
      <s:c r="B87" s="2" t="n"/>
      <s:c r="C87" s="2" t="n"/>
      <s:c r="D87" s="2" t="n"/>
      <s:c r="E87" s="2" t="n"/>
      <s:c r="F87" s="2" t="n"/>
      <s:c r="G87" s="2" t="n"/>
      <s:c r="H87" s="2" t="n"/>
      <s:c r="I87" s="2" t="n"/>
      <s:c r="J87" s="2" t="n"/>
      <s:c r="K87" s="2" t="n"/>
    </s:row>
    <s:row r="88">
      <s:c r="A88" s="2" t="n"/>
      <s:c r="B88" s="2" t="n"/>
      <s:c r="C88" s="2" t="n"/>
      <s:c r="D88" s="2" t="n"/>
      <s:c r="E88" s="2" t="n"/>
      <s:c r="F88" s="2" t="n"/>
      <s:c r="G88" s="2" t="n"/>
      <s:c r="H88" s="2" t="n"/>
      <s:c r="I88" s="2" t="n"/>
      <s:c r="J88" s="2" t="n"/>
      <s:c r="K88" s="2" t="n"/>
    </s:row>
    <s:row r="89">
      <s:c r="A89" s="2" t="inlineStr">
        <s:is>
          <s:t>Recommended rooms</s:t>
        </s:is>
      </s:c>
      <s:c r="B89" s="5">
        <s:f>IF(MAX(K2:K86)&lt;0,"No feasible candidate",INDEX(A2:A86,MATCH(MAX(K2:K86),K2:K86,0)))</s:f>
        <s:v>40</s:v>
      </s:c>
      <s:c r="C89" s="2" t="n"/>
      <s:c r="D89" s="2" t="n"/>
      <s:c r="E89" s="2" t="n"/>
      <s:c r="F89" s="2" t="n"/>
      <s:c r="G89" s="2" t="n"/>
      <s:c r="H89" s="2" t="n"/>
      <s:c r="I89" s="2" t="n"/>
      <s:c r="J89" s="2" t="n"/>
      <s:c r="K89" s="2" t="n"/>
    </s:row>
    <s:row r="90">
      <s:c r="A90" s="2" t="inlineStr">
        <s:is>
          <s:t>Scope</s:t>
        </s:is>
      </s:c>
      <s:c r="B90" s="2" t="inlineStr">
        <s:is>
          <s:t>Best of tested sizes only; site capacity, planning consent and demand must be confirmed.</s:t>
        </s:is>
      </s:c>
      <s:c r="C90" s="2" t="n"/>
      <s:c r="D90" s="2" t="n"/>
      <s:c r="E90" s="2" t="n"/>
      <s:c r="F90" s="2" t="n"/>
      <s:c r="G90" s="2" t="n"/>
      <s:c r="H90" s="2" t="n"/>
      <s:c r="I90" s="2" t="n"/>
      <s:c r="J90" s="2" t="n"/>
      <s:c r="K90" s="2" t="n"/>
    </s:row>
    <s:row r="91">
      <s:c r="A91" t="inlineStr">
        <s:is>
          <s:t>Minimum feasible rooms</s:t>
        </s:is>
      </s:c>
      <s:c r="B91">
        <s:f>IF(COUNTIF(J2:J86,"YES")=0,"No feasible candidate",MATCH("YES",J2:J86,0)+11)</s:f>
        <s:v>24</s:v>
      </s:c>
    </s:row>
    <s:row r="92">
      <s:c r="A92" t="inlineStr">
        <s:is>
          <s:t>Investment recommendation</s:t>
        </s:is>
      </s:c>
      <s:c r="B92" t="inlineStr">
        <s:is>
          <s:t>Conditional screening result only: target yield, address rent and planning require separate approval.</s:t>
        </s:is>
      </s:c>
    </s:row>
  </s:sheetData>
  <s:autoFilter ref="A1:K90"/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H5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3" customWidth="1" min="1" max="1"/>
    <s:col width="23" customWidth="1" min="2" max="2"/>
    <s:col width="23" customWidth="1" min="3" max="3"/>
    <s:col width="23" customWidth="1" min="4" max="4"/>
    <s:col width="23" customWidth="1" min="5" max="5"/>
    <s:col width="23" customWidth="1" min="6" max="6"/>
    <s:col width="23" customWidth="1" min="7" max="7"/>
    <s:col width="23" customWidth="1" min="8" max="8"/>
  </s:cols>
  <s:sheetData>
    <s:row r="1" ht="32" customHeight="1">
      <s:c r="A1" s="1" t="inlineStr">
        <s:is>
          <s:t>Scenario</s:t>
        </s:is>
      </s:c>
      <s:c r="B1" s="1" t="inlineStr">
        <s:is>
          <s:t>Rent</s:t>
        </s:is>
      </s:c>
      <s:c r="C1" s="1" t="inlineStr">
        <s:is>
          <s:t>Occupancy</s:t>
        </s:is>
      </s:c>
      <s:c r="D1" s="1" t="inlineStr">
        <s:is>
          <s:t>Cost multiplier</s:t>
        </s:is>
      </s:c>
      <s:c r="E1" s="1" t="inlineStr">
        <s:is>
          <s:t>NOI</s:t>
        </s:is>
      </s:c>
      <s:c r="F1" s="1" t="inlineStr">
        <s:is>
          <s:t>Total investment</s:t>
        </s:is>
      </s:c>
      <s:c r="G1" s="1" t="inlineStr">
        <s:is>
          <s:t>Net yield</s:t>
        </s:is>
      </s:c>
      <s:c r="H1" s="1" t="inlineStr">
        <s:is>
          <s:t>Static project payback incl. delay</s:t>
        </s:is>
      </s:c>
    </s:row>
    <s:row r="2">
      <s:c r="A2" s="2" t="inlineStr">
        <s:is>
          <s:t>Downside</s:t>
        </s:is>
      </s:c>
      <s:c r="B2" s="2" t="n">
        <s:v>400</s:v>
      </s:c>
      <s:c r="C2" s="2" t="n">
        <s:v>0.9</s:v>
      </s:c>
      <s:c r="D2" s="2" t="n">
        <s:v>1.15</s:v>
      </s:c>
      <s:c r="E2" s="5">
        <s:f>Inputs!B2*MIN(B2,Inputs!B3-Inputs!B4,Inputs!B5,Inputs!B6)*Inputs!B9*C2*(1-Inputs!B16)</s:f>
        <s:v>129600.0</s:v>
      </s:c>
      <s:c r="F2" s="5">
        <s:f>Investment!B8*D2</s:f>
        <s:v>5704460.0</s:v>
      </s:c>
      <s:c r="G2" s="6">
        <s:f>E2/F2</s:f>
        <s:v>0.022719065433012064</s:v>
      </s:c>
      <s:c r="H2" s="5">
        <s:f>F2/E2+Inputs!B28</s:f>
        <s:v>46.01589506172839</s:v>
      </s:c>
    </s:row>
    <s:row r="3">
      <s:c r="A3" s="2" t="inlineStr">
        <s:is>
          <s:t>Base</s:t>
        </s:is>
      </s:c>
      <s:c r="B3" s="2" t="n">
        <s:v>475</s:v>
      </s:c>
      <s:c r="C3" s="2" t="n">
        <s:v>0.95</s:v>
      </s:c>
      <s:c r="D3" s="2" t="n">
        <s:v>1</s:v>
      </s:c>
      <s:c r="E3" s="5">
        <s:f>Inputs!B2*MIN(B3,Inputs!B3-Inputs!B4,Inputs!B5,Inputs!B6)*Inputs!B9*C3*(1-Inputs!B16)</s:f>
        <s:v>162450.0</s:v>
      </s:c>
      <s:c r="F3" s="5">
        <s:f>Investment!B8*D3</s:f>
        <s:v>4960400.0</s:v>
      </s:c>
      <s:c r="G3" s="6">
        <s:f>E3/F3</s:f>
        <s:v>0.03274937505039916</s:v>
      </s:c>
      <s:c r="H3" s="5">
        <s:f>F3/E3+Inputs!B28</s:f>
        <s:v>32.53493382579255</s:v>
      </s:c>
    </s:row>
    <s:row r="4">
      <s:c r="A4" s="2" t="inlineStr">
        <s:is>
          <s:t>Upside</s:t>
        </s:is>
      </s:c>
      <s:c r="B4" s="2" t="n">
        <s:v>500</s:v>
      </s:c>
      <s:c r="C4" s="2" t="n">
        <s:v>0.98</s:v>
      </s:c>
      <s:c r="D4" s="2" t="n">
        <s:v>0.95</s:v>
      </s:c>
      <s:c r="E4" s="5">
        <s:f>Inputs!B2*MIN(B4,Inputs!B3-Inputs!B4,Inputs!B5,Inputs!B6)*Inputs!B9*C4*(1-Inputs!B16)</s:f>
        <s:v>176400.0</s:v>
      </s:c>
      <s:c r="F4" s="5">
        <s:f>Investment!B8*D4</s:f>
        <s:v>4712380.0</s:v>
      </s:c>
      <s:c r="G4" s="6">
        <s:f>E4/F4</s:f>
        <s:v>0.0374333139517611</s:v>
      </s:c>
      <s:c r="H4" s="5">
        <s:f>F4/E4+Inputs!B28</s:f>
        <s:v>28.714172335600907</s:v>
      </s:c>
    </s:row>
    <s:row r="5">
      <s:c r="A5" s="2" t="inlineStr">
        <s:is>
          <s:t>VUB all-in match</s:t>
        </s:is>
      </s:c>
      <s:c r="B5" s="2" t="n">
        <s:v>349.3</s:v>
      </s:c>
      <s:c r="C5" s="2" t="n">
        <s:v>0.95</s:v>
      </s:c>
      <s:c r="D5" s="2" t="n">
        <s:v>1</s:v>
      </s:c>
      <s:c r="E5" s="5">
        <s:f>Inputs!B2*MIN(B5,Inputs!B3-Inputs!B4,Inputs!B5,Inputs!B6)*Inputs!B9*C5*(1-Inputs!B16)</s:f>
        <s:v>119460.59999999999</s:v>
      </s:c>
      <s:c r="F5" s="5">
        <s:f>Investment!B8*D5</s:f>
        <s:v>4960400.0</s:v>
      </s:c>
      <s:c r="G5" s="6">
        <s:f>E5/F5</s:f>
        <s:v>0.024082856221272476</s:v>
      </s:c>
      <s:c r="H5" s="5">
        <s:f>F5/E5+Inputs!B28</s:f>
        <s:v>43.52331396293004</s:v>
      </s:c>
    </s:row>
  </s:sheetData>
  <s:autoFilter ref="A1:H5"/>
  <s:pageMargins left="0.75" right="0.75" top="1" bottom="1" header="0.5" footer="0.5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D8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3" customWidth="1" min="1" max="1"/>
    <s:col width="82" customWidth="1" min="2" max="2"/>
    <s:col width="65" customWidth="1" min="3" max="3"/>
    <s:col width="23" customWidth="1" min="4" max="4"/>
  </s:cols>
  <s:sheetData>
    <s:row r="1" ht="32" customHeight="1">
      <s:c r="A1" s="1" t="inlineStr">
        <s:is>
          <s:t>Item</s:t>
        </s:is>
      </s:c>
      <s:c r="B1" s="1" t="inlineStr">
        <s:is>
          <s:t>Source / URL</s:t>
        </s:is>
      </s:c>
      <s:c r="C1" s="1" t="inlineStr">
        <s:is>
          <s:t>Finding</s:t>
        </s:is>
      </s:c>
      <s:c r="D1" s="1" t="inlineStr">
        <s:is>
          <s:t>Accessed / status</s:t>
        </s:is>
      </s:c>
    </s:row>
    <s:row r="2">
      <s:c r="A2" s="2" t="inlineStr">
        <s:is>
          <s:t>Private market room benchmark</s:t>
        </s:is>
      </s:c>
      <s:c r="B2" s="2" t="inlineStr">
        <s:is>
          <s:t>https://www.brukot.be/en/student-guide/rent-stats</s:t>
        </s:is>
      </s:c>
      <s:c r="C2" s="2" t="inlineStr">
        <s:is>
          <s:t>Own listing/residence statistics: student room median EUR500 excluding charges / EUR590 including charges; all housing median EUR550 / EUR650. Brussels-wide, not VUB-specific.</s:t>
        </s:is>
      </s:c>
      <s:c r="D2" s="2" t="inlineStr">
        <s:is>
          <s:t>2026-10-14</s:t>
        </s:is>
      </s:c>
    </s:row>
    <s:row r="3">
      <s:c r="A3" s="2" t="inlineStr">
        <s:is>
          <s:t>VUB standard student room</s:t>
        </s:is>
      </s:c>
      <s:c r="B3" s="2" t="inlineStr">
        <s:is>
          <s:t>https://www.vub.be/en/studying-vub/practical-info-for-students/student-housing/practical-housing-information</s:t>
        </s:is>
      </s:c>
      <s:c r="C3" s="2" t="inlineStr">
        <s:is>
          <s:t>2026-27 standard room EUR449.30 all-in. Eligibility and limited availability; not a private investor rent cap.</s:t>
        </s:is>
      </s:c>
      <s:c r="D3" s="2" t="inlineStr">
        <s:is>
          <s:t>2026-10-14</s:t>
        </s:is>
      </s:c>
    </s:row>
    <s:row r="4">
      <s:c r="A4" s="2" t="inlineStr">
        <s:is>
          <s:t>Brussels reference rent rule</s:t>
        </s:is>
      </s:c>
      <s:c r="B4" s="2" t="inlineStr">
        <s:is>
          <s:t>https://be.brussels/nl/huisvesting/huren-en-verhuren/huurovereenkomst/referentiehuurprijs</s:t>
        </s:is>
      </s:c>
      <s:c r="C4" s="2" t="inlineStr">
        <s:is>
          <s:t>Reference must be disclosed. Above reference by more than 20% presumed excessive, rebuttable; defects can make lower rent excessive. No excessive rent since 1 May 2025.</s:t>
        </s:is>
      </s:c>
      <s:c r="D4" s="2" t="inlineStr">
        <s:is>
          <s:t>2026-10-14</s:t>
        </s:is>
      </s:c>
    </s:row>
    <s:row r="5">
      <s:c r="A5" s="2" t="inlineStr">
        <s:is>
          <s:t>Address-specific reference calculator</s:t>
        </s:is>
      </s:c>
      <s:c r="B5" s="2" t="inlineStr">
        <s:is>
          <s:t>https://loyers.brussels/</s:t>
        </s:is>
      </s:c>
      <s:c r="C5" s="2" t="inlineStr">
        <s:is>
          <s:t>Enter actual address and dwelling characteristics; student/shared dwelling treatment needs confirmation. Placeholder in model is NOT verified legal clearance.</s:t>
        </s:is>
      </s:c>
      <s:c r="D5" s="2" t="inlineStr">
        <s:is>
          <s:t>2026-10-14</s:t>
        </s:is>
      </s:c>
    </s:row>
    <s:row r="6">
      <s:c r="A6" s="2" t="inlineStr">
        <s:is>
          <s:t>2026 quality standards</s:t>
        </s:is>
      </s:c>
      <s:c r="B6" s="2" t="inlineStr">
        <s:is>
          <s:t>https://be.brussels/en/housing/new-minimum-quality-standards-2026</s:t>
        </s:is>
      </s:c>
      <s:c r="C6" s="2" t="inlineStr">
        <s:is>
          <s:t>Student accommodation minimum net surface 12 m²; other safety, health, equipment and layout rules apply. Gross project area is a separate planning assumption.</s:t>
        </s:is>
      </s:c>
      <s:c r="D6" s="2" t="inlineStr">
        <s:is>
          <s:t>2026-10-14</s:t>
        </s:is>
      </s:c>
    </s:row>
    <s:row r="7">
      <s:c r="A7" s="2" t="inlineStr">
        <s:is>
          <s:t>Lease steps</s:t>
        </s:is>
      </s:c>
      <s:c r="B7" s="2" t="inlineStr">
        <s:is>
          <s:t>https://be.brussels/en/housing/rental/steps-renting-and-leasing</s:t>
        </s:is>
      </s:c>
      <s:c r="C7" s="2" t="inlineStr">
        <s:is>
          <s:t>Regional guidance: student lease 12 months; registration required. Cash flow stress tests cover fewer collected months.</s:t>
        </s:is>
      </s:c>
      <s:c r="D7" s="2" t="inlineStr">
        <s:is>
          <s:t>2026-10-14</s:t>
        </s:is>
      </s:c>
    </s:row>
    <s:row r="8">
      <s:c r="A8" s="2" t="inlineStr">
        <s:is>
          <s:t>Investment and financing assumptions</s:t>
        </s:is>
      </s:c>
      <s:c r="B8" s="2" t="inlineStr">
        <s:is>
          <s:t>No external quotation</s:t>
        </s:is>
      </s:c>
      <s:c r="C8" s="2" t="inlineStr">
        <s:is>
          <s:t>Land EUR900k; fixed costs EUR250k; construction EUR2400/gross m² VAT-inclusive assumption; furnishing EUR5k/room; 10% contingency; financing 4.5% over 25 years. Require quotes.</s:t>
        </s:is>
      </s:c>
      <s:c r="D8" s="2" t="inlineStr">
        <s:is>
          <s:t>ASSUMPTIONS</s:t>
        </s:is>
      </s:c>
    </s:row>
  </s:sheetData>
  <s:autoFilter ref="A1:D8"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2026-10-14T19:11:22Z</dcterms:created>
  <dcterms:modified xsi:type="dcterms:W3CDTF">2026-10-14T19:11:22Z</dcterms:modified>
</cp:coreProperties>
</file>