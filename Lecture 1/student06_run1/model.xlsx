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ad Me" sheetId="2" state="visible" r:id="rId2"/>
    <sheet name="Assumptions" sheetId="3" state="visible" r:id="rId3"/>
    <sheet name="Sources &amp; Uses" sheetId="4" state="visible" r:id="rId4"/>
    <sheet name="Operations" sheetId="5" state="visible" r:id="rId5"/>
    <sheet name="Debt" sheetId="6" state="visible" r:id="rId6"/>
    <sheet name="Returns" sheetId="7" state="visible" r:id="rId7"/>
    <sheet name="Sensitivity" sheetId="8" state="visible" r:id="rId8"/>
    <sheet name="Legal Checklist" sheetId="9" state="visible" r:id="rId9"/>
    <sheet name="Sources" sheetId="10" state="visible" r:id="rId10"/>
  </sheets>
  <definedNames>
    <definedName name="_xlnm._FilterDatabase" localSheetId="1" hidden="1">'Read Me'!$A$1:$B$10</definedName>
    <definedName name="_xlnm._FilterDatabase" localSheetId="2" hidden="1">'Assumptions'!$A$1:$D$31</definedName>
    <definedName name="_xlnm._FilterDatabase" localSheetId="3" hidden="1">'Sources &amp; Uses'!$A$1:$B$15</definedName>
    <definedName name="_xlnm._FilterDatabase" localSheetId="4" hidden="1">'Operations'!$A$1:$L$15</definedName>
    <definedName name="_xlnm._FilterDatabase" localSheetId="5" hidden="1">'Debt'!$A$1:$K$7</definedName>
    <definedName name="_xlnm._FilterDatabase" localSheetId="6" hidden="1">'Returns'!$A$1:$L$15</definedName>
    <definedName name="_xlnm._FilterDatabase" localSheetId="7" hidden="1">'Sensitivity'!$A$1:$D$5</definedName>
    <definedName name="_xlnm._FilterDatabase" localSheetId="8" hidden="1">'Legal Checklist'!$A$1:$D$14</definedName>
    <definedName name="_xlnm._FilterDatabase" localSheetId="9" hidden="1">'Sources'!$A$1:$D$12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;[Red](#,##0.00)"/>
    <numFmt numFmtId="166" formatCode="0.00x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66CC"/>
    </font>
    <font>
      <color rgb="00111111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9" fontId="1" fillId="2" borderId="0" pivotButton="0" quotePrefix="0" xfId="0"/>
    <xf numFmtId="0" fontId="1" fillId="2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4" fontId="3" fillId="0" borderId="0" applyAlignment="1" pivotButton="0" quotePrefix="0" xfId="0">
      <alignment vertical="top" wrapText="1"/>
    </xf>
    <xf numFmtId="164" fontId="2" fillId="0" borderId="0" pivotButton="0" quotePrefix="0" xfId="0"/>
    <xf numFmtId="0" fontId="2" fillId="0" borderId="0" pivotButton="0" quotePrefix="0" xfId="0"/>
    <xf numFmtId="165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B13"/>
  <s:sheetViews>
    <s:sheetView workbookViewId="0">
      <s:pane xSplit="1" ySplit="2" topLeftCell="B3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40" customWidth="1" min="1" max="1"/>
    <s:col width="100" customWidth="1" min="2" max="2"/>
  </s:cols>
  <s:sheetData>
    <s:row r="1">
      <s:c r="A1" s="9" t="inlineStr">
        <s:is>
          <s:t>Student housing: investment screening</s:t>
        </s:is>
      </s:c>
      <s:c r="B1" s="9" t="inlineStr">
        <s:is>
          <s:t>Illustrative case — 14 October 2026</s:t>
        </s:is>
      </s:c>
    </s:row>
    <s:row r="2">
      <s:c r="A2" s="2" t="inlineStr">
        <s:is>
          <s:t>Metric</s:t>
        </s:is>
      </s:c>
      <s:c r="B2" s="2" t="inlineStr">
        <s:is>
          <s:t>Value</s:t>
        </s:is>
      </s:c>
    </s:row>
    <s:row r="3">
      <s:c r="A3" s="2" t="inlineStr">
        <s:is>
          <s:t>Total project cost</s:t>
        </s:is>
      </s:c>
      <s:c r="B3" s="10">
        <s:f>'Sources &amp; Uses'!B10</s:f>
        <s:v>4686320.0</s:v>
      </s:c>
    </s:row>
    <s:row r="4">
      <s:c r="A4" s="2" t="inlineStr">
        <s:is>
          <s:t>Initial equity</s:t>
        </s:is>
      </s:c>
      <s:c r="B4" s="10">
        <s:f>'Sources &amp; Uses'!B13</s:f>
        <s:v>2766320.0</s:v>
      </s:c>
    </s:row>
    <s:row r="5">
      <s:c r="A5" s="2" t="inlineStr">
        <s:is>
          <s:t>Year 1 NOI</s:t>
        </s:is>
      </s:c>
      <s:c r="B5" s="10">
        <s:f>'Operations'!B13</s:f>
        <s:v>221616.0</s:v>
      </s:c>
    </s:row>
    <s:row r="6">
      <s:c r="A6" s="2" t="inlineStr">
        <s:is>
          <s:t>Year 1 cash flow after debt</s:t>
        </s:is>
      </s:c>
      <s:c r="B6" s="10">
        <s:f>'Returns'!C3</s:f>
        <s:v>80133.06616570648</s:v>
      </s:c>
    </s:row>
    <s:row r="7">
      <s:c r="A7" s="2" t="inlineStr">
        <s:is>
          <s:t>Equity IRR</s:t>
        </s:is>
      </s:c>
      <s:c r="B7" s="11">
        <s:f>'Returns'!B9</s:f>
        <s:v>0.0544356770781641</s:v>
      </s:c>
    </s:row>
    <s:row r="8">
      <s:c r="A8" s="2" t="inlineStr">
        <s:is>
          <s:t>NPV at 9% required return</s:t>
        </s:is>
      </s:c>
      <s:c r="B8" s="10">
        <s:f>'Returns'!B10</s:f>
        <s:v>-692163.3020978263</s:v>
      </s:c>
    </s:row>
    <s:row r="9">
      <s:c r="A9" s="2" t="inlineStr">
        <s:is>
          <s:t>Year 1 DSCR</s:t>
        </s:is>
      </s:c>
      <s:c r="B9" s="12">
        <s:f>'Returns'!B14</s:f>
        <s:v>1.7115460195211074</s:v>
      </s:c>
    </s:row>
    <s:row r="10">
      <s:c r="A10" s="2" t="inlineStr">
        <s:is>
          <s:t>Break-even economic occupancy</s:t>
        </s:is>
      </s:c>
      <s:c r="B10" s="11">
        <s:f>'Returns'!B15</s:f>
        <s:v>0.6767694143286058</s:v>
      </s:c>
    </s:row>
    <s:row r="11">
      <s:c r="A11" s="2" t="inlineStr">
        <s:is>
          <s:t>Investment view</s:t>
        </s:is>
      </s:c>
      <s:c r="B11" s="2" t="inlineStr">
        <s:is>
          <s:t>Do not proceed at illustrative terms: return is below target. Confirm lawful capacity and rent before bidding.</s:t>
        </s:is>
      </s:c>
    </s:row>
    <s:row r="12">
      <s:c r="A12" s="2" t="inlineStr">
        <s:is>
          <s:t>Required property data</s:t>
        </s:is>
      </s:c>
      <s:c r="B12" s="2" t="inlineStr">
        <s:is>
          <s:t>Address / commune; price; approved room count and plans; floor areas; EPC; surveys; renovation quotes; utility allocation; historic rents / occupancy; tax bill; lender terms; investor tax structure.</s:t>
        </s:is>
      </s:c>
    </s:row>
    <s:row r="13">
      <s:c r="A13" s="2" t="inlineStr">
        <s:is>
          <s:t>Legal gate</s:t>
        </s:is>
      </s:c>
      <s:c r="B13" s="2" t="inlineStr">
        <s:is>
          <s:t>Open: property-specific permit, fire, quality, rent and tax verification. Regional rules checked; compliance not certified.</s:t>
        </s:is>
      </s:c>
    </s:row>
  </s:sheetData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B10"/>
  <s:sheetViews>
    <s:sheetView workbookViewId="0">
      <s:pane xSplit="1" ySplit="1" topLeftCell="B2" activePane="bottomRight" state="frozen"/>
      <s:selection pane="top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110" customWidth="1" min="2" max="2"/>
  </s:cols>
  <s:sheetData>
    <s:row r="1" ht="28" customHeight="1">
      <s:c r="A1" s="1" t="inlineStr">
        <s:is>
          <s:t>Student housing investment — VUB/ULB, Brussels</s:t>
        </s:is>
      </s:c>
      <s:c r="B1" s="1" t="n"/>
    </s:row>
    <s:row r="2">
      <s:c r="A2" s="2" t="inlineStr">
        <s:is>
          <s:t>Status</s:t>
        </s:is>
      </s:c>
      <s:c r="B2" s="2" t="inlineStr">
        <s:is>
          <s:t>Research-informed screening model; financial inputs remain illustrative.</s:t>
        </s:is>
      </s:c>
    </s:row>
    <s:row r="3">
      <s:c r="A3" s="2" t="inlineStr">
        <s:is>
          <s:t>Instructions</s:t>
        </s:is>
      </s:c>
      <s:c r="B3" s="2" t="inlineStr">
        <s:is>
          <s:t>Edit blue cells in Assumptions; formulas recalculate in Excel. All currency EUR.</s:t>
        </s:is>
      </s:c>
    </s:row>
    <s:row r="4">
      <s:c r="A4" s="2" t="inlineStr">
        <s:is>
          <s:t>Investment basis</s:t>
        </s:is>
      </s:c>
      <s:c r="B4" s="2" t="inlineStr">
        <s:is>
          <s:t>40 rooms, 10-year hold; annual debt payments; sale valued on forward Year 11 NOI.</s:t>
        </s:is>
      </s:c>
    </s:row>
    <s:row r="5">
      <s:c r="A5" s="2" t="inlineStr">
        <s:is>
          <s:t>Model scope</s:t>
        </s:is>
      </s:c>
      <s:c r="B5" s="2" t="inlineStr">
        <s:is>
          <s:t>Pre-income-tax equity returns; costs and capex gross of nonrecoverable VAT.</s:t>
        </s:is>
      </s:c>
    </s:row>
    <s:row r="6">
      <s:c r="A6" s="2" t="inlineStr">
        <s:is>
          <s:t>Critical limitation</s:t>
        </s:is>
      </s:c>
      <s:c r="B6" s="2" t="inlineStr">
        <s:is>
          <s:t>Exact address, planning permission, fire/quality compliance and investment taxes require verification.</s:t>
        </s:is>
      </s:c>
    </s:row>
    <s:row r="7">
      <s:c r="A7" s="2" t="inlineStr">
        <s:is>
          <s:t>Timing</s:t>
        </s:is>
      </s:c>
      <s:c r="B7" s="2" t="inlineStr">
        <s:is>
          <s:t>Construction delay reduces Year 1 rent; full debt service and fixed costs apply throughout.</s:t>
        </s:is>
      </s:c>
    </s:row>
    <s:row r="8">
      <s:c r="A8" s="2" t="inlineStr">
        <s:is>
          <s:t>Reserve</s:t>
        </s:is>
      </s:c>
      <s:c r="B8" s="2" t="inlineStr">
        <s:is>
          <s:t>Initial funded reserve released on exit; annual replacement reserve treated as spent.</s:t>
        </s:is>
      </s:c>
    </s:row>
    <s:row r="9">
      <s:c r="A9" s="2" t="inlineStr">
        <s:is>
          <s:t>Sensitivity</s:t>
        </s:is>
      </s:c>
      <s:c r="B9" s="2" t="inlineStr">
        <s:is>
          <s:t>Equity NPV sensitivity to base rent and exit cap; no price evidence implied.</s:t>
        </s:is>
      </s:c>
    </s:row>
    <s:row r="10">
      <s:c r="A10" s="2" t="inlineStr">
        <s:is>
          <s:t>Decision</s:t>
        </s:is>
      </s:c>
      <s:c r="B10" s="2" t="inlineStr">
        <s:is>
          <s:t>Do not commit until property-specific legal, technical and lender diligence is complete.</s:t>
        </s:is>
      </s:c>
    </s:row>
  </s:sheetData>
  <s:autoFilter ref="A1:B10"/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D34"/>
  <s:sheetViews>
    <s:sheetView workbookViewId="0">
      <s:pane xSplit="1" ySplit="1" topLeftCell="B2" activePane="bottomRight" state="frozen"/>
      <s:selection pane="top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32" customWidth="1" min="2" max="2"/>
    <s:col width="32" customWidth="1" min="3" max="3"/>
    <s:col width="32" customWidth="1" min="4" max="4"/>
  </s:cols>
  <s:sheetData>
    <s:row r="1" ht="28" customHeight="1">
      <s:c r="A1" s="1" t="inlineStr">
        <s:is>
          <s:t>Assumption</s:t>
        </s:is>
      </s:c>
      <s:c r="B1" s="1" t="inlineStr">
        <s:is>
          <s:t>Value</s:t>
        </s:is>
      </s:c>
      <s:c r="C1" s="1" t="inlineStr">
        <s:is>
          <s:t>Unit</s:t>
        </s:is>
      </s:c>
      <s:c r="D1" s="1" t="inlineStr">
        <s:is>
          <s:t>Basis / action needed</s:t>
        </s:is>
      </s:c>
    </s:row>
    <s:row r="2">
      <s:c r="A2" s="2" t="inlineStr">
        <s:is>
          <s:t>Rooms</s:t>
        </s:is>
      </s:c>
      <s:c r="B2" s="3" t="n">
        <s:v>40</s:v>
      </s:c>
      <s:c r="C2" s="2" t="inlineStr">
        <s:is>
          <s:t>rooms</s:t>
        </s:is>
      </s:c>
      <s:c r="D2" s="2" t="inlineStr">
        <s:is>
          <s:t>Illustrative; confirm lawful room capacity</s:t>
        </s:is>
      </s:c>
    </s:row>
    <s:row r="3">
      <s:c r="A3" s="2" t="inlineStr">
        <s:is>
          <s:t>Purchase price</s:t>
        </s:is>
      </s:c>
      <s:c r="B3" s="3" t="n">
        <s:v>3200000</s:v>
      </s:c>
      <s:c r="C3" s="2" t="inlineStr">
        <s:is>
          <s:t>EUR</s:t>
        </s:is>
      </s:c>
      <s:c r="D3" s="2" t="inlineStr">
        <s:is>
          <s:t>Illustrative; obtain appraisal and vendor terms</s:t>
        </s:is>
      </s:c>
    </s:row>
    <s:row r="4">
      <s:c r="A4" s="2" t="inlineStr">
        <s:is>
          <s:t>Registration duty</s:t>
        </s:is>
      </s:c>
      <s:c r="B4" s="13" t="n">
        <s:v>0.125</s:v>
      </s:c>
      <s:c r="C4" s="2" t="inlineStr">
        <s:is>
          <s:t>%</s:t>
        </s:is>
      </s:c>
      <s:c r="D4" s="2" t="inlineStr">
        <s:is>
          <s:t>Verified 12.5% ordinary existing-property acquisition duty; no abatement assumed</s:t>
        </s:is>
      </s:c>
    </s:row>
    <s:row r="5">
      <s:c r="A5" s="2" t="inlineStr">
        <s:is>
          <s:t>Other acquisition costs</s:t>
        </s:is>
      </s:c>
      <s:c r="B5" s="13" t="n">
        <s:v>0.02</s:v>
      </s:c>
      <s:c r="C5" s="2" t="inlineStr">
        <s:is>
          <s:t>% of purchase</s:t>
        </s:is>
      </s:c>
      <s:c r="D5" s="2" t="inlineStr">
        <s:is>
          <s:t>Notary and acquisition diligence allowance; mortgage costs separately included</s:t>
        </s:is>
      </s:c>
    </s:row>
    <s:row r="6">
      <s:c r="A6" s="2" t="inlineStr">
        <s:is>
          <s:t>Refurbishment per room</s:t>
        </s:is>
      </s:c>
      <s:c r="B6" s="3" t="n">
        <s:v>18000</s:v>
      </s:c>
      <s:c r="C6" s="2" t="inlineStr">
        <s:is>
          <s:t>EUR/room</s:t>
        </s:is>
      </s:c>
      <s:c r="D6" s="2" t="inlineStr">
        <s:is>
          <s:t>Illustrative contractor budget; gross including nonrecoverable VAT</s:t>
        </s:is>
      </s:c>
    </s:row>
    <s:row r="7">
      <s:c r="A7" s="2" t="inlineStr">
        <s:is>
          <s:t>Capex contingency</s:t>
        </s:is>
      </s:c>
      <s:c r="B7" s="13" t="n">
        <s:v>0.1</s:v>
      </s:c>
      <s:c r="C7" s="2" t="inlineStr">
        <s:is>
          <s:t>% of refurbishment</s:t>
        </s:is>
      </s:c>
      <s:c r="D7" s="2" t="inlineStr">
        <s:is>
          <s:t>Illustrative</s:t>
        </s:is>
      </s:c>
    </s:row>
    <s:row r="8">
      <s:c r="A8" s="2" t="inlineStr">
        <s:is>
          <s:t>Setup &amp; professional costs</s:t>
        </s:is>
      </s:c>
      <s:c r="B8" s="3" t="n">
        <s:v>80000</s:v>
      </s:c>
      <s:c r="C8" s="2" t="inlineStr">
        <s:is>
          <s:t>EUR</s:t>
        </s:is>
      </s:c>
      <s:c r="D8" s="2" t="inlineStr">
        <s:is>
          <s:t>Architect, permit and setup allowance, gross</s:t>
        </s:is>
      </s:c>
    </s:row>
    <s:row r="9">
      <s:c r="A9" s="2" t="inlineStr">
        <s:is>
          <s:t>Initial reserve</s:t>
        </s:is>
      </s:c>
      <s:c r="B9" s="3" t="n">
        <s:v>100000</s:v>
      </s:c>
      <s:c r="C9" s="2" t="inlineStr">
        <s:is>
          <s:t>EUR</s:t>
        </s:is>
      </s:c>
      <s:c r="D9" s="2" t="inlineStr">
        <s:is>
          <s:t>Funded at closing; released at sale</s:t>
        </s:is>
      </s:c>
    </s:row>
    <s:row r="10">
      <s:c r="A10" s="2" t="inlineStr">
        <s:is>
          <s:t>Monthly rent per room</s:t>
        </s:is>
      </s:c>
      <s:c r="B10" s="3" t="n">
        <s:v>650</s:v>
      </s:c>
      <s:c r="C10" s="2" t="inlineStr">
        <s:is>
          <s:t>EUR</s:t>
        </s:is>
      </s:c>
      <s:c r="D10" s="2" t="inlineStr">
        <s:is>
          <s:t>Illustrative base rent; excludes tenant utility reimbursements</s:t>
        </s:is>
      </s:c>
    </s:row>
    <s:row r="11">
      <s:c r="A11" s="2" t="inlineStr">
        <s:is>
          <s:t>Occupancy</s:t>
        </s:is>
      </s:c>
      <s:c r="B11" s="13" t="n">
        <s:v>0.95</s:v>
      </s:c>
      <s:c r="C11" s="2" t="inlineStr">
        <s:is>
          <s:t>%</s:t>
        </s:is>
      </s:c>
      <s:c r="D11" s="2" t="inlineStr">
        <s:is>
          <s:t>Economic occupancy; includes voids and rent losses</s:t>
        </s:is>
      </s:c>
    </s:row>
    <s:row r="12">
      <s:c r="A12" s="2" t="inlineStr">
        <s:is>
          <s:t>Paid months per year</s:t>
        </s:is>
      </s:c>
      <s:c r="B12" s="3" t="n">
        <s:v>12</s:v>
      </s:c>
      <s:c r="C12" s="2" t="inlineStr">
        <s:is>
          <s:t>months</s:t>
        </s:is>
      </s:c>
      <s:c r="D12" s="2" t="inlineStr">
        <s:is>
          <s:t>Confirm lease terms; test 10 months</s:t>
        </s:is>
      </s:c>
    </s:row>
    <s:row r="13">
      <s:c r="A13" s="2" t="inlineStr">
        <s:is>
          <s:t>Other annual income</s:t>
        </s:is>
      </s:c>
      <s:c r="B13" s="3" t="n">
        <s:v>0</s:v>
      </s:c>
      <s:c r="C13" s="2" t="inlineStr">
        <s:is>
          <s:t>EUR</s:t>
        </s:is>
      </s:c>
      <s:c r="D13" s="2" t="inlineStr">
        <s:is>
          <s:t>No assumed ancillary income</s:t>
        </s:is>
      </s:c>
    </s:row>
    <s:row r="14">
      <s:c r="A14" s="2" t="inlineStr">
        <s:is>
          <s:t>Annual rent growth</s:t>
        </s:is>
      </s:c>
      <s:c r="B14" s="13" t="n">
        <s:v>0.02</s:v>
      </s:c>
      <s:c r="C14" s="2" t="inlineStr">
        <s:is>
          <s:t>%</s:t>
        </s:is>
      </s:c>
      <s:c r="D14" s="2" t="inlineStr">
        <s:is>
          <s:t>Forecast only; legal indexation conditions must be met</s:t>
        </s:is>
      </s:c>
    </s:row>
    <s:row r="15">
      <s:c r="A15" s="2" t="inlineStr">
        <s:is>
          <s:t>Management fee</s:t>
        </s:is>
      </s:c>
      <s:c r="B15" s="13" t="n">
        <s:v>0.06</s:v>
      </s:c>
      <s:c r="C15" s="2" t="inlineStr">
        <s:is>
          <s:t>% of effective revenue</s:t>
        </s:is>
      </s:c>
      <s:c r="D15" s="2" t="inlineStr">
        <s:is>
          <s:t>External manager allowance</s:t>
        </s:is>
      </s:c>
    </s:row>
    <s:row r="16">
      <s:c r="A16" s="2" t="inlineStr">
        <s:is>
          <s:t>Annual utilities/common areas</s:t>
        </s:is>
      </s:c>
      <s:c r="B16" s="3" t="n">
        <s:v>18000</s:v>
      </s:c>
      <s:c r="C16" s="2" t="inlineStr">
        <s:is>
          <s:t>EUR</s:t>
        </s:is>
      </s:c>
      <s:c r="D16" s="2" t="inlineStr">
        <s:is>
          <s:t>Owner borne; no assumed recovery</s:t>
        </s:is>
      </s:c>
    </s:row>
    <s:row r="17">
      <s:c r="A17" s="2" t="inlineStr">
        <s:is>
          <s:t>Annual maintenance</s:t>
        </s:is>
      </s:c>
      <s:c r="B17" s="3" t="n">
        <s:v>14000</s:v>
      </s:c>
      <s:c r="C17" s="2" t="inlineStr">
        <s:is>
          <s:t>EUR</s:t>
        </s:is>
      </s:c>
      <s:c r="D17" s="2" t="inlineStr">
        <s:is>
          <s:t>Owner borne</s:t>
        </s:is>
      </s:c>
    </s:row>
    <s:row r="18">
      <s:c r="A18" s="2" t="inlineStr">
        <s:is>
          <s:t>Annual insurance</s:t>
        </s:is>
      </s:c>
      <s:c r="B18" s="3" t="n">
        <s:v>6000</s:v>
      </s:c>
      <s:c r="C18" s="2" t="inlineStr">
        <s:is>
          <s:t>EUR</s:t>
        </s:is>
      </s:c>
      <s:c r="D18" s="2" t="inlineStr">
        <s:is>
          <s:t>Illustrative quotation required</s:t>
        </s:is>
      </s:c>
    </s:row>
    <s:row r="19">
      <s:c r="A19" s="2" t="inlineStr">
        <s:is>
          <s:t>Annual property tax</s:t>
        </s:is>
      </s:c>
      <s:c r="B19" s="3" t="n">
        <s:v>14000</s:v>
      </s:c>
      <s:c r="C19" s="2" t="inlineStr">
        <s:is>
          <s:t>EUR</s:t>
        </s:is>
      </s:c>
      <s:c r="D19" s="2" t="inlineStr">
        <s:is>
          <s:t>Placeholder; confirm indexed cadastral income and municipal charges</s:t>
        </s:is>
      </s:c>
    </s:row>
    <s:row r="20">
      <s:c r="A20" s="2" t="inlineStr">
        <s:is>
          <s:t>Annual administration</s:t>
        </s:is>
      </s:c>
      <s:c r="B20" s="3" t="n">
        <s:v>5000</s:v>
      </s:c>
      <s:c r="C20" s="2" t="inlineStr">
        <s:is>
          <s:t>EUR</s:t>
        </s:is>
      </s:c>
      <s:c r="D20" s="2" t="inlineStr">
        <s:is>
          <s:t>Accounting, compliance and letting</s:t>
        </s:is>
      </s:c>
    </s:row>
    <s:row r="21">
      <s:c r="A21" s="2" t="inlineStr">
        <s:is>
          <s:t>Annual cost growth</s:t>
        </s:is>
      </s:c>
      <s:c r="B21" s="13" t="n">
        <s:v>0.025</s:v>
      </s:c>
      <s:c r="C21" s="2" t="inlineStr">
        <s:is>
          <s:t>%</s:t>
        </s:is>
      </s:c>
      <s:c r="D21" s="2" t="inlineStr">
        <s:is>
          <s:t>Illustrative</s:t>
        </s:is>
      </s:c>
    </s:row>
    <s:row r="22">
      <s:c r="A22" s="2" t="inlineStr">
        <s:is>
          <s:t>Annual replacement reserve</s:t>
        </s:is>
      </s:c>
      <s:c r="B22" s="3" t="n">
        <s:v>12000</s:v>
      </s:c>
      <s:c r="C22" s="2" t="inlineStr">
        <s:is>
          <s:t>EUR</s:t>
        </s:is>
      </s:c>
      <s:c r="D22" s="2" t="inlineStr">
        <s:is>
          <s:t>Deducted below NOI</s:t>
        </s:is>
      </s:c>
    </s:row>
    <s:row r="23">
      <s:c r="A23" s="2" t="inlineStr">
        <s:is>
          <s:t>Debt / purchase price</s:t>
        </s:is>
      </s:c>
      <s:c r="B23" s="13" t="n">
        <s:v>0.6</s:v>
      </s:c>
      <s:c r="C23" s="2" t="inlineStr">
        <s:is>
          <s:t>%</s:t>
        </s:is>
      </s:c>
      <s:c r="D23" s="2" t="inlineStr">
        <s:is>
          <s:t>Debt based on purchase price only; no capex financing</s:t>
        </s:is>
      </s:c>
    </s:row>
    <s:row r="24">
      <s:c r="A24" s="2" t="inlineStr">
        <s:is>
          <s:t>Loan interest</s:t>
        </s:is>
      </s:c>
      <s:c r="B24" s="13" t="n">
        <s:v>0.045</s:v>
      </s:c>
      <s:c r="C24" s="2" t="inlineStr">
        <s:is>
          <s:t>%</s:t>
        </s:is>
      </s:c>
      <s:c r="D24" s="2" t="inlineStr">
        <s:is>
          <s:t>Illustrative; lender quotation required</s:t>
        </s:is>
      </s:c>
    </s:row>
    <s:row r="25">
      <s:c r="A25" s="2" t="inlineStr">
        <s:is>
          <s:t>Amortisation term</s:t>
        </s:is>
      </s:c>
      <s:c r="B25" s="3" t="n">
        <s:v>25</s:v>
      </s:c>
      <s:c r="C25" s="2" t="inlineStr">
        <s:is>
          <s:t>years</s:t>
        </s:is>
      </s:c>
      <s:c r="D25" s="2" t="inlineStr">
        <s:is>
          <s:t>Annual payments approximation</s:t>
        </s:is>
      </s:c>
    </s:row>
    <s:row r="26">
      <s:c r="A26" s="2" t="inlineStr">
        <s:is>
          <s:t>Debt arrangement fee</s:t>
        </s:is>
      </s:c>
      <s:c r="B26" s="13" t="n">
        <s:v>0.01</s:v>
      </s:c>
      <s:c r="C26" s="2" t="inlineStr">
        <s:is>
          <s:t>% of debt</s:t>
        </s:is>
      </s:c>
      <s:c r="D26" s="2" t="inlineStr">
        <s:is>
          <s:t>Cash use at closing</s:t>
        </s:is>
      </s:c>
    </s:row>
    <s:row r="27">
      <s:c r="A27" s="2" t="inlineStr">
        <s:is>
          <s:t>Holding period</s:t>
        </s:is>
      </s:c>
      <s:c r="B27" s="14" t="n">
        <s:v>10</s:v>
      </s:c>
      <s:c r="C27" s="2" t="inlineStr">
        <s:is>
          <s:t>years</s:t>
        </s:is>
      </s:c>
      <s:c r="D27" s="2" t="inlineStr">
        <s:is>
          <s:t>Fixed 10-year model; do not edit (extend formulas to change horizon)</s:t>
        </s:is>
      </s:c>
    </s:row>
    <s:row r="28">
      <s:c r="A28" s="2" t="inlineStr">
        <s:is>
          <s:t>Exit cap rate</s:t>
        </s:is>
      </s:c>
      <s:c r="B28" s="13" t="n">
        <s:v>0.055</s:v>
      </s:c>
      <s:c r="C28" s="2" t="inlineStr">
        <s:is>
          <s:t>%</s:t>
        </s:is>
      </s:c>
      <s:c r="D28" s="2" t="inlineStr">
        <s:is>
          <s:t>Illustrative valuation assumption; not market evidence</s:t>
        </s:is>
      </s:c>
    </s:row>
    <s:row r="29">
      <s:c r="A29" s="2" t="inlineStr">
        <s:is>
          <s:t>Selling costs</s:t>
        </s:is>
      </s:c>
      <s:c r="B29" s="13" t="n">
        <s:v>0.02</s:v>
      </s:c>
      <s:c r="C29" s="2" t="inlineStr">
        <s:is>
          <s:t>% of sale price</s:t>
        </s:is>
      </s:c>
      <s:c r="D29" s="2" t="inlineStr">
        <s:is>
          <s:t>Illustrative</s:t>
        </s:is>
      </s:c>
    </s:row>
    <s:row r="30">
      <s:c r="A30" s="2" t="inlineStr">
        <s:is>
          <s:t>Equity discount rate</s:t>
        </s:is>
      </s:c>
      <s:c r="B30" s="13" t="n">
        <s:v>0.09</s:v>
      </s:c>
      <s:c r="C30" s="2" t="inlineStr">
        <s:is>
          <s:t>%</s:t>
        </s:is>
      </s:c>
      <s:c r="D30" s="2" t="inlineStr">
        <s:is>
          <s:t>Illustrative required return</s:t>
        </s:is>
      </s:c>
    </s:row>
    <s:row r="31">
      <s:c r="A31" s="2" t="inlineStr">
        <s:is>
          <s:t>Construction delay</s:t>
        </s:is>
      </s:c>
      <s:c r="B31" s="3" t="n">
        <s:v>0</s:v>
      </s:c>
      <s:c r="C31" s="2" t="inlineStr">
        <s:is>
          <s:t>months</s:t>
        </s:is>
      </s:c>
      <s:c r="D31" s="2" t="inlineStr">
        <s:is>
          <s:t>Year 1 rent reduction; 0 means stabilised at acquisition</s:t>
        </s:is>
      </s:c>
    </s:row>
    <s:row r="32">
      <s:c r="A32" t="inlineStr">
        <s:is>
          <s:t>Mortgage secured amount / debt</s:t>
        </s:is>
      </s:c>
      <s:c r="B32" s="15" t="n">
        <s:v>1.1</s:v>
      </s:c>
      <s:c r="C32" t="inlineStr">
        <s:is>
          <s:t>%</s:t>
        </s:is>
      </s:c>
      <s:c r="D32" t="inlineStr">
        <s:is>
          <s:t>Illustrative security uplift; confirm mortgage versus mandate split</s:t>
        </s:is>
      </s:c>
    </s:row>
    <s:row r="33">
      <s:c r="A33" t="inlineStr">
        <s:is>
          <s:t>Mortgage duty</s:t>
        </s:is>
      </s:c>
      <s:c r="B33" s="15" t="n">
        <s:v>0.01</s:v>
      </s:c>
      <s:c r="C33" t="inlineStr">
        <s:is>
          <s:t>%</s:t>
        </s:is>
      </s:c>
      <s:c r="D33" t="inlineStr">
        <s:is>
          <s:t>Verified regional rate; applied to secured amount</s:t>
        </s:is>
      </s:c>
    </s:row>
    <s:row r="34">
      <s:c r="A34" t="inlineStr">
        <s:is>
          <s:t>Other loan deed / security costs</s:t>
        </s:is>
      </s:c>
      <s:c r="B34" s="16" t="n">
        <s:v>10000</s:v>
      </s:c>
      <s:c r="C34" t="inlineStr">
        <s:is>
          <s:t>EUR</s:t>
        </s:is>
      </s:c>
      <s:c r="D34" t="inlineStr">
        <s:is>
          <s:t>Illustrative notary, inscription and security costs; obtain quote</s:t>
        </s:is>
      </s:c>
    </s:row>
  </s:sheetData>
  <s:autoFilter ref="A1:D31"/>
  <s:dataValidations count="5">
    <s:dataValidation sqref="B11" showDropDown="0" showInputMessage="0" showErrorMessage="1" allowBlank="0" error="Enter a value within the stated range." type="decimal" operator="between">
      <s:formula1>0</s:formula1>
      <s:formula2>1</s:formula2>
    </s:dataValidation>
    <s:dataValidation sqref="B23" showDropDown="0" showInputMessage="0" showErrorMessage="1" allowBlank="0" error="Enter a value within the stated range." type="decimal" operator="between">
      <s:formula1>0</s:formula1>
      <s:formula2>0.9</s:formula2>
    </s:dataValidation>
    <s:dataValidation sqref="B31" showDropDown="0" showInputMessage="0" showErrorMessage="1" allowBlank="0" error="Enter a value within the stated range." type="decimal" operator="between">
      <s:formula1>0</s:formula1>
      <s:formula2>12</s:formula2>
    </s:dataValidation>
    <s:dataValidation sqref="B2" showDropDown="0" showInputMessage="0" showErrorMessage="1" allowBlank="0" error="Enter a value within the stated range." type="decimal" operator="between">
      <s:formula1>1</s:formula1>
      <s:formula2>10000</s:formula2>
    </s:dataValidation>
    <s:dataValidation sqref="B12" showDropDown="0" showInputMessage="0" showErrorMessage="1" allowBlank="0" error="Enter a value within the stated range." type="decimal" operator="between">
      <s:formula1>1</s:formula1>
      <s:formula2>12</s:formula2>
    </s:dataValidation>
  </s:dataValidations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B16"/>
  <s:sheetViews>
    <s:sheetView workbookViewId="0">
      <s:pane xSplit="1" ySplit="1" topLeftCell="B2" activePane="bottomRight" state="frozen"/>
      <s:selection pane="top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32" customWidth="1" min="2" max="2"/>
  </s:cols>
  <s:sheetData>
    <s:row r="1" ht="28" customHeight="1">
      <s:c r="A1" s="1" t="inlineStr">
        <s:is>
          <s:t>Sources / uses</s:t>
        </s:is>
      </s:c>
      <s:c r="B1" s="1" t="inlineStr">
        <s:is>
          <s:t>EUR</s:t>
        </s:is>
      </s:c>
    </s:row>
    <s:row r="2">
      <s:c r="A2" s="2" t="inlineStr">
        <s:is>
          <s:t>Purchase</s:t>
        </s:is>
      </s:c>
      <s:c r="B2" s="17">
        <s:f>'Assumptions'!$B$3</s:f>
        <s:v>3200000</s:v>
      </s:c>
    </s:row>
    <s:row r="3">
      <s:c r="A3" s="2" t="inlineStr">
        <s:is>
          <s:t>Registration duty</s:t>
        </s:is>
      </s:c>
      <s:c r="B3" s="17">
        <s:f>'Assumptions'!$B$3*'Assumptions'!$B$4</s:f>
        <s:v>400000.0</s:v>
      </s:c>
    </s:row>
    <s:row r="4">
      <s:c r="A4" s="2" t="inlineStr">
        <s:is>
          <s:t>Other acquisition costs</s:t>
        </s:is>
      </s:c>
      <s:c r="B4" s="17">
        <s:f>'Assumptions'!$B$3*'Assumptions'!$B$5</s:f>
        <s:v>64000.0</s:v>
      </s:c>
    </s:row>
    <s:row r="5">
      <s:c r="A5" s="2" t="inlineStr">
        <s:is>
          <s:t>Refurbishment</s:t>
        </s:is>
      </s:c>
      <s:c r="B5" s="17">
        <s:f>'Assumptions'!$B$2*'Assumptions'!$B$6</s:f>
        <s:v>720000</s:v>
      </s:c>
    </s:row>
    <s:row r="6">
      <s:c r="A6" s="2" t="inlineStr">
        <s:is>
          <s:t>Contingency</s:t>
        </s:is>
      </s:c>
      <s:c r="B6" s="17">
        <s:f>B5*'Assumptions'!$B$7</s:f>
        <s:v>72000.0</s:v>
      </s:c>
    </s:row>
    <s:row r="7">
      <s:c r="A7" s="2" t="inlineStr">
        <s:is>
          <s:t>Setup costs</s:t>
        </s:is>
      </s:c>
      <s:c r="B7" s="17">
        <s:f>'Assumptions'!$B$8</s:f>
        <s:v>80000</s:v>
      </s:c>
    </s:row>
    <s:row r="8">
      <s:c r="A8" s="2" t="inlineStr">
        <s:is>
          <s:t>Initial reserve</s:t>
        </s:is>
      </s:c>
      <s:c r="B8" s="17">
        <s:f>'Assumptions'!$B$9</s:f>
        <s:v>100000</s:v>
      </s:c>
    </s:row>
    <s:row r="9">
      <s:c r="A9" s="2" t="inlineStr">
        <s:is>
          <s:t>Debt fee</s:t>
        </s:is>
      </s:c>
      <s:c r="B9" s="17">
        <s:f>B12*'Assumptions'!$B$26</s:f>
        <s:v>19200.0</s:v>
      </s:c>
    </s:row>
    <s:row r="10">
      <s:c r="A10" s="2" t="inlineStr">
        <s:is>
          <s:t>Total uses</s:t>
        </s:is>
      </s:c>
      <s:c r="B10" s="17">
        <s:f>SUM(B2:B9)+B16</s:f>
        <s:v>4686320.0</s:v>
      </s:c>
    </s:row>
    <s:row r="11">
      <s:c r="A11" s="2" t="inlineStr"/>
      <s:c r="B11" s="2" t="inlineStr"/>
    </s:row>
    <s:row r="12">
      <s:c r="A12" s="2" t="inlineStr">
        <s:is>
          <s:t>Debt proceeds</s:t>
        </s:is>
      </s:c>
      <s:c r="B12" s="17">
        <s:f>'Assumptions'!$B$3*'Assumptions'!$B$23</s:f>
        <s:v>1920000.0</s:v>
      </s:c>
    </s:row>
    <s:row r="13">
      <s:c r="A13" s="2" t="inlineStr">
        <s:is>
          <s:t>Equity required</s:t>
        </s:is>
      </s:c>
      <s:c r="B13" s="17">
        <s:f>B10-B12</s:f>
        <s:v>2766320.0</s:v>
      </s:c>
    </s:row>
    <s:row r="14">
      <s:c r="A14" s="2" t="inlineStr">
        <s:is>
          <s:t>Total sources</s:t>
        </s:is>
      </s:c>
      <s:c r="B14" s="17">
        <s:f>SUM(B12:B13)</s:f>
        <s:v>4686320.0</s:v>
      </s:c>
    </s:row>
    <s:row r="15">
      <s:c r="A15" s="2" t="inlineStr">
        <s:is>
          <s:t>Funding check</s:t>
        </s:is>
      </s:c>
      <s:c r="B15" s="17">
        <s:f>B14-B10</s:f>
        <s:v>0.0</s:v>
      </s:c>
    </s:row>
    <s:row r="16">
      <s:c r="A16" t="inlineStr">
        <s:is>
          <s:t>Mortgage taxes &amp; other loan costs</s:t>
        </s:is>
      </s:c>
      <s:c r="B16">
        <s:f>B12*'Assumptions'!B32*'Assumptions'!B33+'Assumptions'!B34</s:f>
        <s:v>31120.0</s:v>
      </s:c>
    </s:row>
  </s:sheetData>
  <s:autoFilter ref="A1:B15"/>
  <s:pageMargins left="0.75" right="0.75" top="1" bottom="1" header="0.5" footer="0.5"/>
</s:worksheet>
</file>

<file path=xl/worksheets/sheet5.xml><?xml version="1.0" encoding="utf-8"?>
<s:worksheet xmlns:s="http://schemas.openxmlformats.org/spreadsheetml/2006/main">
  <s:sheetPr>
    <s:outlinePr summaryBelow="1" summaryRight="1"/>
    <s:pageSetUpPr/>
  </s:sheetPr>
  <s:dimension ref="A1:L15"/>
  <s:sheetViews>
    <s:sheetView workbookViewId="0">
      <s:pane xSplit="1" ySplit="1" topLeftCell="B2" activePane="bottomRight" state="frozen"/>
      <s:selection pane="top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  <s:col width="18" customWidth="1" min="8" max="8"/>
    <s:col width="18" customWidth="1" min="9" max="9"/>
    <s:col width="18" customWidth="1" min="10" max="10"/>
    <s:col width="18" customWidth="1" min="11" max="11"/>
    <s:col width="18" customWidth="1" min="12" max="12"/>
  </s:cols>
  <s:sheetData>
    <s:row r="1" ht="28" customHeight="1">
      <s:c r="A1" s="1" t="inlineStr">
        <s:is>
          <s:t>Year</s:t>
        </s:is>
      </s:c>
      <s:c r="B1" s="1" t="n">
        <s:v>1</s:v>
      </s:c>
      <s:c r="C1" s="1" t="n">
        <s:v>2</s:v>
      </s:c>
      <s:c r="D1" s="1" t="n">
        <s:v>3</s:v>
      </s:c>
      <s:c r="E1" s="1" t="n">
        <s:v>4</s:v>
      </s:c>
      <s:c r="F1" s="1" t="n">
        <s:v>5</s:v>
      </s:c>
      <s:c r="G1" s="1" t="n">
        <s:v>6</s:v>
      </s:c>
      <s:c r="H1" s="1" t="n">
        <s:v>7</s:v>
      </s:c>
      <s:c r="I1" s="1" t="n">
        <s:v>8</s:v>
      </s:c>
      <s:c r="J1" s="1" t="n">
        <s:v>9</s:v>
      </s:c>
      <s:c r="K1" s="1" t="n">
        <s:v>10</s:v>
      </s:c>
      <s:c r="L1" s="1" t="n">
        <s:v>11</s:v>
      </s:c>
    </s:row>
    <s:row r="2">
      <s:c r="A2" s="2" t="inlineStr">
        <s:is>
          <s:t>Potential room rent</s:t>
        </s:is>
      </s:c>
      <s:c r="B2" s="17">
        <s:f>'Assumptions'!$B$2*'Assumptions'!$B$10*'Assumptions'!$B$12*(1+'Assumptions'!$B$14)^(B$1-1)</s:f>
        <s:v>312000.0</s:v>
      </s:c>
      <s:c r="C2" s="17">
        <s:f>'Assumptions'!$B$2*'Assumptions'!$B$10*'Assumptions'!$B$12*(1+'Assumptions'!$B$14)^(C$1-1)</s:f>
        <s:v>318240.0</s:v>
      </s:c>
      <s:c r="D2" s="17">
        <s:f>'Assumptions'!$B$2*'Assumptions'!$B$10*'Assumptions'!$B$12*(1+'Assumptions'!$B$14)^(D$1-1)</s:f>
        <s:v>324604.8</s:v>
      </s:c>
      <s:c r="E2" s="17">
        <s:f>'Assumptions'!$B$2*'Assumptions'!$B$10*'Assumptions'!$B$12*(1+'Assumptions'!$B$14)^(E$1-1)</s:f>
        <s:v>331096.89600000007</s:v>
      </s:c>
      <s:c r="F2" s="17">
        <s:f>'Assumptions'!$B$2*'Assumptions'!$B$10*'Assumptions'!$B$12*(1+'Assumptions'!$B$14)^(F$1-1)</s:f>
        <s:v>337718.83392</s:v>
      </s:c>
      <s:c r="G2" s="17">
        <s:f>'Assumptions'!$B$2*'Assumptions'!$B$10*'Assumptions'!$B$12*(1+'Assumptions'!$B$14)^(G$1-1)</s:f>
        <s:v>344473.2105984</s:v>
      </s:c>
      <s:c r="H2" s="17">
        <s:f>'Assumptions'!$B$2*'Assumptions'!$B$10*'Assumptions'!$B$12*(1+'Assumptions'!$B$14)^(H$1-1)</s:f>
        <s:v>351362.67481036804</s:v>
      </s:c>
      <s:c r="I2" s="17">
        <s:f>'Assumptions'!$B$2*'Assumptions'!$B$10*'Assumptions'!$B$12*(1+'Assumptions'!$B$14)^(I$1-1)</s:f>
        <s:v>358389.9283065754</s:v>
      </s:c>
      <s:c r="J2" s="17">
        <s:f>'Assumptions'!$B$2*'Assumptions'!$B$10*'Assumptions'!$B$12*(1+'Assumptions'!$B$14)^(J$1-1)</s:f>
        <s:v>365557.7268727069</s:v>
      </s:c>
      <s:c r="K2" s="17">
        <s:f>'Assumptions'!$B$2*'Assumptions'!$B$10*'Assumptions'!$B$12*(1+'Assumptions'!$B$14)^(K$1-1)</s:f>
        <s:v>372868.88141016103</s:v>
      </s:c>
      <s:c r="L2" s="17">
        <s:f>'Assumptions'!$B$2*'Assumptions'!$B$10*'Assumptions'!$B$12*(1+'Assumptions'!$B$14)^(L$1-1)</s:f>
        <s:v>380326.2590383643</s:v>
      </s:c>
    </s:row>
    <s:row r="3">
      <s:c r="A3" s="2" t="inlineStr">
        <s:is>
          <s:t>Effective room rent</s:t>
        </s:is>
      </s:c>
      <s:c r="B3" s="17">
        <s:f>B2*'Assumptions'!$B$11*(1-'Assumptions'!$B$31/12)</s:f>
        <s:v>296400.0</s:v>
      </s:c>
      <s:c r="C3" s="17">
        <s:f>C2*'Assumptions'!$B$11</s:f>
        <s:v>302328.0</s:v>
      </s:c>
      <s:c r="D3" s="17">
        <s:f>D2*'Assumptions'!$B$11</s:f>
        <s:v>308374.56</s:v>
      </s:c>
      <s:c r="E3" s="17">
        <s:f>E2*'Assumptions'!$B$11</s:f>
        <s:v>314542.05120000005</s:v>
      </s:c>
      <s:c r="F3" s="17">
        <s:f>F2*'Assumptions'!$B$11</s:f>
        <s:v>320832.892224</s:v>
      </s:c>
      <s:c r="G3" s="17">
        <s:f>G2*'Assumptions'!$B$11</s:f>
        <s:v>327249.55006847996</s:v>
      </s:c>
      <s:c r="H3" s="17">
        <s:f>H2*'Assumptions'!$B$11</s:f>
        <s:v>333794.5410698496</s:v>
      </s:c>
      <s:c r="I3" s="17">
        <s:f>I2*'Assumptions'!$B$11</s:f>
        <s:v>340470.43189124664</s:v>
      </s:c>
      <s:c r="J3" s="17">
        <s:f>J2*'Assumptions'!$B$11</s:f>
        <s:v>347279.8405290715</s:v>
      </s:c>
      <s:c r="K3" s="17">
        <s:f>K2*'Assumptions'!$B$11</s:f>
        <s:v>354225.43733965297</s:v>
      </s:c>
      <s:c r="L3" s="17">
        <s:f>L2*'Assumptions'!$B$11</s:f>
        <s:v>361309.94608644606</s:v>
      </s:c>
    </s:row>
    <s:row r="4">
      <s:c r="A4" s="2" t="inlineStr">
        <s:is>
          <s:t>Other revenue</s:t>
        </s:is>
      </s:c>
      <s:c r="B4" s="17">
        <s:f>'Assumptions'!$B$13*(1+'Assumptions'!$B$14)^(B$1-1)</s:f>
        <s:v>0.0</s:v>
      </s:c>
      <s:c r="C4" s="17">
        <s:f>'Assumptions'!$B$13*(1+'Assumptions'!$B$14)^(C$1-1)</s:f>
        <s:v>0.0</s:v>
      </s:c>
      <s:c r="D4" s="17">
        <s:f>'Assumptions'!$B$13*(1+'Assumptions'!$B$14)^(D$1-1)</s:f>
        <s:v>0.0</s:v>
      </s:c>
      <s:c r="E4" s="17">
        <s:f>'Assumptions'!$B$13*(1+'Assumptions'!$B$14)^(E$1-1)</s:f>
        <s:v>0.0</s:v>
      </s:c>
      <s:c r="F4" s="17">
        <s:f>'Assumptions'!$B$13*(1+'Assumptions'!$B$14)^(F$1-1)</s:f>
        <s:v>0.0</s:v>
      </s:c>
      <s:c r="G4" s="17">
        <s:f>'Assumptions'!$B$13*(1+'Assumptions'!$B$14)^(G$1-1)</s:f>
        <s:v>0.0</s:v>
      </s:c>
      <s:c r="H4" s="17">
        <s:f>'Assumptions'!$B$13*(1+'Assumptions'!$B$14)^(H$1-1)</s:f>
        <s:v>0.0</s:v>
      </s:c>
      <s:c r="I4" s="17">
        <s:f>'Assumptions'!$B$13*(1+'Assumptions'!$B$14)^(I$1-1)</s:f>
        <s:v>0.0</s:v>
      </s:c>
      <s:c r="J4" s="17">
        <s:f>'Assumptions'!$B$13*(1+'Assumptions'!$B$14)^(J$1-1)</s:f>
        <s:v>0.0</s:v>
      </s:c>
      <s:c r="K4" s="17">
        <s:f>'Assumptions'!$B$13*(1+'Assumptions'!$B$14)^(K$1-1)</s:f>
        <s:v>0.0</s:v>
      </s:c>
      <s:c r="L4" s="17">
        <s:f>'Assumptions'!$B$13*(1+'Assumptions'!$B$14)^(L$1-1)</s:f>
        <s:v>0.0</s:v>
      </s:c>
    </s:row>
    <s:row r="5">
      <s:c r="A5" s="2" t="inlineStr">
        <s:is>
          <s:t>Total revenue</s:t>
        </s:is>
      </s:c>
      <s:c r="B5" s="17">
        <s:f>SUM(B3:B4)</s:f>
        <s:v>296400.0</s:v>
      </s:c>
      <s:c r="C5" s="17">
        <s:f>SUM(C3:C4)</s:f>
        <s:v>302328.0</s:v>
      </s:c>
      <s:c r="D5" s="17">
        <s:f>SUM(D3:D4)</s:f>
        <s:v>308374.56</s:v>
      </s:c>
      <s:c r="E5" s="17">
        <s:f>SUM(E3:E4)</s:f>
        <s:v>314542.05120000005</s:v>
      </s:c>
      <s:c r="F5" s="17">
        <s:f>SUM(F3:F4)</s:f>
        <s:v>320832.892224</s:v>
      </s:c>
      <s:c r="G5" s="17">
        <s:f>SUM(G3:G4)</s:f>
        <s:v>327249.55006847996</s:v>
      </s:c>
      <s:c r="H5" s="17">
        <s:f>SUM(H3:H4)</s:f>
        <s:v>333794.5410698496</s:v>
      </s:c>
      <s:c r="I5" s="17">
        <s:f>SUM(I3:I4)</s:f>
        <s:v>340470.43189124664</s:v>
      </s:c>
      <s:c r="J5" s="17">
        <s:f>SUM(J3:J4)</s:f>
        <s:v>347279.8405290715</s:v>
      </s:c>
      <s:c r="K5" s="17">
        <s:f>SUM(K3:K4)</s:f>
        <s:v>354225.43733965297</s:v>
      </s:c>
      <s:c r="L5" s="17">
        <s:f>SUM(L3:L4)</s:f>
        <s:v>361309.94608644606</s:v>
      </s:c>
    </s:row>
    <s:row r="6">
      <s:c r="A6" s="2" t="inlineStr">
        <s:is>
          <s:t>Management</s:t>
        </s:is>
      </s:c>
      <s:c r="B6" s="17">
        <s:f>B5*'Assumptions'!$B$15</s:f>
        <s:v>17784.0</s:v>
      </s:c>
      <s:c r="C6" s="17">
        <s:f>C5*'Assumptions'!$B$15</s:f>
        <s:v>18139.68</s:v>
      </s:c>
      <s:c r="D6" s="17">
        <s:f>D5*'Assumptions'!$B$15</s:f>
        <s:v>18502.473599999998</s:v>
      </s:c>
      <s:c r="E6" s="17">
        <s:f>E5*'Assumptions'!$B$15</s:f>
        <s:v>18872.523072000004</s:v>
      </s:c>
      <s:c r="F6" s="17">
        <s:f>F5*'Assumptions'!$B$15</s:f>
        <s:v>19249.97353344</s:v>
      </s:c>
      <s:c r="G6" s="17">
        <s:f>G5*'Assumptions'!$B$15</s:f>
        <s:v>19634.973004108797</s:v>
      </s:c>
      <s:c r="H6" s="17">
        <s:f>H5*'Assumptions'!$B$15</s:f>
        <s:v>20027.67246419098</s:v>
      </s:c>
      <s:c r="I6" s="17">
        <s:f>I5*'Assumptions'!$B$15</s:f>
        <s:v>20428.2259134748</s:v>
      </s:c>
      <s:c r="J6" s="17">
        <s:f>J5*'Assumptions'!$B$15</s:f>
        <s:v>20836.79043174429</s:v>
      </s:c>
      <s:c r="K6" s="17">
        <s:f>K5*'Assumptions'!$B$15</s:f>
        <s:v>21253.52624037918</s:v>
      </s:c>
      <s:c r="L6" s="17">
        <s:f>L5*'Assumptions'!$B$15</s:f>
        <s:v>21678.59676518676</s:v>
      </s:c>
    </s:row>
    <s:row r="7">
      <s:c r="A7" s="2" t="inlineStr">
        <s:is>
          <s:t>Utilities</s:t>
        </s:is>
      </s:c>
      <s:c r="B7" s="17">
        <s:f>'Assumptions'!$B$16*(1+'Assumptions'!$B$21)^(B$1-1)</s:f>
        <s:v>18000.0</s:v>
      </s:c>
      <s:c r="C7" s="17">
        <s:f>'Assumptions'!$B$16*(1+'Assumptions'!$B$21)^(C$1-1)</s:f>
        <s:v>18450.0</s:v>
      </s:c>
      <s:c r="D7" s="17">
        <s:f>'Assumptions'!$B$16*(1+'Assumptions'!$B$21)^(D$1-1)</s:f>
        <s:v>18911.25</s:v>
      </s:c>
      <s:c r="E7" s="17">
        <s:f>'Assumptions'!$B$16*(1+'Assumptions'!$B$21)^(E$1-1)</s:f>
        <s:v>19384.031249999993</s:v>
      </s:c>
      <s:c r="F7" s="17">
        <s:f>'Assumptions'!$B$16*(1+'Assumptions'!$B$21)^(F$1-1)</s:f>
        <s:v>19868.632031249992</s:v>
      </s:c>
      <s:c r="G7" s="17">
        <s:f>'Assumptions'!$B$16*(1+'Assumptions'!$B$21)^(G$1-1)</s:f>
        <s:v>20365.34783203124</s:v>
      </s:c>
      <s:c r="H7" s="17">
        <s:f>'Assumptions'!$B$16*(1+'Assumptions'!$B$21)^(H$1-1)</s:f>
        <s:v>20874.48152783202</s:v>
      </s:c>
      <s:c r="I7" s="17">
        <s:f>'Assumptions'!$B$16*(1+'Assumptions'!$B$21)^(I$1-1)</s:f>
        <s:v>21396.34356602782</s:v>
      </s:c>
      <s:c r="J7" s="17">
        <s:f>'Assumptions'!$B$16*(1+'Assumptions'!$B$21)^(J$1-1)</s:f>
        <s:v>21931.25215517851</s:v>
      </s:c>
      <s:c r="K7" s="17">
        <s:f>'Assumptions'!$B$16*(1+'Assumptions'!$B$21)^(K$1-1)</s:f>
        <s:v>22479.533459057973</s:v>
      </s:c>
      <s:c r="L7" s="17">
        <s:f>'Assumptions'!$B$16*(1+'Assumptions'!$B$21)^(L$1-1)</s:f>
        <s:v>23041.52179553442</s:v>
      </s:c>
    </s:row>
    <s:row r="8">
      <s:c r="A8" s="2" t="inlineStr">
        <s:is>
          <s:t>Maintenance</s:t>
        </s:is>
      </s:c>
      <s:c r="B8" s="17">
        <s:f>'Assumptions'!$B$17*(1+'Assumptions'!$B$21)^(B$1-1)</s:f>
        <s:v>14000.0</s:v>
      </s:c>
      <s:c r="C8" s="17">
        <s:f>'Assumptions'!$B$17*(1+'Assumptions'!$B$21)^(C$1-1)</s:f>
        <s:v>14349.999999999998</s:v>
      </s:c>
      <s:c r="D8" s="17">
        <s:f>'Assumptions'!$B$17*(1+'Assumptions'!$B$21)^(D$1-1)</s:f>
        <s:v>14708.749999999998</s:v>
      </s:c>
      <s:c r="E8" s="17">
        <s:f>'Assumptions'!$B$17*(1+'Assumptions'!$B$21)^(E$1-1)</s:f>
        <s:v>15076.468749999995</s:v>
      </s:c>
      <s:c r="F8" s="17">
        <s:f>'Assumptions'!$B$17*(1+'Assumptions'!$B$21)^(F$1-1)</s:f>
        <s:v>15453.380468749994</s:v>
      </s:c>
      <s:c r="G8" s="17">
        <s:f>'Assumptions'!$B$17*(1+'Assumptions'!$B$21)^(G$1-1)</s:f>
        <s:v>15839.714980468741</s:v>
      </s:c>
      <s:c r="H8" s="17">
        <s:f>'Assumptions'!$B$17*(1+'Assumptions'!$B$21)^(H$1-1)</s:f>
        <s:v>16235.70785498046</s:v>
      </s:c>
      <s:c r="I8" s="17">
        <s:f>'Assumptions'!$B$17*(1+'Assumptions'!$B$21)^(I$1-1)</s:f>
        <s:v>16641.60055135497</s:v>
      </s:c>
      <s:c r="J8" s="17">
        <s:f>'Assumptions'!$B$17*(1+'Assumptions'!$B$21)^(J$1-1)</s:f>
        <s:v>17057.64056513884</s:v>
      </s:c>
      <s:c r="K8" s="17">
        <s:f>'Assumptions'!$B$17*(1+'Assumptions'!$B$21)^(K$1-1)</s:f>
        <s:v>17484.081579267313</s:v>
      </s:c>
      <s:c r="L8" s="17">
        <s:f>'Assumptions'!$B$17*(1+'Assumptions'!$B$21)^(L$1-1)</s:f>
        <s:v>17921.183618748993</s:v>
      </s:c>
    </s:row>
    <s:row r="9">
      <s:c r="A9" s="2" t="inlineStr">
        <s:is>
          <s:t>Insurance</s:t>
        </s:is>
      </s:c>
      <s:c r="B9" s="17">
        <s:f>'Assumptions'!$B$18*(1+'Assumptions'!$B$21)^(B$1-1)</s:f>
        <s:v>6000.0</s:v>
      </s:c>
      <s:c r="C9" s="17">
        <s:f>'Assumptions'!$B$18*(1+'Assumptions'!$B$21)^(C$1-1)</s:f>
        <s:v>6149.999999999999</s:v>
      </s:c>
      <s:c r="D9" s="17">
        <s:f>'Assumptions'!$B$18*(1+'Assumptions'!$B$21)^(D$1-1)</s:f>
        <s:v>6303.749999999999</s:v>
      </s:c>
      <s:c r="E9" s="17">
        <s:f>'Assumptions'!$B$18*(1+'Assumptions'!$B$21)^(E$1-1)</s:f>
        <s:v>6461.343749999998</s:v>
      </s:c>
      <s:c r="F9" s="17">
        <s:f>'Assumptions'!$B$18*(1+'Assumptions'!$B$21)^(F$1-1)</s:f>
        <s:v>6622.877343749998</s:v>
      </s:c>
      <s:c r="G9" s="17">
        <s:f>'Assumptions'!$B$18*(1+'Assumptions'!$B$21)^(G$1-1)</s:f>
        <s:v>6788.449277343747</s:v>
      </s:c>
      <s:c r="H9" s="17">
        <s:f>'Assumptions'!$B$18*(1+'Assumptions'!$B$21)^(H$1-1)</s:f>
        <s:v>6958.16050927734</s:v>
      </s:c>
      <s:c r="I9" s="17">
        <s:f>'Assumptions'!$B$18*(1+'Assumptions'!$B$21)^(I$1-1)</s:f>
        <s:v>7132.114522009274</s:v>
      </s:c>
      <s:c r="J9" s="17">
        <s:f>'Assumptions'!$B$18*(1+'Assumptions'!$B$21)^(J$1-1)</s:f>
        <s:v>7310.417385059503</s:v>
      </s:c>
      <s:c r="K9" s="17">
        <s:f>'Assumptions'!$B$18*(1+'Assumptions'!$B$21)^(K$1-1)</s:f>
        <s:v>7493.177819685991</s:v>
      </s:c>
      <s:c r="L9" s="17">
        <s:f>'Assumptions'!$B$18*(1+'Assumptions'!$B$21)^(L$1-1)</s:f>
        <s:v>7680.50726517814</s:v>
      </s:c>
    </s:row>
    <s:row r="10">
      <s:c r="A10" s="2" t="inlineStr">
        <s:is>
          <s:t>Property tax</s:t>
        </s:is>
      </s:c>
      <s:c r="B10" s="17">
        <s:f>'Assumptions'!$B$19*(1+'Assumptions'!$B$21)^(B$1-1)</s:f>
        <s:v>14000.0</s:v>
      </s:c>
      <s:c r="C10" s="17">
        <s:f>'Assumptions'!$B$19*(1+'Assumptions'!$B$21)^(C$1-1)</s:f>
        <s:v>14349.999999999998</s:v>
      </s:c>
      <s:c r="D10" s="17">
        <s:f>'Assumptions'!$B$19*(1+'Assumptions'!$B$21)^(D$1-1)</s:f>
        <s:v>14708.749999999998</s:v>
      </s:c>
      <s:c r="E10" s="17">
        <s:f>'Assumptions'!$B$19*(1+'Assumptions'!$B$21)^(E$1-1)</s:f>
        <s:v>15076.468749999995</s:v>
      </s:c>
      <s:c r="F10" s="17">
        <s:f>'Assumptions'!$B$19*(1+'Assumptions'!$B$21)^(F$1-1)</s:f>
        <s:v>15453.380468749994</s:v>
      </s:c>
      <s:c r="G10" s="17">
        <s:f>'Assumptions'!$B$19*(1+'Assumptions'!$B$21)^(G$1-1)</s:f>
        <s:v>15839.714980468741</s:v>
      </s:c>
      <s:c r="H10" s="17">
        <s:f>'Assumptions'!$B$19*(1+'Assumptions'!$B$21)^(H$1-1)</s:f>
        <s:v>16235.70785498046</s:v>
      </s:c>
      <s:c r="I10" s="17">
        <s:f>'Assumptions'!$B$19*(1+'Assumptions'!$B$21)^(I$1-1)</s:f>
        <s:v>16641.60055135497</s:v>
      </s:c>
      <s:c r="J10" s="17">
        <s:f>'Assumptions'!$B$19*(1+'Assumptions'!$B$21)^(J$1-1)</s:f>
        <s:v>17057.64056513884</s:v>
      </s:c>
      <s:c r="K10" s="17">
        <s:f>'Assumptions'!$B$19*(1+'Assumptions'!$B$21)^(K$1-1)</s:f>
        <s:v>17484.081579267313</s:v>
      </s:c>
      <s:c r="L10" s="17">
        <s:f>'Assumptions'!$B$19*(1+'Assumptions'!$B$21)^(L$1-1)</s:f>
        <s:v>17921.183618748993</s:v>
      </s:c>
    </s:row>
    <s:row r="11">
      <s:c r="A11" s="2" t="inlineStr">
        <s:is>
          <s:t>Administration</s:t>
        </s:is>
      </s:c>
      <s:c r="B11" s="17">
        <s:f>'Assumptions'!$B$20*(1+'Assumptions'!$B$21)^(B$1-1)</s:f>
        <s:v>5000.0</s:v>
      </s:c>
      <s:c r="C11" s="17">
        <s:f>'Assumptions'!$B$20*(1+'Assumptions'!$B$21)^(C$1-1)</s:f>
        <s:v>5125.0</s:v>
      </s:c>
      <s:c r="D11" s="17">
        <s:f>'Assumptions'!$B$20*(1+'Assumptions'!$B$21)^(D$1-1)</s:f>
        <s:v>5253.125</s:v>
      </s:c>
      <s:c r="E11" s="17">
        <s:f>'Assumptions'!$B$20*(1+'Assumptions'!$B$21)^(E$1-1)</s:f>
        <s:v>5384.453124999998</s:v>
      </s:c>
      <s:c r="F11" s="17">
        <s:f>'Assumptions'!$B$20*(1+'Assumptions'!$B$21)^(F$1-1)</s:f>
        <s:v>5519.064453124997</s:v>
      </s:c>
      <s:c r="G11" s="17">
        <s:f>'Assumptions'!$B$20*(1+'Assumptions'!$B$21)^(G$1-1)</s:f>
        <s:v>5657.041064453122</s:v>
      </s:c>
      <s:c r="H11" s="17">
        <s:f>'Assumptions'!$B$20*(1+'Assumptions'!$B$21)^(H$1-1)</s:f>
        <s:v>5798.46709106445</s:v>
      </s:c>
      <s:c r="I11" s="17">
        <s:f>'Assumptions'!$B$20*(1+'Assumptions'!$B$21)^(I$1-1)</s:f>
        <s:v>5943.428768341061</s:v>
      </s:c>
      <s:c r="J11" s="17">
        <s:f>'Assumptions'!$B$20*(1+'Assumptions'!$B$21)^(J$1-1)</s:f>
        <s:v>6092.014487549586</s:v>
      </s:c>
      <s:c r="K11" s="17">
        <s:f>'Assumptions'!$B$20*(1+'Assumptions'!$B$21)^(K$1-1)</s:f>
        <s:v>6244.314849738326</s:v>
      </s:c>
      <s:c r="L11" s="17">
        <s:f>'Assumptions'!$B$20*(1+'Assumptions'!$B$21)^(L$1-1)</s:f>
        <s:v>6400.422720981784</s:v>
      </s:c>
    </s:row>
    <s:row r="12">
      <s:c r="A12" s="2" t="inlineStr">
        <s:is>
          <s:t>Total operating costs</s:t>
        </s:is>
      </s:c>
      <s:c r="B12" s="17">
        <s:f>SUM(B6:B11)</s:f>
        <s:v>74784.0</s:v>
      </s:c>
      <s:c r="C12" s="17">
        <s:f>SUM(C6:C11)</s:f>
        <s:v>76564.68</s:v>
      </s:c>
      <s:c r="D12" s="17">
        <s:f>SUM(D6:D11)</s:f>
        <s:v>78388.0986</s:v>
      </s:c>
      <s:c r="E12" s="17">
        <s:f>SUM(E6:E11)</s:f>
        <s:v>80255.28869699998</s:v>
      </s:c>
      <s:c r="F12" s="17">
        <s:f>SUM(F6:F11)</s:f>
        <s:v>82167.30829906499</s:v>
      </s:c>
      <s:c r="G12" s="17">
        <s:f>SUM(G6:G11)</s:f>
        <s:v>84125.24113887438</s:v>
      </s:c>
      <s:c r="H12" s="17">
        <s:f>SUM(H6:H11)</s:f>
        <s:v>86130.1973023257</s:v>
      </s:c>
      <s:c r="I12" s="17">
        <s:f>SUM(I6:I11)</s:f>
        <s:v>88183.31387256291</s:v>
      </s:c>
      <s:c r="J12" s="17">
        <s:f>SUM(J6:J11)</s:f>
        <s:v>90285.75558980957</s:v>
      </s:c>
      <s:c r="K12" s="17">
        <s:f>SUM(K6:K11)</s:f>
        <s:v>92438.7155273961</s:v>
      </s:c>
      <s:c r="L12" s="17">
        <s:f>SUM(L6:L11)</s:f>
        <s:v>94643.41578437909</s:v>
      </s:c>
    </s:row>
    <s:row r="13">
      <s:c r="A13" s="2" t="inlineStr">
        <s:is>
          <s:t>Net operating income (NOI)</s:t>
        </s:is>
      </s:c>
      <s:c r="B13" s="17">
        <s:f>B5-B12</s:f>
        <s:v>221616.0</s:v>
      </s:c>
      <s:c r="C13" s="17">
        <s:f>C5-C12</s:f>
        <s:v>225763.32</s:v>
      </s:c>
      <s:c r="D13" s="17">
        <s:f>D5-D12</s:f>
        <s:v>229986.4614</s:v>
      </s:c>
      <s:c r="E13" s="17">
        <s:f>E5-E12</s:f>
        <s:v>234286.76250300006</s:v>
      </s:c>
      <s:c r="F13" s="17">
        <s:f>F5-F12</s:f>
        <s:v>238665.58392493502</s:v>
      </s:c>
      <s:c r="G13" s="17">
        <s:f>G5-G12</s:f>
        <s:v>243124.30892960558</s:v>
      </s:c>
      <s:c r="H13" s="17">
        <s:f>H5-H12</s:f>
        <s:v>247664.34376752394</s:v>
      </s:c>
      <s:c r="I13" s="17">
        <s:f>I5-I12</s:f>
        <s:v>252287.11801868374</s:v>
      </s:c>
      <s:c r="J13" s="17">
        <s:f>J5-J12</s:f>
        <s:v>256994.08493926196</s:v>
      </s:c>
      <s:c r="K13" s="17">
        <s:f>K5-K12</s:f>
        <s:v>261786.72181225687</s:v>
      </s:c>
      <s:c r="L13" s="17">
        <s:f>L5-L12</s:f>
        <s:v>266666.53030206694</s:v>
      </s:c>
    </s:row>
    <s:row r="14">
      <s:c r="A14" s="2" t="inlineStr">
        <s:is>
          <s:t>Replacement reserve</s:t>
        </s:is>
      </s:c>
      <s:c r="B14" s="17">
        <s:f>'Assumptions'!$B$22*(1+'Assumptions'!$B$21)^(B$1-1)</s:f>
        <s:v>12000.0</s:v>
      </s:c>
      <s:c r="C14" s="17">
        <s:f>'Assumptions'!$B$22*(1+'Assumptions'!$B$21)^(C$1-1)</s:f>
        <s:v>12299.999999999998</s:v>
      </s:c>
      <s:c r="D14" s="17">
        <s:f>'Assumptions'!$B$22*(1+'Assumptions'!$B$21)^(D$1-1)</s:f>
        <s:v>12607.499999999998</s:v>
      </s:c>
      <s:c r="E14" s="17">
        <s:f>'Assumptions'!$B$22*(1+'Assumptions'!$B$21)^(E$1-1)</s:f>
        <s:v>12922.687499999996</s:v>
      </s:c>
      <s:c r="F14" s="17">
        <s:f>'Assumptions'!$B$22*(1+'Assumptions'!$B$21)^(F$1-1)</s:f>
        <s:v>13245.754687499995</s:v>
      </s:c>
      <s:c r="G14" s="17">
        <s:f>'Assumptions'!$B$22*(1+'Assumptions'!$B$21)^(G$1-1)</s:f>
        <s:v>13576.898554687494</s:v>
      </s:c>
      <s:c r="H14" s="17">
        <s:f>'Assumptions'!$B$22*(1+'Assumptions'!$B$21)^(H$1-1)</s:f>
        <s:v>13916.32101855468</s:v>
      </s:c>
      <s:c r="I14" s="17">
        <s:f>'Assumptions'!$B$22*(1+'Assumptions'!$B$21)^(I$1-1)</s:f>
        <s:v>14264.229044018548</s:v>
      </s:c>
      <s:c r="J14" s="17">
        <s:f>'Assumptions'!$B$22*(1+'Assumptions'!$B$21)^(J$1-1)</s:f>
        <s:v>14620.834770119007</s:v>
      </s:c>
      <s:c r="K14" s="17">
        <s:f>'Assumptions'!$B$22*(1+'Assumptions'!$B$21)^(K$1-1)</s:f>
        <s:v>14986.355639371983</s:v>
      </s:c>
      <s:c r="L14" s="17">
        <s:f>'Assumptions'!$B$22*(1+'Assumptions'!$B$21)^(L$1-1)</s:f>
        <s:v>15361.01453035628</s:v>
      </s:c>
    </s:row>
    <s:row r="15">
      <s:c r="A15" s="2" t="inlineStr">
        <s:is>
          <s:t>Cash flow before debt</s:t>
        </s:is>
      </s:c>
      <s:c r="B15" s="17">
        <s:f>B13-B14</s:f>
        <s:v>209616.0</s:v>
      </s:c>
      <s:c r="C15" s="17">
        <s:f>C13-C14</s:f>
        <s:v>213463.32</s:v>
      </s:c>
      <s:c r="D15" s="17">
        <s:f>D13-D14</s:f>
        <s:v>217378.9614</s:v>
      </s:c>
      <s:c r="E15" s="17">
        <s:f>E13-E14</s:f>
        <s:v>221364.07500300006</s:v>
      </s:c>
      <s:c r="F15" s="17">
        <s:f>F13-F14</s:f>
        <s:v>225419.82923743504</s:v>
      </s:c>
      <s:c r="G15" s="17">
        <s:f>G13-G14</s:f>
        <s:v>229547.41037491808</s:v>
      </s:c>
      <s:c r="H15" s="17">
        <s:f>H13-H14</s:f>
        <s:v>233748.02274896926</s:v>
      </s:c>
      <s:c r="I15" s="17">
        <s:f>I13-I14</s:f>
        <s:v>238022.8889746652</s:v>
      </s:c>
      <s:c r="J15" s="17">
        <s:f>J13-J14</s:f>
        <s:v>242373.25016914296</s:v>
      </s:c>
      <s:c r="K15" s="17">
        <s:f>K13-K14</s:f>
        <s:v>246800.36617288488</s:v>
      </s:c>
      <s:c r="L15" s="17">
        <s:f>L13-L14</s:f>
        <s:v>251305.51577171066</s:v>
      </s:c>
    </s:row>
  </s:sheetData>
  <s:autoFilter ref="A1:L15"/>
  <s:pageMargins left="0.75" right="0.75" top="1" bottom="1" header="0.5" footer="0.5"/>
</s: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K7"/>
  <s:sheetViews>
    <s:sheetView workbookViewId="0">
      <s:pane xSplit="1" ySplit="1" topLeftCell="B2" activePane="bottomRight" state="frozen"/>
      <s:selection pane="top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  <s:col width="18" customWidth="1" min="8" max="8"/>
    <s:col width="18" customWidth="1" min="9" max="9"/>
    <s:col width="18" customWidth="1" min="10" max="10"/>
    <s:col width="18" customWidth="1" min="11" max="11"/>
  </s:cols>
  <s:sheetData>
    <s:row r="1" ht="28" customHeight="1">
      <s:c r="A1" s="1" t="inlineStr">
        <s:is>
          <s:t>Year</s:t>
        </s:is>
      </s:c>
      <s:c r="B1" s="1" t="n">
        <s:v>1</s:v>
      </s:c>
      <s:c r="C1" s="1" t="n">
        <s:v>2</s:v>
      </s:c>
      <s:c r="D1" s="1" t="n">
        <s:v>3</s:v>
      </s:c>
      <s:c r="E1" s="1" t="n">
        <s:v>4</s:v>
      </s:c>
      <s:c r="F1" s="1" t="n">
        <s:v>5</s:v>
      </s:c>
      <s:c r="G1" s="1" t="n">
        <s:v>6</s:v>
      </s:c>
      <s:c r="H1" s="1" t="n">
        <s:v>7</s:v>
      </s:c>
      <s:c r="I1" s="1" t="n">
        <s:v>8</s:v>
      </s:c>
      <s:c r="J1" s="1" t="n">
        <s:v>9</s:v>
      </s:c>
      <s:c r="K1" s="1" t="n">
        <s:v>10</s:v>
      </s:c>
    </s:row>
    <s:row r="2">
      <s:c r="A2" s="2" t="inlineStr">
        <s:is>
          <s:t>Opening balance</s:t>
        </s:is>
      </s:c>
      <s:c r="B2" s="17">
        <s:f>'Sources &amp; Uses'!B12</s:f>
        <s:v>1920000.0</s:v>
      </s:c>
      <s:c r="C2" s="17">
        <s:f>B6</s:f>
        <s:v>1876917.0661657064</s:v>
      </s:c>
      <s:c r="D2" s="17">
        <s:f>C6</s:f>
        <s:v>1831895.4003088695</s:v>
      </s:c>
      <s:c r="E2" s="17">
        <s:f>D6</s:f>
        <s:v>1784847.759488475</s:v>
      </s:c>
      <s:c r="F2" s="17">
        <s:f>E6</s:f>
        <s:v>1735682.974831163</s:v>
      </s:c>
      <s:c r="G2" s="17">
        <s:f>F6</s:f>
        <s:v>1684305.7748642717</s:v>
      </s:c>
      <s:c r="H2" s="17">
        <s:f>G6</s:f>
        <s:v>1630616.6008988705</s:v>
      </s:c>
      <s:c r="I2" s="17">
        <s:f>H6</s:f>
        <s:v>1574511.414105026</s:v>
      </s:c>
      <s:c r="J2" s="17">
        <s:f>I6</s:f>
        <s:v>1515881.4939054586</s:v>
      </s:c>
      <s:c r="K2" s="17">
        <s:f>J6</s:f>
        <s:v>1454613.2272969107</s:v>
      </s:c>
    </s:row>
    <s:row r="3">
      <s:c r="A3" s="2" t="inlineStr">
        <s:is>
          <s:t>Debt service</s:t>
        </s:is>
      </s:c>
      <s:c r="B3" s="17">
        <s:f>MIN(B2*(1+'Assumptions'!$B$24),-PMT('Assumptions'!$B$24,'Assumptions'!$B$25,'Sources &amp; Uses'!$B$12))</s:f>
        <s:v>129482.93383429352</s:v>
      </s:c>
      <s:c r="C3" s="17">
        <s:f>MIN(C2*(1+'Assumptions'!$B$24),-PMT('Assumptions'!$B$24,'Assumptions'!$B$25,'Sources &amp; Uses'!$B$12))</s:f>
        <s:v>129482.93383429352</s:v>
      </s:c>
      <s:c r="D3" s="17">
        <s:f>MIN(D2*(1+'Assumptions'!$B$24),-PMT('Assumptions'!$B$24,'Assumptions'!$B$25,'Sources &amp; Uses'!$B$12))</s:f>
        <s:v>129482.93383429352</s:v>
      </s:c>
      <s:c r="E3" s="17">
        <s:f>MIN(E2*(1+'Assumptions'!$B$24),-PMT('Assumptions'!$B$24,'Assumptions'!$B$25,'Sources &amp; Uses'!$B$12))</s:f>
        <s:v>129482.93383429352</s:v>
      </s:c>
      <s:c r="F3" s="17">
        <s:f>MIN(F2*(1+'Assumptions'!$B$24),-PMT('Assumptions'!$B$24,'Assumptions'!$B$25,'Sources &amp; Uses'!$B$12))</s:f>
        <s:v>129482.93383429352</s:v>
      </s:c>
      <s:c r="G3" s="17">
        <s:f>MIN(G2*(1+'Assumptions'!$B$24),-PMT('Assumptions'!$B$24,'Assumptions'!$B$25,'Sources &amp; Uses'!$B$12))</s:f>
        <s:v>129482.93383429352</s:v>
      </s:c>
      <s:c r="H3" s="17">
        <s:f>MIN(H2*(1+'Assumptions'!$B$24),-PMT('Assumptions'!$B$24,'Assumptions'!$B$25,'Sources &amp; Uses'!$B$12))</s:f>
        <s:v>129482.93383429352</s:v>
      </s:c>
      <s:c r="I3" s="17">
        <s:f>MIN(I2*(1+'Assumptions'!$B$24),-PMT('Assumptions'!$B$24,'Assumptions'!$B$25,'Sources &amp; Uses'!$B$12))</s:f>
        <s:v>129482.93383429352</s:v>
      </s:c>
      <s:c r="J3" s="17">
        <s:f>MIN(J2*(1+'Assumptions'!$B$24),-PMT('Assumptions'!$B$24,'Assumptions'!$B$25,'Sources &amp; Uses'!$B$12))</s:f>
        <s:v>129482.93383429352</s:v>
      </s:c>
      <s:c r="K3" s="17">
        <s:f>MIN(K2*(1+'Assumptions'!$B$24),-PMT('Assumptions'!$B$24,'Assumptions'!$B$25,'Sources &amp; Uses'!$B$12))</s:f>
        <s:v>129482.93383429352</s:v>
      </s:c>
    </s:row>
    <s:row r="4">
      <s:c r="A4" s="2" t="inlineStr">
        <s:is>
          <s:t>Interest</s:t>
        </s:is>
      </s:c>
      <s:c r="B4" s="17">
        <s:f>B2*'Assumptions'!$B$24</s:f>
        <s:v>86400.0</s:v>
      </s:c>
      <s:c r="C4" s="17">
        <s:f>C2*'Assumptions'!$B$24</s:f>
        <s:v>84461.26797745678</s:v>
      </s:c>
      <s:c r="D4" s="17">
        <s:f>D2*'Assumptions'!$B$24</s:f>
        <s:v>82435.29301389912</s:v>
      </s:c>
      <s:c r="E4" s="17">
        <s:f>E2*'Assumptions'!$B$24</s:f>
        <s:v>80318.14917698137</s:v>
      </s:c>
      <s:c r="F4" s="17">
        <s:f>F2*'Assumptions'!$B$24</s:f>
        <s:v>78105.73386740233</s:v>
      </s:c>
      <s:c r="G4" s="17">
        <s:f>G2*'Assumptions'!$B$24</s:f>
        <s:v>75793.75986889223</s:v>
      </s:c>
      <s:c r="H4" s="17">
        <s:f>H2*'Assumptions'!$B$24</s:f>
        <s:v>73377.74704044918</s:v>
      </s:c>
      <s:c r="I4" s="17">
        <s:f>I2*'Assumptions'!$B$24</s:f>
        <s:v>70853.01363472617</s:v>
      </s:c>
      <s:c r="J4" s="17">
        <s:f>J2*'Assumptions'!$B$24</s:f>
        <s:v>68214.66722574564</s:v>
      </s:c>
      <s:c r="K4" s="17">
        <s:f>K2*'Assumptions'!$B$24</s:f>
        <s:v>65457.59522836098</s:v>
      </s:c>
    </s:row>
    <s:row r="5">
      <s:c r="A5" s="2" t="inlineStr">
        <s:is>
          <s:t>Principal</s:t>
        </s:is>
      </s:c>
      <s:c r="B5" s="17">
        <s:f>B3-B4</s:f>
        <s:v>43082.93383429352</s:v>
      </s:c>
      <s:c r="C5" s="17">
        <s:f>C3-C4</s:f>
        <s:v>45021.66585683674</s:v>
      </s:c>
      <s:c r="D5" s="17">
        <s:f>D3-D4</s:f>
        <s:v>47047.6408203944</s:v>
      </s:c>
      <s:c r="E5" s="17">
        <s:f>E3-E4</s:f>
        <s:v>49164.78465731215</s:v>
      </s:c>
      <s:c r="F5" s="17">
        <s:f>F3-F4</s:f>
        <s:v>51377.19996689119</s:v>
      </s:c>
      <s:c r="G5" s="17">
        <s:f>G3-G4</s:f>
        <s:v>53689.17396540129</s:v>
      </s:c>
      <s:c r="H5" s="17">
        <s:f>H3-H4</s:f>
        <s:v>56105.18679384435</s:v>
      </s:c>
      <s:c r="I5" s="17">
        <s:f>I3-I4</s:f>
        <s:v>58629.92019956735</s:v>
      </s:c>
      <s:c r="J5" s="17">
        <s:f>J3-J4</s:f>
        <s:v>61268.266608547885</s:v>
      </s:c>
      <s:c r="K5" s="17">
        <s:f>K3-K4</s:f>
        <s:v>64025.33860593254</s:v>
      </s:c>
    </s:row>
    <s:row r="6">
      <s:c r="A6" s="2" t="inlineStr">
        <s:is>
          <s:t>Closing balance</s:t>
        </s:is>
      </s:c>
      <s:c r="B6" s="17">
        <s:f>MAX(0,B2-B5)</s:f>
        <s:v>1876917.0661657064</s:v>
      </s:c>
      <s:c r="C6" s="17">
        <s:f>MAX(0,C2-C5)</s:f>
        <s:v>1831895.4003088695</s:v>
      </s:c>
      <s:c r="D6" s="17">
        <s:f>MAX(0,D2-D5)</s:f>
        <s:v>1784847.759488475</s:v>
      </s:c>
      <s:c r="E6" s="17">
        <s:f>MAX(0,E2-E5)</s:f>
        <s:v>1735682.974831163</s:v>
      </s:c>
      <s:c r="F6" s="17">
        <s:f>MAX(0,F2-F5)</s:f>
        <s:v>1684305.7748642717</s:v>
      </s:c>
      <s:c r="G6" s="17">
        <s:f>MAX(0,G2-G5)</s:f>
        <s:v>1630616.6008988705</s:v>
      </s:c>
      <s:c r="H6" s="17">
        <s:f>MAX(0,H2-H5)</s:f>
        <s:v>1574511.414105026</s:v>
      </s:c>
      <s:c r="I6" s="17">
        <s:f>MAX(0,I2-I5)</s:f>
        <s:v>1515881.4939054586</s:v>
      </s:c>
      <s:c r="J6" s="17">
        <s:f>MAX(0,J2-J5)</s:f>
        <s:v>1454613.2272969107</s:v>
      </s:c>
      <s:c r="K6" s="17">
        <s:f>MAX(0,K2-K5)</s:f>
        <s:v>1390587.8886909783</s:v>
      </s:c>
    </s:row>
    <s:row r="7">
      <s:c r="A7" s="2" t="inlineStr">
        <s:is>
          <s:t>DSCR</s:t>
        </s:is>
      </s:c>
      <s:c r="B7" s="6">
        <s:f>'Operations'!B13/B3</s:f>
        <s:v>1.7115460195211074</s:v>
      </s:c>
      <s:c r="C7" s="6">
        <s:f>'Operations'!C13/C3</s:f>
        <s:v>1.743575877643627</s:v>
      </s:c>
      <s:c r="D7" s="6">
        <s:f>'Operations'!D13/D3</s:f>
        <s:v>1.7761913063718993</s:v>
      </s:c>
      <s:c r="E7" s="6">
        <s:f>'Operations'!E13/E3</s:f>
        <s:v>1.8094026414541224</s:v>
      </s:c>
      <s:c r="F7" s="6">
        <s:f>'Operations'!F13/F3</s:f>
        <s:v>1.843220390961859</s:v>
      </s:c>
      <s:c r="G7" s="6">
        <s:f>'Operations'!G13/G3</s:f>
        <s:v>1.8776552378767168</s:v>
      </s:c>
      <s:c r="H7" s="6">
        <s:f>'Operations'!H13/H3</s:f>
        <s:v>1.912718042707263</s:v>
      </s:c>
      <s:c r="I7" s="6">
        <s:f>'Operations'!I13/I3</s:f>
        <s:v>1.9484198461362447</s:v>
      </s:c>
      <s:c r="J7" s="6">
        <s:f>'Operations'!J13/J3</s:f>
        <s:v>1.984771871698177</s:v>
      </s:c>
      <s:c r="K7" s="6">
        <s:f>'Operations'!K13/K3</s:f>
        <s:v>2.021785528487328</s:v>
      </s:c>
    </s:row>
  </s:sheetData>
  <s:autoFilter ref="A1:K7"/>
  <s:pageMargins left="0.75" right="0.75" top="1" bottom="1" header="0.5" footer="0.5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A1:L15"/>
  <s:sheetViews>
    <s:sheetView workbookViewId="0">
      <s:pane xSplit="1" ySplit="1" topLeftCell="B2" activePane="bottomRight" state="frozen"/>
      <s:selection pane="top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18" customWidth="1" min="2" max="2"/>
    <s:col width="18" customWidth="1" min="3" max="3"/>
    <s:col width="18" customWidth="1" min="4" max="4"/>
    <s:col width="18" customWidth="1" min="5" max="5"/>
    <s:col width="18" customWidth="1" min="6" max="6"/>
    <s:col width="18" customWidth="1" min="7" max="7"/>
    <s:col width="18" customWidth="1" min="8" max="8"/>
    <s:col width="18" customWidth="1" min="9" max="9"/>
    <s:col width="18" customWidth="1" min="10" max="10"/>
    <s:col width="18" customWidth="1" min="11" max="11"/>
    <s:col width="18" customWidth="1" min="12" max="12"/>
  </s:cols>
  <s:sheetData>
    <s:row r="1" ht="28" customHeight="1">
      <s:c r="A1" s="1" t="inlineStr">
        <s:is>
          <s:t>Year</s:t>
        </s:is>
      </s:c>
      <s:c r="B1" s="1" t="n">
        <s:v>0</s:v>
      </s:c>
      <s:c r="C1" s="1" t="n">
        <s:v>1</s:v>
      </s:c>
      <s:c r="D1" s="1" t="n">
        <s:v>2</s:v>
      </s:c>
      <s:c r="E1" s="1" t="n">
        <s:v>3</s:v>
      </s:c>
      <s:c r="F1" s="1" t="n">
        <s:v>4</s:v>
      </s:c>
      <s:c r="G1" s="1" t="n">
        <s:v>5</s:v>
      </s:c>
      <s:c r="H1" s="1" t="n">
        <s:v>6</s:v>
      </s:c>
      <s:c r="I1" s="1" t="n">
        <s:v>7</s:v>
      </s:c>
      <s:c r="J1" s="1" t="n">
        <s:v>8</s:v>
      </s:c>
      <s:c r="K1" s="1" t="n">
        <s:v>9</s:v>
      </s:c>
      <s:c r="L1" s="1" t="n">
        <s:v>10</s:v>
      </s:c>
    </s:row>
    <s:row r="2">
      <s:c r="A2" s="2" t="inlineStr">
        <s:is>
          <s:t>Initial equity</s:t>
        </s:is>
      </s:c>
      <s:c r="B2" s="17">
        <s:f>-'Sources &amp; Uses'!B13</s:f>
        <s:v>-2766320.0</s:v>
      </s:c>
      <s:c r="C2" s="2" t="n"/>
      <s:c r="D2" s="2" t="n"/>
      <s:c r="E2" s="2" t="n"/>
      <s:c r="F2" s="2" t="n"/>
      <s:c r="G2" s="2" t="n"/>
      <s:c r="H2" s="2" t="n"/>
      <s:c r="I2" s="2" t="n"/>
      <s:c r="J2" s="2" t="n"/>
      <s:c r="K2" s="2" t="n"/>
      <s:c r="L2" s="2" t="n"/>
    </s:row>
    <s:row r="3">
      <s:c r="A3" s="2" t="inlineStr">
        <s:is>
          <s:t>Cash after debt</s:t>
        </s:is>
      </s:c>
      <s:c r="B3" s="2" t="n"/>
      <s:c r="C3" s="17">
        <s:f>'Operations'!B15-'Debt'!B3</s:f>
        <s:v>80133.06616570648</s:v>
      </s:c>
      <s:c r="D3" s="17">
        <s:f>'Operations'!C15-'Debt'!C3</s:f>
        <s:v>83980.38616570648</s:v>
      </s:c>
      <s:c r="E3" s="17">
        <s:f>'Operations'!D15-'Debt'!D3</s:f>
        <s:v>87896.02756570648</s:v>
      </s:c>
      <s:c r="F3" s="17">
        <s:f>'Operations'!E15-'Debt'!E3</s:f>
        <s:v>91881.14116870654</s:v>
      </s:c>
      <s:c r="G3" s="17">
        <s:f>'Operations'!F15-'Debt'!F3</s:f>
        <s:v>95936.89540314152</s:v>
      </s:c>
      <s:c r="H3" s="17">
        <s:f>'Operations'!G15-'Debt'!G3</s:f>
        <s:v>100064.47654062456</s:v>
      </s:c>
      <s:c r="I3" s="17">
        <s:f>'Operations'!H15-'Debt'!H3</s:f>
        <s:v>104265.08891467574</s:v>
      </s:c>
      <s:c r="J3" s="17">
        <s:f>'Operations'!I15-'Debt'!I3</s:f>
        <s:v>108539.95514037168</s:v>
      </s:c>
      <s:c r="K3" s="17">
        <s:f>'Operations'!J15-'Debt'!J3</s:f>
        <s:v>112890.31633484944</s:v>
      </s:c>
      <s:c r="L3" s="17">
        <s:f>'Operations'!K15-'Debt'!K3</s:f>
        <s:v>117317.43233859136</s:v>
      </s:c>
    </s:row>
    <s:row r="4">
      <s:c r="A4" s="2" t="inlineStr">
        <s:is>
          <s:t>Gross sale value</s:t>
        </s:is>
      </s:c>
      <s:c r="B4" s="2" t="n"/>
      <s:c r="C4" s="2" t="n"/>
      <s:c r="D4" s="2" t="n"/>
      <s:c r="E4" s="2" t="n"/>
      <s:c r="F4" s="2" t="n"/>
      <s:c r="G4" s="2" t="n"/>
      <s:c r="H4" s="2" t="n"/>
      <s:c r="I4" s="2" t="n"/>
      <s:c r="J4" s="2" t="n"/>
      <s:c r="K4" s="2" t="n"/>
      <s:c r="L4" s="17">
        <s:f>'Operations'!L13/'Assumptions'!$B$28</s:f>
        <s:v>4848482.36912849</s:v>
      </s:c>
    </s:row>
    <s:row r="5">
      <s:c r="A5" s="2" t="inlineStr">
        <s:is>
          <s:t>Selling costs</s:t>
        </s:is>
      </s:c>
      <s:c r="B5" s="2" t="n"/>
      <s:c r="C5" s="2" t="n"/>
      <s:c r="D5" s="2" t="n"/>
      <s:c r="E5" s="2" t="n"/>
      <s:c r="F5" s="2" t="n"/>
      <s:c r="G5" s="2" t="n"/>
      <s:c r="H5" s="2" t="n"/>
      <s:c r="I5" s="2" t="n"/>
      <s:c r="J5" s="2" t="n"/>
      <s:c r="K5" s="2" t="n"/>
      <s:c r="L5" s="17">
        <s:f>L4*'Assumptions'!$B$29</s:f>
        <s:v>96969.6473825698</s:v>
      </s:c>
    </s:row>
    <s:row r="6">
      <s:c r="A6" s="2" t="inlineStr">
        <s:is>
          <s:t>Debt repayment</s:t>
        </s:is>
      </s:c>
      <s:c r="B6" s="2" t="n"/>
      <s:c r="C6" s="2" t="n"/>
      <s:c r="D6" s="2" t="n"/>
      <s:c r="E6" s="2" t="n"/>
      <s:c r="F6" s="2" t="n"/>
      <s:c r="G6" s="2" t="n"/>
      <s:c r="H6" s="2" t="n"/>
      <s:c r="I6" s="2" t="n"/>
      <s:c r="J6" s="2" t="n"/>
      <s:c r="K6" s="2" t="n"/>
      <s:c r="L6" s="17">
        <s:f>'Debt'!K6</s:f>
        <s:v>1390587.8886909783</s:v>
      </s:c>
    </s:row>
    <s:row r="7">
      <s:c r="A7" s="2" t="inlineStr">
        <s:is>
          <s:t>Reserve released</s:t>
        </s:is>
      </s:c>
      <s:c r="B7" s="2" t="n"/>
      <s:c r="C7" s="2" t="n"/>
      <s:c r="D7" s="2" t="n"/>
      <s:c r="E7" s="2" t="n"/>
      <s:c r="F7" s="2" t="n"/>
      <s:c r="G7" s="2" t="n"/>
      <s:c r="H7" s="2" t="n"/>
      <s:c r="I7" s="2" t="n"/>
      <s:c r="J7" s="2" t="n"/>
      <s:c r="K7" s="2" t="n"/>
      <s:c r="L7" s="17">
        <s:f>'Assumptions'!$B$9</s:f>
        <s:v>100000</s:v>
      </s:c>
    </s:row>
    <s:row r="8">
      <s:c r="A8" s="2" t="inlineStr">
        <s:is>
          <s:t>Total equity cash flow</s:t>
        </s:is>
      </s:c>
      <s:c r="B8" s="17">
        <s:f>B2</s:f>
        <s:v>-2766320.0</s:v>
      </s:c>
      <s:c r="C8" s="17">
        <s:f>C3+C4-C5-C6+C7</s:f>
        <s:v>80133.06616570648</s:v>
      </s:c>
      <s:c r="D8" s="17">
        <s:f>D3+D4-D5-D6+D7</s:f>
        <s:v>83980.38616570648</s:v>
      </s:c>
      <s:c r="E8" s="17">
        <s:f>E3+E4-E5-E6+E7</s:f>
        <s:v>87896.02756570648</s:v>
      </s:c>
      <s:c r="F8" s="17">
        <s:f>F3+F4-F5-F6+F7</s:f>
        <s:v>91881.14116870654</s:v>
      </s:c>
      <s:c r="G8" s="17">
        <s:f>G3+G4-G5-G6+G7</s:f>
        <s:v>95936.89540314152</s:v>
      </s:c>
      <s:c r="H8" s="17">
        <s:f>H3+H4-H5-H6+H7</s:f>
        <s:v>100064.47654062456</s:v>
      </s:c>
      <s:c r="I8" s="17">
        <s:f>I3+I4-I5-I6+I7</s:f>
        <s:v>104265.08891467574</s:v>
      </s:c>
      <s:c r="J8" s="17">
        <s:f>J3+J4-J5-J6+J7</s:f>
        <s:v>108539.95514037168</s:v>
      </s:c>
      <s:c r="K8" s="17">
        <s:f>K3+K4-K5-K6+K7</s:f>
        <s:v>112890.31633484944</s:v>
      </s:c>
      <s:c r="L8" s="17">
        <s:f>L3+L4-L5-L6+L7</s:f>
        <s:v>3578242.2653935337</s:v>
      </s:c>
    </s:row>
    <s:row r="9">
      <s:c r="A9" s="2" t="inlineStr">
        <s:is>
          <s:t>Equity IRR</s:t>
        </s:is>
      </s:c>
      <s:c r="B9" s="18">
        <s:f>IRR(B8:L8)</s:f>
        <s:v>0.0544356770781641</s:v>
      </s:c>
      <s:c r="C9" s="2" t="n"/>
      <s:c r="D9" s="2" t="n"/>
      <s:c r="E9" s="2" t="n"/>
      <s:c r="F9" s="2" t="n"/>
      <s:c r="G9" s="2" t="n"/>
      <s:c r="H9" s="2" t="n"/>
      <s:c r="I9" s="2" t="n"/>
      <s:c r="J9" s="2" t="n"/>
      <s:c r="K9" s="2" t="n"/>
      <s:c r="L9" s="2" t="n"/>
    </s:row>
    <s:row r="10">
      <s:c r="A10" s="2" t="inlineStr">
        <s:is>
          <s:t>Equity NPV</s:t>
        </s:is>
      </s:c>
      <s:c r="B10" s="17">
        <s:f>NPV('Assumptions'!$B$30,C8:L8)+B8</s:f>
        <s:v>-692163.3020978263</s:v>
      </s:c>
      <s:c r="C10" s="2" t="n"/>
      <s:c r="D10" s="2" t="n"/>
      <s:c r="E10" s="2" t="n"/>
      <s:c r="F10" s="2" t="n"/>
      <s:c r="G10" s="2" t="n"/>
      <s:c r="H10" s="2" t="n"/>
      <s:c r="I10" s="2" t="n"/>
      <s:c r="J10" s="2" t="n"/>
      <s:c r="K10" s="2" t="n"/>
      <s:c r="L10" s="2" t="n"/>
    </s:row>
    <s:row r="11">
      <s:c r="A11" s="2" t="inlineStr">
        <s:is>
          <s:t>Equity multiple</s:t>
        </s:is>
      </s:c>
      <s:c r="B11" s="6">
        <s:f>SUM(C8:L8)/-B8</s:f>
        <s:v>1.6064047611241732</s:v>
      </s:c>
      <s:c r="C11" s="2" t="n"/>
      <s:c r="D11" s="2" t="n"/>
      <s:c r="E11" s="2" t="n"/>
      <s:c r="F11" s="2" t="n"/>
      <s:c r="G11" s="2" t="n"/>
      <s:c r="H11" s="2" t="n"/>
      <s:c r="I11" s="2" t="n"/>
      <s:c r="J11" s="2" t="n"/>
      <s:c r="K11" s="2" t="n"/>
      <s:c r="L11" s="2" t="n"/>
    </s:row>
    <s:row r="12">
      <s:c r="A12" s="2" t="inlineStr">
        <s:is>
          <s:t>Year 1 cash yield</s:t>
        </s:is>
      </s:c>
      <s:c r="B12" s="18">
        <s:f>C3/-B8</s:f>
        <s:v>0.028967388503754618</s:v>
      </s:c>
      <s:c r="C12" s="2" t="n"/>
      <s:c r="D12" s="2" t="n"/>
      <s:c r="E12" s="2" t="n"/>
      <s:c r="F12" s="2" t="n"/>
      <s:c r="G12" s="2" t="n"/>
      <s:c r="H12" s="2" t="n"/>
      <s:c r="I12" s="2" t="n"/>
      <s:c r="J12" s="2" t="n"/>
      <s:c r="K12" s="2" t="n"/>
      <s:c r="L12" s="2" t="n"/>
    </s:row>
    <s:row r="13">
      <s:c r="A13" s="2" t="inlineStr">
        <s:is>
          <s:t>Year 1 NOI yield on cost</s:t>
        </s:is>
      </s:c>
      <s:c r="B13" s="18">
        <s:f>'Operations'!B13/'Sources &amp; Uses'!B10</s:f>
        <s:v>0.04728998446542276</s:v>
      </s:c>
      <s:c r="C13" s="2" t="n"/>
      <s:c r="D13" s="2" t="n"/>
      <s:c r="E13" s="2" t="n"/>
      <s:c r="F13" s="2" t="n"/>
      <s:c r="G13" s="2" t="n"/>
      <s:c r="H13" s="2" t="n"/>
      <s:c r="I13" s="2" t="n"/>
      <s:c r="J13" s="2" t="n"/>
      <s:c r="K13" s="2" t="n"/>
      <s:c r="L13" s="2" t="n"/>
    </s:row>
    <s:row r="14">
      <s:c r="A14" s="2" t="inlineStr">
        <s:is>
          <s:t>Year 1 DSCR</s:t>
        </s:is>
      </s:c>
      <s:c r="B14" s="6">
        <s:f>'Debt'!B7</s:f>
        <s:v>1.7115460195211074</s:v>
      </s:c>
      <s:c r="C14" s="2" t="n"/>
      <s:c r="D14" s="2" t="n"/>
      <s:c r="E14" s="2" t="n"/>
      <s:c r="F14" s="2" t="n"/>
      <s:c r="G14" s="2" t="n"/>
      <s:c r="H14" s="2" t="n"/>
      <s:c r="I14" s="2" t="n"/>
      <s:c r="J14" s="2" t="n"/>
      <s:c r="K14" s="2" t="n"/>
      <s:c r="L14" s="2" t="n"/>
    </s:row>
    <s:row r="15">
      <s:c r="A15" s="2" t="inlineStr">
        <s:is>
          <s:t>Break-even occupancy (cash)</s:t>
        </s:is>
      </s:c>
      <s:c r="B15" s="18">
        <s:f>('Operations'!B12-'Operations'!B6+'Operations'!B14+'Debt'!B3)/('Operations'!B2*(1-'Assumptions'!$B$15))</s:f>
        <s:v>0.6767694143286058</s:v>
      </s:c>
      <s:c r="C15" s="2" t="n"/>
      <s:c r="D15" s="2" t="n"/>
      <s:c r="E15" s="2" t="n"/>
      <s:c r="F15" s="2" t="n"/>
      <s:c r="G15" s="2" t="n"/>
      <s:c r="H15" s="2" t="n"/>
      <s:c r="I15" s="2" t="n"/>
      <s:c r="J15" s="2" t="n"/>
      <s:c r="K15" s="2" t="n"/>
      <s:c r="L15" s="2" t="n"/>
    </s:row>
  </s:sheetData>
  <s:autoFilter ref="A1:L15"/>
  <s:pageMargins left="0.75" right="0.75" top="1" bottom="1" header="0.5" footer="0.5"/>
</s:worksheet>
</file>

<file path=xl/worksheets/sheet8.xml><?xml version="1.0" encoding="utf-8"?>
<s:worksheet xmlns:s="http://schemas.openxmlformats.org/spreadsheetml/2006/main">
  <s:sheetPr>
    <s:outlinePr summaryBelow="1" summaryRight="1"/>
    <s:pageSetUpPr/>
  </s:sheetPr>
  <s:dimension ref="A1:D5"/>
  <s:sheetViews>
    <s:sheetView workbookViewId="0">
      <s:pane xSplit="1" ySplit="1" topLeftCell="B2" activePane="bottomRight" state="frozen"/>
      <s:selection pane="top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18" customWidth="1" min="2" max="2"/>
    <s:col width="18" customWidth="1" min="3" max="3"/>
    <s:col width="18" customWidth="1" min="4" max="4"/>
  </s:cols>
  <s:sheetData>
    <s:row r="1" ht="28" customHeight="1">
      <s:c r="A1" s="1" t="inlineStr">
        <s:is>
          <s:t>Exit cap rate / rent change</s:t>
        </s:is>
      </s:c>
      <s:c r="B1" s="8" t="n">
        <s:v>-0.1</s:v>
      </s:c>
      <s:c r="C1" s="8" t="n">
        <s:v>0</s:v>
      </s:c>
      <s:c r="D1" s="8" t="n">
        <s:v>0.1</s:v>
      </s:c>
    </s:row>
    <s:row r="2">
      <s:c r="A2" s="18" t="n">
        <s:v>0.045</s:v>
      </s:c>
      <s:c r="B2" s="17">
        <s:f>'Returns'!B10+('Operations'!B3*B$1*(1-'Assumptions'!$B$15))/(1+'Assumptions'!$B$30)^1+('Operations'!C3*B$1*(1-'Assumptions'!$B$15))/(1+'Assumptions'!$B$30)^2+('Operations'!D3*B$1*(1-'Assumptions'!$B$15))/(1+'Assumptions'!$B$30)^3+('Operations'!E3*B$1*(1-'Assumptions'!$B$15))/(1+'Assumptions'!$B$30)^4+('Operations'!F3*B$1*(1-'Assumptions'!$B$15))/(1+'Assumptions'!$B$30)^5+('Operations'!G3*B$1*(1-'Assumptions'!$B$15))/(1+'Assumptions'!$B$30)^6+('Operations'!H3*B$1*(1-'Assumptions'!$B$15))/(1+'Assumptions'!$B$30)^7+('Operations'!I3*B$1*(1-'Assumptions'!$B$15))/(1+'Assumptions'!$B$30)^8+('Operations'!J3*B$1*(1-'Assumptions'!$B$15))/(1+'Assumptions'!$B$30)^9+('Operations'!K3*B$1*(1-'Assumptions'!$B$15))/(1+'Assumptions'!$B$30)^10+((('Operations'!L13+'Operations'!L3*B$1*(1-'Assumptions'!$B$15))/$A2)*(1-'Assumptions'!$B$29)-'Returns'!L4+'Returns'!L5)/(1+'Assumptions'!$B$30)^10</s:f>
        <s:v>-751650.1914702842</s:v>
      </s:c>
      <s:c r="C2" s="17">
        <s:f>'Returns'!B10+('Operations'!B3*C$1*(1-'Assumptions'!$B$15))/(1+'Assumptions'!$B$30)^1+('Operations'!C3*C$1*(1-'Assumptions'!$B$15))/(1+'Assumptions'!$B$30)^2+('Operations'!D3*C$1*(1-'Assumptions'!$B$15))/(1+'Assumptions'!$B$30)^3+('Operations'!E3*C$1*(1-'Assumptions'!$B$15))/(1+'Assumptions'!$B$30)^4+('Operations'!F3*C$1*(1-'Assumptions'!$B$15))/(1+'Assumptions'!$B$30)^5+('Operations'!G3*C$1*(1-'Assumptions'!$B$15))/(1+'Assumptions'!$B$30)^6+('Operations'!H3*C$1*(1-'Assumptions'!$B$15))/(1+'Assumptions'!$B$30)^7+('Operations'!I3*C$1*(1-'Assumptions'!$B$15))/(1+'Assumptions'!$B$30)^8+('Operations'!J3*C$1*(1-'Assumptions'!$B$15))/(1+'Assumptions'!$B$30)^9+('Operations'!K3*C$1*(1-'Assumptions'!$B$15))/(1+'Assumptions'!$B$30)^10+((('Operations'!L13+'Operations'!L3*C$1*(1-'Assumptions'!$B$15))/$A2)*(1-'Assumptions'!$B$29)-'Returns'!L4+'Returns'!L5)/(1+'Assumptions'!$B$30)^10</s:f>
        <s:v>-246143.23037164297</s:v>
      </s:c>
      <s:c r="D2" s="17">
        <s:f>'Returns'!B10+('Operations'!B3*D$1*(1-'Assumptions'!$B$15))/(1+'Assumptions'!$B$30)^1+('Operations'!C3*D$1*(1-'Assumptions'!$B$15))/(1+'Assumptions'!$B$30)^2+('Operations'!D3*D$1*(1-'Assumptions'!$B$15))/(1+'Assumptions'!$B$30)^3+('Operations'!E3*D$1*(1-'Assumptions'!$B$15))/(1+'Assumptions'!$B$30)^4+('Operations'!F3*D$1*(1-'Assumptions'!$B$15))/(1+'Assumptions'!$B$30)^5+('Operations'!G3*D$1*(1-'Assumptions'!$B$15))/(1+'Assumptions'!$B$30)^6+('Operations'!H3*D$1*(1-'Assumptions'!$B$15))/(1+'Assumptions'!$B$30)^7+('Operations'!I3*D$1*(1-'Assumptions'!$B$15))/(1+'Assumptions'!$B$30)^8+('Operations'!J3*D$1*(1-'Assumptions'!$B$15))/(1+'Assumptions'!$B$30)^9+('Operations'!K3*D$1*(1-'Assumptions'!$B$15))/(1+'Assumptions'!$B$30)^10+((('Operations'!L13+'Operations'!L3*D$1*(1-'Assumptions'!$B$15))/$A2)*(1-'Assumptions'!$B$29)-'Returns'!L4+'Returns'!L5)/(1+'Assumptions'!$B$30)^10</s:f>
        <s:v>259363.73072699795</s:v>
      </s:c>
    </s:row>
    <s:row r="3">
      <s:c r="A3" s="18" t="n">
        <s:v>0.055</s:v>
      </s:c>
      <s:c r="B3" s="17">
        <s:f>'Returns'!B10+('Operations'!B3*B$1*(1-'Assumptions'!$B$15))/(1+'Assumptions'!$B$30)^1+('Operations'!C3*B$1*(1-'Assumptions'!$B$15))/(1+'Assumptions'!$B$30)^2+('Operations'!D3*B$1*(1-'Assumptions'!$B$15))/(1+'Assumptions'!$B$30)^3+('Operations'!E3*B$1*(1-'Assumptions'!$B$15))/(1+'Assumptions'!$B$30)^4+('Operations'!F3*B$1*(1-'Assumptions'!$B$15))/(1+'Assumptions'!$B$30)^5+('Operations'!G3*B$1*(1-'Assumptions'!$B$15))/(1+'Assumptions'!$B$30)^6+('Operations'!H3*B$1*(1-'Assumptions'!$B$15))/(1+'Assumptions'!$B$30)^7+('Operations'!I3*B$1*(1-'Assumptions'!$B$15))/(1+'Assumptions'!$B$30)^8+('Operations'!J3*B$1*(1-'Assumptions'!$B$15))/(1+'Assumptions'!$B$30)^9+('Operations'!K3*B$1*(1-'Assumptions'!$B$15))/(1+'Assumptions'!$B$30)^10+((('Operations'!L13+'Operations'!L3*B$1*(1-'Assumptions'!$B$15))/$A3)*(1-'Assumptions'!$B$29)-'Returns'!L4+'Returns'!L5)/(1+'Assumptions'!$B$30)^10</s:f>
        <s:v>-1140864.3346035029</s:v>
      </s:c>
      <s:c r="C3" s="17">
        <s:f>'Returns'!B10+('Operations'!B3*C$1*(1-'Assumptions'!$B$15))/(1+'Assumptions'!$B$30)^1+('Operations'!C3*C$1*(1-'Assumptions'!$B$15))/(1+'Assumptions'!$B$30)^2+('Operations'!D3*C$1*(1-'Assumptions'!$B$15))/(1+'Assumptions'!$B$30)^3+('Operations'!E3*C$1*(1-'Assumptions'!$B$15))/(1+'Assumptions'!$B$30)^4+('Operations'!F3*C$1*(1-'Assumptions'!$B$15))/(1+'Assumptions'!$B$30)^5+('Operations'!G3*C$1*(1-'Assumptions'!$B$15))/(1+'Assumptions'!$B$30)^6+('Operations'!H3*C$1*(1-'Assumptions'!$B$15))/(1+'Assumptions'!$B$30)^7+('Operations'!I3*C$1*(1-'Assumptions'!$B$15))/(1+'Assumptions'!$B$30)^8+('Operations'!J3*C$1*(1-'Assumptions'!$B$15))/(1+'Assumptions'!$B$30)^9+('Operations'!K3*C$1*(1-'Assumptions'!$B$15))/(1+'Assumptions'!$B$30)^10+((('Operations'!L13+'Operations'!L3*C$1*(1-'Assumptions'!$B$15))/$A3)*(1-'Assumptions'!$B$29)-'Returns'!L4+'Returns'!L5)/(1+'Assumptions'!$B$30)^10</s:f>
        <s:v>-692163.3020978261</s:v>
      </s:c>
      <s:c r="D3" s="17">
        <s:f>'Returns'!B10+('Operations'!B3*D$1*(1-'Assumptions'!$B$15))/(1+'Assumptions'!$B$30)^1+('Operations'!C3*D$1*(1-'Assumptions'!$B$15))/(1+'Assumptions'!$B$30)^2+('Operations'!D3*D$1*(1-'Assumptions'!$B$15))/(1+'Assumptions'!$B$30)^3+('Operations'!E3*D$1*(1-'Assumptions'!$B$15))/(1+'Assumptions'!$B$30)^4+('Operations'!F3*D$1*(1-'Assumptions'!$B$15))/(1+'Assumptions'!$B$30)^5+('Operations'!G3*D$1*(1-'Assumptions'!$B$15))/(1+'Assumptions'!$B$30)^6+('Operations'!H3*D$1*(1-'Assumptions'!$B$15))/(1+'Assumptions'!$B$30)^7+('Operations'!I3*D$1*(1-'Assumptions'!$B$15))/(1+'Assumptions'!$B$30)^8+('Operations'!J3*D$1*(1-'Assumptions'!$B$15))/(1+'Assumptions'!$B$30)^9+('Operations'!K3*D$1*(1-'Assumptions'!$B$15))/(1+'Assumptions'!$B$30)^10+((('Operations'!L13+'Operations'!L3*D$1*(1-'Assumptions'!$B$15))/$A3)*(1-'Assumptions'!$B$29)-'Returns'!L4+'Returns'!L5)/(1+'Assumptions'!$B$30)^10</s:f>
        <s:v>-243462.26959214985</s:v>
      </s:c>
    </s:row>
    <s:row r="4">
      <s:c r="A4" s="18" t="n">
        <s:v>0.065</s:v>
      </s:c>
      <s:c r="B4" s="17">
        <s:f>'Returns'!B10+('Operations'!B3*B$1*(1-'Assumptions'!$B$15))/(1+'Assumptions'!$B$30)^1+('Operations'!C3*B$1*(1-'Assumptions'!$B$15))/(1+'Assumptions'!$B$30)^2+('Operations'!D3*B$1*(1-'Assumptions'!$B$15))/(1+'Assumptions'!$B$30)^3+('Operations'!E3*B$1*(1-'Assumptions'!$B$15))/(1+'Assumptions'!$B$30)^4+('Operations'!F3*B$1*(1-'Assumptions'!$B$15))/(1+'Assumptions'!$B$30)^5+('Operations'!G3*B$1*(1-'Assumptions'!$B$15))/(1+'Assumptions'!$B$30)^6+('Operations'!H3*B$1*(1-'Assumptions'!$B$15))/(1+'Assumptions'!$B$30)^7+('Operations'!I3*B$1*(1-'Assumptions'!$B$15))/(1+'Assumptions'!$B$30)^8+('Operations'!J3*B$1*(1-'Assumptions'!$B$15))/(1+'Assumptions'!$B$30)^9+('Operations'!K3*B$1*(1-'Assumptions'!$B$15))/(1+'Assumptions'!$B$30)^10+((('Operations'!L13+'Operations'!L3*B$1*(1-'Assumptions'!$B$15))/$A4)*(1-'Assumptions'!$B$29)-'Returns'!L4+'Returns'!L5)/(1+'Assumptions'!$B$30)^10</s:f>
        <s:v>-1410320.2798495775</s:v>
      </s:c>
      <s:c r="C4" s="17">
        <s:f>'Returns'!B10+('Operations'!B3*C$1*(1-'Assumptions'!$B$15))/(1+'Assumptions'!$B$30)^1+('Operations'!C3*C$1*(1-'Assumptions'!$B$15))/(1+'Assumptions'!$B$30)^2+('Operations'!D3*C$1*(1-'Assumptions'!$B$15))/(1+'Assumptions'!$B$30)^3+('Operations'!E3*C$1*(1-'Assumptions'!$B$15))/(1+'Assumptions'!$B$30)^4+('Operations'!F3*C$1*(1-'Assumptions'!$B$15))/(1+'Assumptions'!$B$30)^5+('Operations'!G3*C$1*(1-'Assumptions'!$B$15))/(1+'Assumptions'!$B$30)^6+('Operations'!H3*C$1*(1-'Assumptions'!$B$15))/(1+'Assumptions'!$B$30)^7+('Operations'!I3*C$1*(1-'Assumptions'!$B$15))/(1+'Assumptions'!$B$30)^8+('Operations'!J3*C$1*(1-'Assumptions'!$B$15))/(1+'Assumptions'!$B$30)^9+('Operations'!K3*C$1*(1-'Assumptions'!$B$15))/(1+'Assumptions'!$B$30)^10+((('Operations'!L13+'Operations'!L3*C$1*(1-'Assumptions'!$B$15))/$A4)*(1-'Assumptions'!$B$29)-'Returns'!L4+'Returns'!L5)/(1+'Assumptions'!$B$30)^10</s:f>
        <s:v>-1000946.4286774916</s:v>
      </s:c>
      <s:c r="D4" s="17">
        <s:f>'Returns'!B10+('Operations'!B3*D$1*(1-'Assumptions'!$B$15))/(1+'Assumptions'!$B$30)^1+('Operations'!C3*D$1*(1-'Assumptions'!$B$15))/(1+'Assumptions'!$B$30)^2+('Operations'!D3*D$1*(1-'Assumptions'!$B$15))/(1+'Assumptions'!$B$30)^3+('Operations'!E3*D$1*(1-'Assumptions'!$B$15))/(1+'Assumptions'!$B$30)^4+('Operations'!F3*D$1*(1-'Assumptions'!$B$15))/(1+'Assumptions'!$B$30)^5+('Operations'!G3*D$1*(1-'Assumptions'!$B$15))/(1+'Assumptions'!$B$30)^6+('Operations'!H3*D$1*(1-'Assumptions'!$B$15))/(1+'Assumptions'!$B$30)^7+('Operations'!I3*D$1*(1-'Assumptions'!$B$15))/(1+'Assumptions'!$B$30)^8+('Operations'!J3*D$1*(1-'Assumptions'!$B$15))/(1+'Assumptions'!$B$30)^9+('Operations'!K3*D$1*(1-'Assumptions'!$B$15))/(1+'Assumptions'!$B$30)^10+((('Operations'!L13+'Operations'!L3*D$1*(1-'Assumptions'!$B$15))/$A4)*(1-'Assumptions'!$B$29)-'Returns'!L4+'Returns'!L5)/(1+'Assumptions'!$B$30)^10</s:f>
        <s:v>-591572.5775054062</s:v>
      </s:c>
    </s:row>
    <s:row r="5">
      <s:c r="A5" s="2" t="inlineStr">
        <s:is>
          <s:t>Values show equity NPV (EUR), with fixed costs and debt unchanged.</s:t>
        </s:is>
      </s:c>
      <s:c r="B5" s="2" t="n"/>
      <s:c r="C5" s="2" t="n"/>
      <s:c r="D5" s="2" t="n"/>
    </s:row>
  </s:sheetData>
  <s:autoFilter ref="A1:D5"/>
  <s:pageMargins left="0.75" right="0.75" top="1" bottom="1" header="0.5" footer="0.5"/>
</s:worksheet>
</file>

<file path=xl/worksheets/sheet9.xml><?xml version="1.0" encoding="utf-8"?>
<s:worksheet xmlns:s="http://schemas.openxmlformats.org/spreadsheetml/2006/main">
  <s:sheetPr>
    <s:outlinePr summaryBelow="1" summaryRight="1"/>
    <s:pageSetUpPr/>
  </s:sheetPr>
  <s:dimension ref="A1:D14"/>
  <s:sheetViews>
    <s:sheetView workbookViewId="0">
      <s:pane xSplit="1" ySplit="1" topLeftCell="B2" activePane="bottomRight" state="frozen"/>
      <s:selection pane="top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85" customWidth="1" min="2" max="2"/>
    <s:col width="32" customWidth="1" min="3" max="3"/>
    <s:col width="65" customWidth="1" min="4" max="4"/>
  </s:cols>
  <s:sheetData>
    <s:row r="1" ht="28" customHeight="1">
      <s:c r="A1" s="1" t="inlineStr">
        <s:is>
          <s:t>Topic</s:t>
        </s:is>
      </s:c>
      <s:c r="B1" s="1" t="inlineStr">
        <s:is>
          <s:t>Required verification</s:t>
        </s:is>
      </s:c>
      <s:c r="C1" s="1" t="inlineStr">
        <s:is>
          <s:t>Status</s:t>
        </s:is>
      </s:c>
      <s:c r="D1" s="1" t="inlineStr">
        <s:is>
          <s:t>Source</s:t>
        </s:is>
      </s:c>
    </s:row>
    <s:row r="2">
      <s:c r="A2" s="2" t="inlineStr">
        <s:is>
          <s:t>Municipality &amp; zoning</s:t>
        </s:is>
      </s:c>
      <s:c r="B2" s="2" t="inlineStr">
        <s:is>
          <s:t>Identify exact address, commune, lawful use and permitted room count. VUB/ULB campus area may involve Ixelles or Etterbeek, not necessarily City of Brussels.</s:t>
        </s:is>
      </s:c>
      <s:c r="C2" s="2" t="inlineStr">
        <s:is>
          <s:t>OPEN</s:t>
        </s:is>
      </s:c>
      <s:c r="D2" s="2" t="inlineStr"/>
    </s:row>
    <s:row r="3">
      <s:c r="A3" s="2" t="inlineStr">
        <s:is>
          <s:t>Planning permission</s:t>
        </s:is>
      </s:c>
      <s:c r="B3" s="2" t="inlineStr">
        <s:is>
          <s:t>Check conversion/change of use, works, planning permit and local rules before purchase.</s:t>
        </s:is>
      </s:c>
      <s:c r="C3" s="2" t="inlineStr">
        <s:is>
          <s:t>OPEN</s:t>
        </s:is>
      </s:c>
      <s:c r="D3" s="2" t="inlineStr"/>
    </s:row>
    <s:row r="4">
      <s:c r="A4" s="2" t="inlineStr">
        <s:is>
          <s:t>Housing quality</s:t>
        </s:is>
      </s:c>
      <s:c r="B4" s="2" t="inlineStr">
        <s:is>
          <s:t>Confirm Brussels minimum safety, health and equipment standards; inspect every unit.</s:t>
        </s:is>
      </s:c>
      <s:c r="C4" s="2" t="inlineStr">
        <s:is>
          <s:t>OPEN</s:t>
        </s:is>
      </s:c>
      <s:c r="D4" s="2" t="inlineStr"/>
    </s:row>
    <s:row r="5">
      <s:c r="A5" s="2" t="inlineStr">
        <s:is>
          <s:t>Fire safety</s:t>
        </s:is>
      </s:c>
      <s:c r="B5" s="2" t="inlineStr">
        <s:is>
          <s:t>Obtain applicable fire service/municipal requirements, occupancy limit and certificates.</s:t>
        </s:is>
      </s:c>
      <s:c r="C5" s="2" t="inlineStr">
        <s:is>
          <s:t>OPEN</s:t>
        </s:is>
      </s:c>
      <s:c r="D5" s="2" t="inlineStr"/>
    </s:row>
    <s:row r="6">
      <s:c r="A6" s="2" t="inlineStr">
        <s:is>
          <s:t>Student tenancy</s:t>
        </s:is>
      </s:c>
      <s:c r="B6" s="2" t="inlineStr">
        <s:is>
          <s:t>Check student lease regime, student status, duration, termination, deposit and registration.</s:t>
        </s:is>
      </s:c>
      <s:c r="C6" s="2" t="inlineStr">
        <s:is>
          <s:t>OPEN</s:t>
        </s:is>
      </s:c>
      <s:c r="D6" s="2" t="inlineStr"/>
    </s:row>
    <s:row r="7">
      <s:c r="A7" s="2" t="inlineStr">
        <s:is>
          <s:t>Rent &amp; indexation</s:t>
        </s:is>
      </s:c>
      <s:c r="B7" s="2" t="inlineStr">
        <s:is>
          <s:t>Check reference rent / excessive rent rules and EPC-related indexation conditions. Forecast growth is conditional.</s:t>
        </s:is>
      </s:c>
      <s:c r="C7" s="2" t="inlineStr">
        <s:is>
          <s:t>OPEN</s:t>
        </s:is>
      </s:c>
      <s:c r="D7" s="2" t="inlineStr"/>
    </s:row>
    <s:row r="8">
      <s:c r="A8" s="2" t="inlineStr">
        <s:is>
          <s:t>Energy</s:t>
        </s:is>
      </s:c>
      <s:c r="B8" s="2" t="inlineStr">
        <s:is>
          <s:t>Obtain valid PEB/EPC and price required renovation works; assess regional obligations.</s:t>
        </s:is>
      </s:c>
      <s:c r="C8" s="2" t="inlineStr">
        <s:is>
          <s:t>OPEN</s:t>
        </s:is>
      </s:c>
      <s:c r="D8" s="2" t="inlineStr"/>
    </s:row>
    <s:row r="9">
      <s:c r="A9" s="2" t="inlineStr">
        <s:is>
          <s:t>Taxes &amp; VAT</s:t>
        </s:is>
      </s:c>
      <s:c r="B9" s="2" t="inlineStr">
        <s:is>
          <s:t>Confirm registration duty, property tax, ownership vehicle, VAT recoverability and income/capital gains taxes. Model is pre-income-tax.</s:t>
        </s:is>
      </s:c>
      <s:c r="C9" s="2" t="inlineStr">
        <s:is>
          <s:t>OPEN</s:t>
        </s:is>
      </s:c>
      <s:c r="D9" s="2" t="inlineStr"/>
    </s:row>
    <s:row r="10">
      <s:c r="A10" s="2" t="inlineStr">
        <s:is>
          <s:t>Planning rule verified</s:t>
        </s:is>
      </s:c>
      <s:c r="B10" s="2" t="inlineStr">
        <s:is>
          <s:t>Exclusive student housing conversion requires permit; ask commune for existing permits and applicable communal planning rules.</s:t>
        </s:is>
      </s:c>
      <s:c r="C10" s="2" t="inlineStr">
        <s:is>
          <s:t>RULE VERIFIED; PROPERTY OPEN</s:t>
        </s:is>
      </s:c>
      <s:c r="D10" s="2" t="inlineStr">
        <s:is>
          <s:t>Sources: Student housing planning guidance</s:t>
        </s:is>
      </s:c>
    </s:row>
    <s:row r="11">
      <s:c r="A11" s="2" t="inlineStr">
        <s:is>
          <s:t>2026 standards</s:t>
        </s:is>
      </s:c>
      <s:c r="B11" s="2" t="inlineStr">
        <s:is>
          <s:t>Apply current 2026 safety, health and equipment requirements; compliance budget remains unquoted.</s:t>
        </s:is>
      </s:c>
      <s:c r="C11" s="2" t="inlineStr">
        <s:is>
          <s:t>RULE VERIFIED; PROPERTY OPEN</s:t>
        </s:is>
      </s:c>
      <s:c r="D11" s="2" t="inlineStr">
        <s:is>
          <s:t>Sources: Housing standards</s:t>
        </s:is>
      </s:c>
    </s:row>
    <s:row r="12">
      <s:c r="A12" s="2" t="inlineStr">
        <s:is>
          <s:t>Lease administration</s:t>
        </s:is>
      </s:c>
      <s:c r="B12" s="2" t="inlineStr">
        <s:is>
          <s:t>Use regional student lease template; verify student status, termination risk; register with Irisrent and MyRent within two months.</s:t>
        </s:is>
      </s:c>
      <s:c r="C12" s="2" t="inlineStr">
        <s:is>
          <s:t>RULE VERIFIED; EXECUTION OPEN</s:t>
        </s:is>
      </s:c>
      <s:c r="D12" s="2" t="inlineStr">
        <s:is>
          <s:t>Sources: Student lease model and Lease registration</s:t>
        </s:is>
      </s:c>
    </s:row>
    <s:row r="13">
      <s:c r="A13" s="2" t="inlineStr">
        <s:is>
          <s:t>Acquisition tax</s:t>
        </s:is>
      </s:c>
      <s:c r="B13" s="2" t="inlineStr">
        <s:is>
          <s:t>12.5% duty assumed for existing asset acquisition; new-build VAT, share purchase, exemptions and market-value tax base require transaction advice.</s:t>
        </s:is>
      </s:c>
      <s:c r="C13" s="2" t="inlineStr">
        <s:is>
          <s:t>RATE VERIFIED; STRUCTURE OPEN</s:t>
        </s:is>
      </s:c>
      <s:c r="D13" s="2" t="inlineStr">
        <s:is>
          <s:t>Sources: Brussels registration and mortgage duties</s:t>
        </s:is>
      </s:c>
    </s:row>
    <s:row r="14">
      <s:c r="A14" s="2" t="inlineStr">
        <s:is>
          <s:t>Rent controls</s:t>
        </s:is>
      </s:c>
      <s:c r="B14" s="2" t="inlineStr">
        <s:is>
          <s:t>Excessive rent prohibition in force since May 2025. EUR650 is a scenario input, not a confirmed lawful or market rent.</s:t>
        </s:is>
      </s:c>
      <s:c r="C14" s="2" t="inlineStr">
        <s:is>
          <s:t>RULE VERIFIED; PROPERTY OPEN</s:t>
        </s:is>
      </s:c>
      <s:c r="D14" s="2" t="inlineStr">
        <s:is>
          <s:t>Sources: Excessive rents</s:t>
        </s:is>
      </s:c>
    </s:row>
  </s:sheetData>
  <s:autoFilter ref="A1:D14"/>
  <s:pageMargins left="0.75" right="0.75" top="1" bottom="1" header="0.5" footer="0.5"/>
</s:worksheet>
</file>

<file path=xl/worksheets/sheet10.xml><?xml version="1.0" encoding="utf-8"?>
<s:worksheet xmlns:s="http://schemas.openxmlformats.org/spreadsheetml/2006/main">
  <s:sheetPr>
    <s:outlinePr summaryBelow="1" summaryRight="1"/>
    <s:pageSetUpPr/>
  </s:sheetPr>
  <s:dimension ref="A1:D12"/>
  <s:sheetViews>
    <s:sheetView workbookViewId="0">
      <s:pane xSplit="1" ySplit="1" topLeftCell="B2" activePane="bottomRight" state="frozen"/>
      <s:selection pane="topRight" activeCell="A1" sqref="A1"/>
      <s:selection pane="bottomLeft" activeCell="A1" sqref="A1"/>
      <s:selection pane="bottomRight" activeCell="A1" sqref="A1"/>
    </s:sheetView>
  </s:sheetViews>
  <s:sheetFormatPr baseColWidth="8" defaultRowHeight="15"/>
  <s:cols>
    <s:col width="34" customWidth="1" min="1" max="1"/>
    <s:col width="85" customWidth="1" min="2" max="2"/>
    <s:col width="32" customWidth="1" min="3" max="3"/>
    <s:col width="65" customWidth="1" min="4" max="4"/>
  </s:cols>
  <s:sheetData>
    <s:row r="1" ht="28" customHeight="1">
      <s:c r="A1" s="1" t="inlineStr">
        <s:is>
          <s:t>Source</s:t>
        </s:is>
      </s:c>
      <s:c r="B1" s="1" t="inlineStr">
        <s:is>
          <s:t>URL</s:t>
        </s:is>
      </s:c>
      <s:c r="C1" s="1" t="inlineStr">
        <s:is>
          <s:t>Access date</s:t>
        </s:is>
      </s:c>
      <s:c r="D1" s="1" t="inlineStr">
        <s:is>
          <s:t>Use / reliability</s:t>
        </s:is>
      </s:c>
    </s:row>
    <s:row r="2">
      <s:c r="A2" s="2" t="inlineStr">
        <s:is>
          <s:t>Initial model</s:t>
        </s:is>
      </s:c>
      <s:c r="B2" s="2" t="inlineStr">
        <s:is>
          <s:t>User request</s:t>
        </s:is>
      </s:c>
      <s:c r="C2" s="2" t="inlineStr">
        <s:is>
          <s:t>2026-10-14</s:t>
        </s:is>
      </s:c>
      <s:c r="D2" s="2" t="inlineStr">
        <s:is>
          <s:t>All financial assumptions illustrative, pending research</s:t>
        </s:is>
      </s:c>
    </s:row>
    <s:row r="3">
      <s:c r="A3" s="2" t="inlineStr">
        <s:is>
          <s:t>Brussels registration and mortgage duties</s:t>
        </s:is>
      </s:c>
      <s:c r="B3" s="2" t="inlineStr">
        <s:is>
          <s:t>https://be.brussels/fr/impots-financement/impots-et-taxes/fiscalite-immobiliere/droits-denregistrement</s:t>
        </s:is>
      </s:c>
      <s:c r="C3" s="2" t="inlineStr">
        <s:is>
          <s:t>2026-10-14</s:t>
        </s:is>
      </s:c>
      <s:c r="D3" s="2" t="inlineStr">
        <s:is>
          <s:t>12.5% acquisition duty; 1% mortgage duty on secured amounts; no owner-occupier relief assumed</s:t>
        </s:is>
      </s:c>
    </s:row>
    <s:row r="4">
      <s:c r="A4" s="2" t="inlineStr">
        <s:is>
          <s:t>Student lease model and rules</s:t>
        </s:is>
      </s:c>
      <s:c r="B4" s="2" t="inlineStr">
        <s:is>
          <s:t>https://be.brussels/fr/logement/location/bail-dhabitation/contrat-de-bail-modeles-et-annexe</s:t>
        </s:is>
      </s:c>
      <s:c r="C4" s="2" t="inlineStr">
        <s:is>
          <s:t>2026-10-14</s:t>
        </s:is>
      </s:c>
      <s:c r="D4" s="2" t="inlineStr">
        <s:is>
          <s:t>Maximum 12 months; student can terminate with two months notice without indemnity; mutual choice and proof of student status</s:t>
        </s:is>
      </s:c>
    </s:row>
    <s:row r="5">
      <s:c r="A5" s="2" t="inlineStr">
        <s:is>
          <s:t>Housing standards</s:t>
        </s:is>
      </s:c>
      <s:c r="B5" s="2" t="inlineStr">
        <s:is>
          <s:t>https://be.brussels/fr/logement/location/conformite-logement/normes-et-securite</s:t>
        </s:is>
      </s:c>
      <s:c r="C5" s="2" t="inlineStr">
        <s:is>
          <s:t>2026-10-14</s:t>
        </s:is>
      </s:c>
      <s:c r="D5" s="2" t="inlineStr">
        <s:is>
          <s:t>Minimum safety, health and equipment rules; updated standards from 1 January 2026</s:t>
        </s:is>
      </s:c>
    </s:row>
    <s:row r="6">
      <s:c r="A6" s="2" t="inlineStr">
        <s:is>
          <s:t>Lease registration</s:t>
        </s:is>
      </s:c>
      <s:c r="B6" s="2" t="inlineStr">
        <s:is>
          <s:t>https://be.brussels/nl/huisvesting/huren-en-verhuren/huurovereenkomst/registratie-woninghuurovereenkomst</s:t>
        </s:is>
      </s:c>
      <s:c r="C6" s="2" t="inlineStr">
        <s:is>
          <s:t>2026-10-14</s:t>
        </s:is>
      </s:c>
      <s:c r="D6" s="2" t="inlineStr">
        <s:is>
          <s:t>Landlord registers within two months; Irisrent and MyRent both required per regional guidance</s:t>
        </s:is>
      </s:c>
    </s:row>
    <s:row r="7">
      <s:c r="A7" s="2" t="inlineStr">
        <s:is>
          <s:t>Student housing planning guidance</s:t>
        </s:is>
      </s:c>
      <s:c r="B7" s="2" t="inlineStr">
        <s:is>
          <s:t>https://urban.brussels/storage/uploads/7782bb55-caef-4a03-9780-aac7547d23f5/Vademecum---changements-utilisation-soumis-permis.pdf</s:t>
        </s:is>
      </s:c>
      <s:c r="C7" s="2" t="inlineStr">
        <s:is>
          <s:t>2026-10-14</s:t>
        </s:is>
      </s:c>
      <s:c r="D7" s="2" t="inlineStr">
        <s:is>
          <s:t>Conversion to exclusive student housing requires planning permission; student tenancy alone does not establish planning status</s:t>
        </s:is>
      </s:c>
    </s:row>
    <s:row r="8">
      <s:c r="A8" s="2" t="inlineStr">
        <s:is>
          <s:t>Excessive rents: regional activity report</s:t>
        </s:is>
      </s:c>
      <s:c r="B8" s="2" t="inlineStr">
        <s:is>
          <s:t>https://be.brussels/fr/logement/bruxelles-logement-publie-son-rapport-dactivite-2025</s:t>
        </s:is>
      </s:c>
      <s:c r="C8" s="2" t="inlineStr">
        <s:is>
          <s:t>2026-10-14</s:t>
        </s:is>
      </s:c>
      <s:c r="D8" s="2" t="inlineStr">
        <s:is>
          <s:t>Excessive rents prohibited since 1 May 2025; validate rent against applicable reference and condition rules</s:t>
        </s:is>
      </s:c>
    </s:row>
    <s:row r="9">
      <s:c r="A9" s="2" t="inlineStr">
        <s:is>
          <s:t>Smoke detectors</s:t>
        </s:is>
      </s:c>
      <s:c r="B9" s="2" t="inlineStr">
        <s:is>
          <s:t>https://be.brussels/fr/logement/construction-et-renovation/securite-et-reglementation/detecteurs-de-fumee</s:t>
        </s:is>
      </s:c>
      <s:c r="C9" s="2" t="inlineStr">
        <s:is>
          <s:t>2026-10-14</s:t>
        </s:is>
      </s:c>
      <s:c r="D9" s="2" t="inlineStr">
        <s:is>
          <s:t>Mandatory in all housing from 2025; verify placement, interconnection and applicable transitions</s:t>
        </s:is>
      </s:c>
    </s:row>
    <s:row r="10">
      <s:c r="A10" s="2" t="inlineStr">
        <s:is>
          <s:t>PEB certification scope</s:t>
        </s:is>
      </s:c>
      <s:c r="B10" s="2" t="inlineStr">
        <s:is>
          <s:t>https://environnement.brussels/pro/reglementation-et-inspection/obligations-et-autorisations/les-certificats-peb</s:t>
        </s:is>
      </s:c>
      <s:c r="C10" s="2" t="inlineStr">
        <s:is>
          <s:t>2026-10-14</s:t>
        </s:is>
      </s:c>
      <s:c r="D10" s="2" t="inlineStr">
        <s:is>
          <s:t>Verify certificate obligation and unit scope before letting</s:t>
        </s:is>
      </s:c>
    </s:row>
    <s:row r="11">
      <s:c r="A11" s="2" t="inlineStr">
        <s:is>
          <s:t>Indexation and correction factors</s:t>
        </s:is>
      </s:c>
      <s:c r="B11" s="2" t="inlineStr">
        <s:is>
          <s:t>https://be.brussels/fr/logement/location/bail-dhabitation/indexation-des-loyers/indexation-des-loyers-avec-facteur-de-correction</s:t>
        </s:is>
      </s:c>
      <s:c r="C11" s="2" t="inlineStr">
        <s:is>
          <s:t>2026-10-14</s:t>
        </s:is>
      </s:c>
      <s:c r="D11" s="2" t="inlineStr">
        <s:is>
          <s:t>Certain pre-14 October 2022 E/F/G leases need correction; registration and certificate conditions apply</s:t>
        </s:is>
      </s:c>
    </s:row>
    <s:row r="12">
      <s:c r="A12" s="2" t="inlineStr">
        <s:is>
          <s:t>Ixelles urban planning</s:t>
        </s:is>
      </s:c>
      <s:c r="B12" s="2" t="inlineStr">
        <s:is>
          <s:t>https://www.ixelles.be/site/124-Urbanisme</s:t>
        </s:is>
      </s:c>
      <s:c r="C12" s="2" t="inlineStr">
        <s:is>
          <s:t>2026-10-14</s:t>
        </s:is>
      </s:c>
      <s:c r="D12" s="2" t="inlineStr">
        <s:is>
          <s:t>Municipal planning contact if property is in Ixelles; exact address unknown</s:t>
        </s:is>
      </s:c>
    </s:row>
  </s:sheetData>
  <s:autoFilter ref="A1:D12"/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2026-10-14T16:26:15Z</dcterms:created>
  <dcterms:modified xsi:type="dcterms:W3CDTF">2026-10-14T16:26:15Z</dcterms:modified>
</cp:coreProperties>
</file>