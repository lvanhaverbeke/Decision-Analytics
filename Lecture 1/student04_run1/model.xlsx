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Inputs" sheetId="2" state="visible" r:id="rId2"/>
    <sheet name="Investment" sheetId="3" state="visible" r:id="rId3"/>
    <sheet name="Cash flow" sheetId="4" state="visible" r:id="rId4"/>
    <sheet name="Dashboard" sheetId="5" state="visible" r:id="rId5"/>
    <sheet name="Executive report" sheetId="6" state="visible" r:id="rId6"/>
    <sheet name="Sources" sheetId="7" state="visible" r:id="rId7"/>
    <sheet name="Due diligence" sheetId="8" state="visible" r:id="rId8"/>
    <sheet name="Scenarios" sheetId="9" state="visible" r:id="rId9"/>
    <sheet name="Scenario cash" sheetId="10" state="visible" r:id="rId10"/>
    <sheet name="Environment" sheetId="11" state="visible" r:id="rId11"/>
    <sheet name="Social and services" sheetId="12" state="visible" r:id="rId12"/>
    <sheet name="Decision matrix" sheetId="13" state="visible" r:id="rId13"/>
    <sheet name="Legal and risks" sheetId="14" state="visible" r:id="rId14"/>
  </sheets>
  <definedNames>
    <definedName name="_xlnm._FilterDatabase" localSheetId="0" hidden="1">'Read me'!$A$1:$B$12</definedName>
    <definedName name="_xlnm._FilterDatabase" localSheetId="1" hidden="1">'Inputs'!$A$1:$D$22</definedName>
    <definedName name="_xlnm._FilterDatabase" localSheetId="2" hidden="1">'Investment'!$A$1:$B$8</definedName>
    <definedName name="_xlnm._FilterDatabase" localSheetId="3" hidden="1">'Cash flow'!$A$1:$L$22</definedName>
    <definedName name="_xlnm._FilterDatabase" localSheetId="4" hidden="1">'Dashboard'!$A$1:$C$12</definedName>
    <definedName name="_xlnm._FilterDatabase" localSheetId="5" hidden="1">'Executive report'!$A$1:$B$27</definedName>
    <definedName name="_xlnm._FilterDatabase" localSheetId="6" hidden="1">'Sources'!$A$1:$E$13</definedName>
    <definedName name="_xlnm._FilterDatabase" localSheetId="7" hidden="1">'Due diligence'!$A$1:$C$8</definedName>
    <definedName name="_xlnm._FilterDatabase" localSheetId="8" hidden="1">'Scenarios'!$A$1:$K$4</definedName>
    <definedName name="_xlnm._FilterDatabase" localSheetId="9" hidden="1">'Scenario cash'!$A$1:$I$22</definedName>
    <definedName name="_xlnm._FilterDatabase" localSheetId="10" hidden="1">'Environment'!$A$1:$D$12</definedName>
    <definedName name="_xlnm._FilterDatabase" localSheetId="11" hidden="1">'Social and services'!$A$1:$C$14</definedName>
    <definedName name="_xlnm._FilterDatabase" localSheetId="12" hidden="1">'Decision matrix'!$A$1:$F$10</definedName>
    <definedName name="_xlnm._FilterDatabase" localSheetId="13" hidden="1">'Legal and risks'!$A$1:$E$12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;[Red](#,##0.00)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83B5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  <xf numFmtId="10" fontId="2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0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Annual project cash flow (includes year 20 sale)</a:t>
            </a:r>
          </a:p>
        </rich>
      </tx>
    </title>
    <plotArea>
      <lineChart>
        <grouping val="standard"/>
        <ser>
          <idx val="0"/>
          <order val="0"/>
          <tx>
            <strRef>
              <f>'Cash flow'!J1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'Cash flow'!$A$2:$A$22</f>
            </numRef>
          </cat>
          <val>
            <numRef>
              <f>'Cash flow'!$J$2:$J$22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Annual project cash flow (includes year 20 sale)</a:t>
            </a:r>
          </a:p>
        </rich>
      </tx>
    </title>
    <plotArea>
      <lineChart>
        <grouping val="standard"/>
        <ser>
          <idx val="0"/>
          <order val="0"/>
          <tx>
            <strRef>
              <f>'Cash flow'!J1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'Cash flow'!$A$2:$A$22</f>
            </numRef>
          </cat>
          <val>
            <numRef>
              <f>'Cash flow'!$J$2:$J$22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e.brussels/fr/impots-financement/impots-et-taxes/fiscalite-immobiliere/droits-denregistrement/abattement-sur-les-droits-de-vente" TargetMode="External" Id="rId1" /><Relationship Type="http://schemas.openxmlformats.org/officeDocument/2006/relationships/hyperlink" Target="https://www.ulb.be/fr/partir-ou-venir-en-echange/informations-pour-les-universites-partenaires" TargetMode="External" Id="rId2" /><Relationship Type="http://schemas.openxmlformats.org/officeDocument/2006/relationships/hyperlink" Target="https://www.ulb.be/medias/fichier/de-brouckere-2026-2027_1772020187753-pdf" TargetMode="External" Id="rId3" /><Relationship Type="http://schemas.openxmlformats.org/officeDocument/2006/relationships/hyperlink" Target="https://www.vub.be/nl/over-de-vub/faculteiten-instituten-en-campussen/onze-campussen/vub-main-campus-brussel/bereikbaarheid" TargetMode="External" Id="rId4" /><Relationship Type="http://schemas.openxmlformats.org/officeDocument/2006/relationships/hyperlink" Target="https://be.brussels/fr/logement/location/conformite-logement/normes-et-securite" TargetMode="External" Id="rId5" /><Relationship Type="http://schemas.openxmlformats.org/officeDocument/2006/relationships/hyperlink" Target="https://be.brussels/nl/huisvesting/huren-en-verhuren/huurovereenkomst/huurcontracten-voor-woningen-modellen-en-bijlage" TargetMode="External" Id="rId6" /><Relationship Type="http://schemas.openxmlformats.org/officeDocument/2006/relationships/hyperlink" Target="https://etterbeek.brussels/fr/demarches/espace-public-urbanisme/permis-durbanisme-demande" TargetMode="External" Id="rId7" /><Relationship Type="http://schemas.openxmlformats.org/officeDocument/2006/relationships/hyperlink" Target="https://www.ixelles.be/site/124-Urbanisme" TargetMode="External" Id="rId8" /><Relationship Type="http://schemas.openxmlformats.org/officeDocument/2006/relationships/hyperlink" Target="https://environnement.brussels/pro/reglementation-et-inspection/obligations-et-autorisations/objectifs-peb-pour-chaque-bien-et-exigences-peb-en-cas-de-travaux" TargetMode="External" Id="rId9" /><Relationship Type="http://schemas.openxmlformats.org/officeDocument/2006/relationships/hyperlink" Target="https://primabook.mi-is.be/fr/droit-lintegration-sociale/montants-ris" TargetMode="External" Id="rId10" /><Relationship Type="http://schemas.openxmlformats.org/officeDocument/2006/relationships/hyperlink" Target="https://be.brussels/fr/logement/location/conformite-logement/label-logement-etudiant" TargetMode="External" Id="rId11" /><Relationship Type="http://schemas.openxmlformats.org/officeDocument/2006/relationships/hyperlink" Target="https://be.brussels/fr/logement/location/bail-dhabitation" TargetMode="External" Id="rId12" /></Relationships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1:B12"/>
  <s:sheetViews>
    <s:sheetView workbookViewId="0">
      <s:pane xSplit="1" ySplit="1" topLeftCell="B2" activePane="bottomRight" state="frozen"/>
      <s:selection pane="topRight"/>
      <s:selection pane="bottomLeft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</s:sheetView>
  </s:sheetViews>
  <s:sheetFormatPr baseColWidth="8" defaultRowHeight="15"/>
  <s:cols>
    <s:col width="34" customWidth="1" min="1" max="1"/>
    <s:col width="48" customWidth="1" min="2" max="2"/>
  </s:cols>
  <s:sheetData>
    <s:row r="1">
      <s:c r="A1" s="1" t="inlineStr">
        <s:is>
          <s:t>VUB / ULB student housing — decision model</s:t>
        </s:is>
      </s:c>
      <s:c r="B1" s="1" t="n"/>
    </s:row>
    <s:row r="2" ht="55" customHeight="1">
      <s:c r="A2" s="2" t="inlineStr">
        <s:is>
          <s:t>Reference date</s:t>
        </s:is>
      </s:c>
      <s:c r="B2" s="2" t="inlineStr">
        <s:is>
          <s:t>1 October 2026 (year assumed from assignment context)</s:t>
        </s:is>
      </s:c>
    </s:row>
    <s:row r="3" ht="55" customHeight="1">
      <s:c r="A3" s="2" t="inlineStr">
        <s:is>
          <s:t>Status</s:t>
        </s:is>
      </s:c>
      <s:c r="B3" s="2" t="inlineStr">
        <s:is>
          <s:t>Screening model; hypothetical acquisition, no selected property</s:t>
        </s:is>
      </s:c>
    </s:row>
    <s:row r="4" ht="55" customHeight="1">
      <s:c r="A4" s="2" t="inlineStr">
        <s:is>
          <s:t>Instructions</s:t>
        </s:is>
      </s:c>
      <s:c r="B4" s="2" t="inlineStr">
        <s:is>
          <s:t>Edit blue cells on Inputs. All amounts EUR nominal; unlevered project cash flows.</s:t>
        </s:is>
      </s:c>
    </s:row>
    <s:row r="5" ht="55" customHeight="1">
      <s:c r="A5" s="2" t="inlineStr">
        <s:is>
          <s:t>Decision</s:t>
        </s:is>
      </s:c>
      <s:c r="B5" s="2" t="inlineStr">
        <s:is>
          <s:t>Proceed to due diligence only; do not commit to acquisition until permits, costs and rental demand are verified.</s:t>
        </s:is>
      </s:c>
    </s:row>
    <s:row r="6" ht="55" customHeight="1">
      <s:c r="A6" s="2" t="inlineStr">
        <s:is>
          <s:t>Scope</s:t>
        </s:is>
      </s:c>
      <s:c r="B6" s="2" t="inlineStr">
        <s:is>
          <s:t>24 rooms in an existing building near VUB/ULB; acquisition and renovation.</s:t>
        </s:is>
      </s:c>
    </s:row>
    <s:row r="7" ht="55" customHeight="1">
      <s:c r="A7" s="2" t="inlineStr">
        <s:is>
          <s:t>Boundary</s:t>
        </s:is>
      </s:c>
      <s:c r="B7" s="2" t="inlineStr">
        <s:is>
          <s:t>Rent excludes recoverable utilities; tenant charges are pass-through and excluded from owner revenue.</s:t>
        </s:is>
      </s:c>
    </s:row>
    <s:row r="8" ht="55" customHeight="1">
      <s:c r="A8" s="2" t="inlineStr">
        <s:is>
          <s:t>Important</s:t>
        </s:is>
      </s:c>
      <s:c r="B8" s="2" t="inlineStr">
        <s:is>
          <s:t>Formulas recalculate in Excel/LibreOffice. No property valuation or investment guarantee.</s:t>
        </s:is>
      </s:c>
    </s:row>
    <s:row r="9" ht="55" customHeight="1">
      <s:c r="A9" s="2" t="inlineStr">
        <s:is>
          <s:t>Outputs</s:t>
        </s:is>
      </s:c>
      <s:c r="B9" s="2" t="inlineStr">
        <s:is>
          <s:t>Annual cash flow, NPV, IRR, simple payback, affordability and scenario comparison.</s:t>
        </s:is>
      </s:c>
    </s:row>
    <s:row r="10" ht="55" customHeight="1">
      <s:c r="A10" s="2" t="inlineStr">
        <s:is>
          <s:t>Research date</s:t>
        </s:is>
      </s:c>
      <s:c r="B10" s="2" t="inlineStr">
        <s:is>
          <s:t>14 October 2026. Live pages are current evidence, not archived proof of their content on 1 October. Dated 2026–27 and effective-date documents prioritised.</s:t>
        </s:is>
      </s:c>
    </s:row>
    <s:row r="11" ht="55" customHeight="1">
      <s:c r="A11" s="2" t="inlineStr">
        <s:is>
          <s:t>Reproduce</s:t>
        </s:is>
      </s:c>
      <s:c r="B11" s="2" t="inlineStr">
        <s:is>
          <s:t>Run python3 enhance_model.py (requires openpyxl). build_model.py saves the basic version first.</s:t>
        </s:is>
      </s:c>
    </s:row>
    <s:row r="12" ht="55" customHeight="1">
      <s:c r="A12" s="2" t="inlineStr">
        <s:is>
          <s:t>Contract duration</s:t>
        </s:is>
      </s:c>
      <s:c r="B12" s="2" t="inlineStr">
        <s:is>
          <s:t>Annual occupancy is paid room-months / 12. A 10-month lease without summer letting implies 83.3%, not 95%. See downside.</s:t>
        </s:is>
      </s:c>
    </s:row>
  </s:sheetData>
  <s:autoFilter ref="A1:B12"/>
  <s:pageMargins left="0.75" right="0.75" top="1" bottom="1" header="0.5" footer="0.5"/>
</s:worksheet>
</file>

<file path=xl/worksheets/sheet2.xml><?xml version="1.0" encoding="utf-8"?>
<s:worksheet xmlns:s="http://schemas.openxmlformats.org/spreadsheetml/2006/main">
  <s:sheetPr>
    <s:outlinePr summaryBelow="1" summaryRight="1"/>
    <s:pageSetUpPr/>
  </s:sheetPr>
  <s:dimension ref="A1:D22"/>
  <s:sheetViews>
    <s:sheetView workbookViewId="0">
      <s:pane xSplit="1" ySplit="1" topLeftCell="B2" activePane="bottomRight" state="frozen"/>
      <s:selection pane="topRight"/>
      <s:selection pane="bottomLeft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</s:sheetView>
  </s:sheetViews>
  <s:sheetFormatPr baseColWidth="8" defaultRowHeight="15"/>
  <s:cols>
    <s:col width="34" customWidth="1" min="1" max="1"/>
    <s:col width="48" customWidth="1" min="2" max="2"/>
    <s:col width="48" customWidth="1" min="3" max="3"/>
    <s:col width="48" customWidth="1" min="4" max="4"/>
  </s:cols>
  <s:sheetData>
    <s:row r="1">
      <s:c r="A1" s="1" t="inlineStr">
        <s:is>
          <s:t>Input</s:t>
        </s:is>
      </s:c>
      <s:c r="B1" s="1" t="inlineStr">
        <s:is>
          <s:t>Value</s:t>
        </s:is>
      </s:c>
      <s:c r="C1" s="1" t="inlineStr">
        <s:is>
          <s:t>Unit / interpretation</s:t>
        </s:is>
      </s:c>
      <s:c r="D1" s="1" t="inlineStr">
        <s:is>
          <s:t>Evidence status</s:t>
        </s:is>
      </s:c>
    </s:row>
    <s:row r="2" ht="55" customHeight="1">
      <s:c r="A2" s="2" t="inlineStr">
        <s:is>
          <s:t>Rooms</s:t>
        </s:is>
      </s:c>
      <s:c r="B2" s="3" t="n">
        <s:v>24</s:v>
      </s:c>
      <s:c r="C2" s="2" t="inlineStr">
        <s:is>
          <s:t>rooms</s:t>
        </s:is>
      </s:c>
      <s:c r="D2" s="2" t="inlineStr">
        <s:is>
          <s:t>Design assumption</s:t>
        </s:is>
      </s:c>
    </s:row>
    <s:row r="3" ht="55" customHeight="1">
      <s:c r="A3" s="2" t="inlineStr">
        <s:is>
          <s:t>Purchase price</s:t>
        </s:is>
      </s:c>
      <s:c r="B3" s="3" t="n">
        <s:v>1800000</s:v>
      </s:c>
      <s:c r="C3" s="2" t="inlineStr">
        <s:is>
          <s:t>EUR</s:t>
        </s:is>
      </s:c>
      <s:c r="D3" s="2" t="inlineStr">
        <s:is>
          <s:t>Placeholder; obtain comparable transactions</s:t>
        </s:is>
      </s:c>
    </s:row>
    <s:row r="4" ht="55" customHeight="1">
      <s:c r="A4" s="2" t="inlineStr">
        <s:is>
          <s:t>Acquisition tax</s:t>
        </s:is>
      </s:c>
      <s:c r="B4" s="4" t="n">
        <s:v>0.125</s:v>
      </s:c>
      <s:c r="C4" s="2" t="inlineStr">
        <s:is>
          <s:t>share of purchase price</s:t>
        </s:is>
      </s:c>
      <s:c r="D4" s="2" t="inlineStr">
        <s:is>
          <s:t>A1: standard 12.5% Brussels registration duty; no owner-occupier relief assumed</s:t>
        </s:is>
      </s:c>
    </s:row>
    <s:row r="5" ht="55" customHeight="1">
      <s:c r="A5" s="2" t="inlineStr">
        <s:is>
          <s:t>Other acquisition costs</s:t>
        </s:is>
      </s:c>
      <s:c r="B5" s="3" t="n">
        <s:v>35000</s:v>
      </s:c>
      <s:c r="C5" s="2" t="inlineStr">
        <s:is>
          <s:t>EUR excluding acquisition tax</s:t>
        </s:is>
      </s:c>
      <s:c r="D5" s="2" t="inlineStr">
        <s:is>
          <s:t>Assumption; notary quote needed</s:t>
        </s:is>
      </s:c>
    </s:row>
    <s:row r="6" ht="55" customHeight="1">
      <s:c r="A6" s="2" t="inlineStr">
        <s:is>
          <s:t>Renovation per room</s:t>
        </s:is>
      </s:c>
      <s:c r="B6" s="3" t="n">
        <s:v>30000</s:v>
      </s:c>
      <s:c r="C6" s="2" t="inlineStr">
        <s:is>
          <s:t>EUR/room incl. nonrecoverable VAT</s:t>
        </s:is>
      </s:c>
      <s:c r="D6" s="2" t="inlineStr">
        <s:is>
          <s:t>Assumption; contractor quote needed</s:t>
        </s:is>
      </s:c>
    </s:row>
    <s:row r="7" ht="55" customHeight="1">
      <s:c r="A7" s="2" t="inlineStr">
        <s:is>
          <s:t>Furniture per room</s:t>
        </s:is>
      </s:c>
      <s:c r="B7" s="3" t="n">
        <s:v>3500</s:v>
      </s:c>
      <s:c r="C7" s="2" t="inlineStr">
        <s:is>
          <s:t>EUR/room incl. VAT</s:t>
        </s:is>
      </s:c>
      <s:c r="D7" s="2" t="inlineStr">
        <s:is>
          <s:t>Assumption</s:t>
        </s:is>
      </s:c>
    </s:row>
    <s:row r="8" ht="55" customHeight="1">
      <s:c r="A8" s="2" t="inlineStr">
        <s:is>
          <s:t>Contingency</s:t>
        </s:is>
      </s:c>
      <s:c r="B8" s="4" t="n">
        <s:v>0.15</s:v>
      </s:c>
      <s:c r="C8" s="2" t="inlineStr">
        <s:is>
          <s:t>share of renovation + furniture</s:t>
        </s:is>
      </s:c>
      <s:c r="D8" s="2" t="inlineStr">
        <s:is>
          <s:t>Assumption</s:t>
        </s:is>
      </s:c>
    </s:row>
    <s:row r="9" ht="55" customHeight="1">
      <s:c r="A9" s="2" t="inlineStr">
        <s:is>
          <s:t>Initial rent</s:t>
        </s:is>
      </s:c>
      <s:c r="B9" s="3" t="n">
        <s:v>550</s:v>
      </s:c>
      <s:c r="C9" s="2" t="inlineStr">
        <s:is>
          <s:t>EUR/room/month excluding utilities</s:t>
        </s:is>
      </s:c>
      <s:c r="D9" s="2" t="inlineStr">
        <s:is>
          <s:t>A2: EUR650 total incl. EUR100 utilities; screening assumption within published ULB EUR500–680 range</s:t>
        </s:is>
      </s:c>
    </s:row>
    <s:row r="10" ht="55" customHeight="1">
      <s:c r="A10" s="2" t="inlineStr">
        <s:is>
          <s:t>Stabilised occupancy</s:t>
        </s:is>
      </s:c>
      <s:c r="B10" s="4" t="n">
        <s:v>0.95</s:v>
      </s:c>
      <s:c r="C10" s="2" t="inlineStr">
        <s:is>
          <s:t>share of available room months</s:t>
        </s:is>
      </s:c>
      <s:c r="D10" s="2" t="inlineStr">
        <s:is>
          <s:t>Assumption</s:t>
        </s:is>
      </s:c>
    </s:row>
    <s:row r="11" ht="55" customHeight="1">
      <s:c r="A11" s="2" t="inlineStr">
        <s:is>
          <s:t>Annual rent growth</s:t>
        </s:is>
      </s:c>
      <s:c r="B11" s="4" t="n">
        <s:v>0.02</s:v>
      </s:c>
      <s:c r="C11" s="2" t="inlineStr">
        <s:is>
          <s:t>annual nominal escalation</s:t>
        </s:is>
      </s:c>
      <s:c r="D11" s="2" t="inlineStr">
        <s:is>
          <s:t>Scenario assumption; indexation legally conditional</s:t>
        </s:is>
      </s:c>
    </s:row>
    <s:row r="12" ht="55" customHeight="1">
      <s:c r="A12" s="2" t="inlineStr">
        <s:is>
          <s:t>Fixed operating cost</s:t>
        </s:is>
      </s:c>
      <s:c r="B12" s="3" t="n">
        <s:v>25000</s:v>
      </s:c>
      <s:c r="C12" s="2" t="inlineStr">
        <s:is>
          <s:t>EUR/year</s:t>
        </s:is>
      </s:c>
      <s:c r="D12" s="2" t="inlineStr">
        <s:is>
          <s:t>Insurance, maintenance, admin, property tax allowance</s:t>
        </s:is>
      </s:c>
    </s:row>
    <s:row r="13" ht="55" customHeight="1">
      <s:c r="A13" s="2" t="inlineStr">
        <s:is>
          <s:t>Variable operating cost</s:t>
        </s:is>
      </s:c>
      <s:c r="B13" s="4" t="n">
        <s:v>0.2</s:v>
      </s:c>
      <s:c r="C13" s="2" t="inlineStr">
        <s:is>
          <s:t>EUR/year: insurance 3000, maintenance 8000, admin 4000, property tax 10000 (all assumptions)</s:t>
        </s:is>
      </s:c>
      <s:c r="D13" s="2" t="inlineStr">
        <s:is>
          <s:t>Management, routine repairs, reserve</s:t>
        </s:is>
      </s:c>
    </s:row>
    <s:row r="14" ht="55" customHeight="1">
      <s:c r="A14" s="2" t="inlineStr">
        <s:is>
          <s:t>Operating cost growth</s:t>
        </s:is>
      </s:c>
      <s:c r="B14" s="4" t="n">
        <s:v>0.025</s:v>
      </s:c>
      <s:c r="C14" s="2" t="inlineStr">
        <s:is>
          <s:t>Management 8%, routine repairs 7%, turnover cleaning 5%; excludes capital replacements</s:t>
        </s:is>
      </s:c>
      <s:c r="D14" s="2" t="inlineStr">
        <s:is>
          <s:t>Assumption</s:t>
        </s:is>
      </s:c>
    </s:row>
    <s:row r="15" ht="55" customHeight="1">
      <s:c r="A15" s="2" t="inlineStr">
        <s:is>
          <s:t>Discount rate</s:t>
        </s:is>
      </s:c>
      <s:c r="B15" s="4" t="n">
        <s:v>0.065</s:v>
      </s:c>
      <s:c r="C15" s="2" t="inlineStr">
        <s:is>
          <s:t>nominal unlevered required return</s:t>
        </s:is>
      </s:c>
      <s:c r="D15" s="2" t="inlineStr">
        <s:is>
          <s:t>Assumption</s:t>
        </s:is>
      </s:c>
    </s:row>
    <s:row r="16" ht="55" customHeight="1">
      <s:c r="A16" s="2" t="inlineStr">
        <s:is>
          <s:t>Exit cap rate</s:t>
        </s:is>
      </s:c>
      <s:c r="B16" s="4" t="n">
        <s:v>0.055</s:v>
      </s:c>
      <s:c r="C16" s="2" t="inlineStr">
        <s:is>
          <s:t>terminal NOI yield</s:t>
        </s:is>
      </s:c>
      <s:c r="D16" s="2" t="inlineStr">
        <s:is>
          <s:t>Assumption</s:t>
        </s:is>
      </s:c>
    </s:row>
    <s:row r="17" ht="55" customHeight="1">
      <s:c r="A17" s="2" t="inlineStr">
        <s:is>
          <s:t>Selling costs</s:t>
        </s:is>
      </s:c>
      <s:c r="B17" s="4" t="n">
        <s:v>0.03</s:v>
      </s:c>
      <s:c r="C17" s="2" t="inlineStr">
        <s:is>
          <s:t>share of terminal value</s:t>
        </s:is>
      </s:c>
      <s:c r="D17" s="2" t="inlineStr">
        <s:is>
          <s:t>Assumption</s:t>
        </s:is>
      </s:c>
    </s:row>
    <s:row r="18" ht="55" customHeight="1">
      <s:c r="A18" s="2" t="inlineStr">
        <s:is>
          <s:t>Year 1 occupancy</s:t>
        </s:is>
      </s:c>
      <s:c r="B18" s="4" t="n">
        <s:v>0.75</s:v>
      </s:c>
      <s:c r="C18" s="2" t="inlineStr">
        <s:is>
          <s:t>ramp-up after renovation at time zero</s:t>
        </s:is>
      </s:c>
      <s:c r="D18" s="2" t="inlineStr">
        <s:is>
          <s:t>Assumption</s:t>
        </s:is>
      </s:c>
    </s:row>
    <s:row r="19" ht="55" customHeight="1">
      <s:c r="A19" s="2" t="inlineStr">
        <s:is>
          <s:t>Annual utilities charge</s:t>
        </s:is>
      </s:c>
      <s:c r="B19" s="3" t="n">
        <s:v>1200</s:v>
      </s:c>
      <s:c r="C19" s="2" t="inlineStr">
        <s:is>
          <s:t>EUR/room/year paid by tenant</s:t>
        </s:is>
      </s:c>
      <s:c r="D19" s="2" t="inlineStr">
        <s:is>
          <s:t>Assumption; metering needed</s:t>
        </s:is>
      </s:c>
    </s:row>
    <s:row r="20" ht="55" customHeight="1">
      <s:c r="A20" s="2" t="inlineStr">
        <s:is>
          <s:t>Student monthly budget</s:t>
        </s:is>
      </s:c>
      <s:c r="B20" s="3" t="n">
        <s:v>1300</s:v>
      </s:c>
      <s:c r="C20" s="2" t="inlineStr">
        <s:is>
          <s:t>EUR/month available for living</s:t>
        </s:is>
      </s:c>
      <s:c r="D20" s="2" t="inlineStr">
        <s:is>
          <s:t>Illustrative; not a statutory living wage</s:t>
        </s:is>
      </s:c>
    </s:row>
    <s:row r="21" ht="55" customHeight="1">
      <s:c r="A21" s="2" t="inlineStr">
        <s:is>
          <s:t>Annual replacement capex</s:t>
        </s:is>
      </s:c>
      <s:c r="B21" s="3" t="n">
        <s:v>10000</s:v>
      </s:c>
      <s:c r="C21" s="2" t="inlineStr">
        <s:is>
          <s:t>EUR/year from year 1</s:t>
        </s:is>
      </s:c>
      <s:c r="D21" s="2" t="inlineStr">
        <s:is>
          <s:t>Separate from routine repairs reserve</s:t>
        </s:is>
      </s:c>
    </s:row>
    <s:row r="22" ht="55" customHeight="1">
      <s:c r="A22" s="2" t="inlineStr">
        <s:is>
          <s:t>Replacement capex growth</s:t>
        </s:is>
      </s:c>
      <s:c r="B22" s="4" t="n">
        <s:v>0.025</s:v>
      </s:c>
      <s:c r="C22" s="2" t="inlineStr">
        <s:is>
          <s:t>annual escalation</s:t>
        </s:is>
      </s:c>
      <s:c r="D22" s="2" t="inlineStr">
        <s:is>
          <s:t>Assumption</s:t>
        </s:is>
      </s:c>
    </s:row>
  </s:sheetData>
  <s:autoFilter ref="A1:D22"/>
  <s:pageMargins left="0.75" right="0.75" top="1" bottom="1" header="0.5" footer="0.5"/>
</s:worksheet>
</file>

<file path=xl/worksheets/sheet3.xml><?xml version="1.0" encoding="utf-8"?>
<s:worksheet xmlns:s="http://schemas.openxmlformats.org/spreadsheetml/2006/main">
  <s:sheetPr>
    <s:outlinePr summaryBelow="1" summaryRight="1"/>
    <s:pageSetUpPr/>
  </s:sheetPr>
  <s:dimension ref="A1:B8"/>
  <s:sheetViews>
    <s:sheetView workbookViewId="0">
      <s:pane xSplit="1" ySplit="1" topLeftCell="B2" activePane="bottomRight" state="frozen"/>
      <s:selection pane="topRight"/>
      <s:selection pane="bottomLeft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</s:sheetView>
  </s:sheetViews>
  <s:sheetFormatPr baseColWidth="8" defaultRowHeight="15"/>
  <s:cols>
    <s:col width="34" customWidth="1" min="1" max="1"/>
    <s:col width="48" customWidth="1" min="2" max="2"/>
  </s:cols>
  <s:sheetData>
    <s:row r="1">
      <s:c r="A1" s="1" t="inlineStr">
        <s:is>
          <s:t>Item</s:t>
        </s:is>
      </s:c>
      <s:c r="B1" s="1" t="inlineStr">
        <s:is>
          <s:t>EUR</s:t>
        </s:is>
      </s:c>
    </s:row>
    <s:row r="2" ht="55" customHeight="1">
      <s:c r="A2" s="2" t="inlineStr">
        <s:is>
          <s:t>Purchase</s:t>
        </s:is>
      </s:c>
      <s:c r="B2" s="5">
        <s:f>'Inputs'!$B$3</s:f>
        <s:v>1800000</s:v>
      </s:c>
    </s:row>
    <s:row r="3" ht="55" customHeight="1">
      <s:c r="A3" s="2" t="inlineStr">
        <s:is>
          <s:t>Acquisition tax</s:t>
        </s:is>
      </s:c>
      <s:c r="B3" s="5">
        <s:f>B2*'Inputs'!$B$4</s:f>
        <s:v>225000.0</s:v>
      </s:c>
    </s:row>
    <s:row r="4" ht="55" customHeight="1">
      <s:c r="A4" s="2" t="inlineStr">
        <s:is>
          <s:t>Other acquisition costs</s:t>
        </s:is>
      </s:c>
      <s:c r="B4" s="5">
        <s:f>'Inputs'!$B$5</s:f>
        <s:v>35000</s:v>
      </s:c>
    </s:row>
    <s:row r="5" ht="55" customHeight="1">
      <s:c r="A5" s="2" t="inlineStr">
        <s:is>
          <s:t>Renovation</s:t>
        </s:is>
      </s:c>
      <s:c r="B5" s="5">
        <s:f>'Inputs'!$B$2*'Inputs'!$B$6</s:f>
        <s:v>720000</s:v>
      </s:c>
    </s:row>
    <s:row r="6" ht="55" customHeight="1">
      <s:c r="A6" s="2" t="inlineStr">
        <s:is>
          <s:t>Furniture</s:t>
        </s:is>
      </s:c>
      <s:c r="B6" s="5">
        <s:f>'Inputs'!$B$2*'Inputs'!$B$7</s:f>
        <s:v>84000</s:v>
      </s:c>
    </s:row>
    <s:row r="7" ht="55" customHeight="1">
      <s:c r="A7" s="2" t="inlineStr">
        <s:is>
          <s:t>Contingency</s:t>
        </s:is>
      </s:c>
      <s:c r="B7" s="5">
        <s:f>(B5+B6)*'Inputs'!$B$8</s:f>
        <s:v>120600.0</s:v>
      </s:c>
    </s:row>
    <s:row r="8" ht="55" customHeight="1">
      <s:c r="A8" s="2" t="inlineStr">
        <s:is>
          <s:t>Total initial investment</s:t>
        </s:is>
      </s:c>
      <s:c r="B8" s="5">
        <s:f>SUM(B2:B7)</s:f>
        <s:v>2984600.0</s:v>
      </s:c>
    </s:row>
  </s:sheetData>
  <s:autoFilter ref="A1:B8"/>
  <s:pageMargins left="0.75" right="0.75" top="1" bottom="1" header="0.5" footer="0.5"/>
</s:worksheet>
</file>

<file path=xl/worksheets/sheet4.xml><?xml version="1.0" encoding="utf-8"?>
<s:worksheet xmlns:s="http://schemas.openxmlformats.org/spreadsheetml/2006/main">
  <s:sheetPr>
    <s:outlinePr summaryBelow="1" summaryRight="1"/>
    <s:pageSetUpPr/>
  </s:sheetPr>
  <s:dimension ref="A1:L22"/>
  <s:sheetViews>
    <s:sheetView workbookViewId="0">
      <s:pane xSplit="1" ySplit="1" topLeftCell="B2" activePane="bottomRight" state="frozen"/>
      <s:selection pane="topRight"/>
      <s:selection pane="bottomLeft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</s:sheetView>
  </s:sheetViews>
  <s:sheetFormatPr baseColWidth="8" defaultRowHeight="15"/>
  <s:cols>
    <s:col width="25" customWidth="1" min="1" max="1"/>
    <s:col width="25" customWidth="1" min="2" max="2"/>
    <s:col width="25" customWidth="1" min="3" max="3"/>
    <s:col width="25" customWidth="1" min="4" max="4"/>
    <s:col width="25" customWidth="1" min="5" max="5"/>
    <s:col width="25" customWidth="1" min="6" max="6"/>
    <s:col width="25" customWidth="1" min="7" max="7"/>
    <s:col width="25" customWidth="1" min="8" max="8"/>
    <s:col width="25" customWidth="1" min="9" max="9"/>
    <s:col width="25" customWidth="1" min="10" max="10"/>
    <s:col width="25" customWidth="1" min="11" max="11"/>
    <s:col width="25" customWidth="1" min="12" max="12"/>
  </s:cols>
  <s:sheetData>
    <s:row r="1">
      <s:c r="A1" s="1" t="inlineStr">
        <s:is>
          <s:t>Year</s:t>
        </s:is>
      </s:c>
      <s:c r="B1" s="1" t="inlineStr">
        <s:is>
          <s:t>Rent / room / month</s:t>
        </s:is>
      </s:c>
      <s:c r="C1" s="1" t="inlineStr">
        <s:is>
          <s:t>Occupancy</s:t>
        </s:is>
      </s:c>
      <s:c r="D1" s="1" t="inlineStr">
        <s:is>
          <s:t>Rent revenue</s:t>
        </s:is>
      </s:c>
      <s:c r="E1" s="1" t="inlineStr">
        <s:is>
          <s:t>Fixed costs</s:t>
        </s:is>
      </s:c>
      <s:c r="F1" s="1" t="inlineStr">
        <s:is>
          <s:t>Variable costs</s:t>
        </s:is>
      </s:c>
      <s:c r="G1" s="1" t="inlineStr">
        <s:is>
          <s:t>NOI</s:t>
        </s:is>
      </s:c>
      <s:c r="H1" s="1" t="inlineStr">
        <s:is>
          <s:t>Replacement capex</s:t>
        </s:is>
      </s:c>
      <s:c r="I1" s="1" t="inlineStr">
        <s:is>
          <s:t>Terminal proceeds</s:t>
        </s:is>
      </s:c>
      <s:c r="J1" s="1" t="inlineStr">
        <s:is>
          <s:t>Project cash flow</s:t>
        </s:is>
      </s:c>
      <s:c r="K1" s="1" t="inlineStr">
        <s:is>
          <s:t>Discounted cash flow</s:t>
        </s:is>
      </s:c>
      <s:c r="L1" s="1" t="inlineStr">
        <s:is>
          <s:t>Cumulative operating cash flow</s:t>
        </s:is>
      </s:c>
    </s:row>
    <s:row r="2">
      <s:c r="A2" s="2" t="n">
        <s:v>0</s:v>
      </s:c>
      <s:c r="B2" s="2" t="n">
        <s:v>0</s:v>
      </s:c>
      <s:c r="C2" s="2" t="n">
        <s:v>0</s:v>
      </s:c>
      <s:c r="D2" s="2" t="n">
        <s:v>0</s:v>
      </s:c>
      <s:c r="E2" s="2" t="n">
        <s:v>0</s:v>
      </s:c>
      <s:c r="F2" s="2" t="n">
        <s:v>0</s:v>
      </s:c>
      <s:c r="G2" s="2" t="n">
        <s:v>0</s:v>
      </s:c>
      <s:c r="H2" s="2" t="n">
        <s:v>0</s:v>
      </s:c>
      <s:c r="I2" s="2" t="n">
        <s:v>0</s:v>
      </s:c>
      <s:c r="J2" s="5">
        <s:f>-'Investment'!B8</s:f>
        <s:v>-2984600.0</s:v>
      </s:c>
      <s:c r="K2" s="5">
        <s:f>J2</s:f>
        <s:v>-2984600.0</s:v>
      </s:c>
      <s:c r="L2" s="5">
        <s:f>J2</s:f>
        <s:v>-2984600.0</s:v>
      </s:c>
    </s:row>
    <s:row r="3">
      <s:c r="A3" s="2" t="n">
        <s:v>1</s:v>
      </s:c>
      <s:c r="B3" s="5">
        <s:f>'Inputs'!$B$9*(1+'Inputs'!$B$11)^(A3-1)</s:f>
        <s:v>550.0</s:v>
      </s:c>
      <s:c r="C3" s="5">
        <s:f>'Inputs'!$B$18</s:f>
        <s:v>0.75</s:v>
      </s:c>
      <s:c r="D3" s="5">
        <s:f>'Inputs'!$B$2*12*B3*C3</s:f>
        <s:v>118800.0</s:v>
      </s:c>
      <s:c r="E3" s="5">
        <s:f>'Inputs'!$B$12*(1+'Inputs'!$B$14)^(A3-1)</s:f>
        <s:v>25000.0</s:v>
      </s:c>
      <s:c r="F3" s="5">
        <s:f>D3*'Inputs'!$B$13</s:f>
        <s:v>23760.0</s:v>
      </s:c>
      <s:c r="G3" s="5">
        <s:f>D3-E3-F3</s:f>
        <s:v>70040.0</s:v>
      </s:c>
      <s:c r="H3" s="5">
        <s:f>'Inputs'!$B$21*(1+'Inputs'!$B$22)^(A3-1)</s:f>
        <s:v>10000.0</s:v>
      </s:c>
      <s:c r="I3" s="2" t="n">
        <s:v>0</s:v>
      </s:c>
      <s:c r="J3" s="5">
        <s:f>G3-H3+I3</s:f>
        <s:v>60040.0</s:v>
      </s:c>
      <s:c r="K3" s="5">
        <s:f>J3/(1+'Inputs'!$B$15)^A3</s:f>
        <s:v>56375.586854460096</s:v>
      </s:c>
      <s:c r="L3" s="5">
        <s:f>L2+G3-H3</s:f>
        <s:v>-2924560.0</s:v>
      </s:c>
    </s:row>
    <s:row r="4">
      <s:c r="A4" s="2" t="n">
        <s:v>2</s:v>
      </s:c>
      <s:c r="B4" s="5">
        <s:f>'Inputs'!$B$9*(1+'Inputs'!$B$11)^(A4-1)</s:f>
        <s:v>561.0</s:v>
      </s:c>
      <s:c r="C4" s="5">
        <s:f>'Inputs'!$B$10</s:f>
        <s:v>0.95</s:v>
      </s:c>
      <s:c r="D4" s="5">
        <s:f>'Inputs'!$B$2*12*B4*C4</s:f>
        <s:v>153489.6</s:v>
      </s:c>
      <s:c r="E4" s="5">
        <s:f>'Inputs'!$B$12*(1+'Inputs'!$B$14)^(A4-1)</s:f>
        <s:v>25624.999999999996</s:v>
      </s:c>
      <s:c r="F4" s="5">
        <s:f>D4*'Inputs'!$B$13</s:f>
        <s:v>30697.920000000002</s:v>
      </s:c>
      <s:c r="G4" s="5">
        <s:f>D4-E4-F4</s:f>
        <s:v>97166.68000000001</s:v>
      </s:c>
      <s:c r="H4" s="5">
        <s:f>'Inputs'!$B$21*(1+'Inputs'!$B$22)^(A4-1)</s:f>
        <s:v>10250.0</s:v>
      </s:c>
      <s:c r="I4" s="2" t="n">
        <s:v>0</s:v>
      </s:c>
      <s:c r="J4" s="5">
        <s:f>G4-H4+I4</s:f>
        <s:v>86916.68000000001</s:v>
      </s:c>
      <s:c r="K4" s="5">
        <s:f>J4/(1+'Inputs'!$B$15)^A4</s:f>
        <s:v>76630.8977495647</s:v>
      </s:c>
      <s:c r="L4" s="5">
        <s:f>L3+G4-H4</s:f>
        <s:v>-2837643.32</s:v>
      </s:c>
    </s:row>
    <s:row r="5">
      <s:c r="A5" s="2" t="n">
        <s:v>3</s:v>
      </s:c>
      <s:c r="B5" s="5">
        <s:f>'Inputs'!$B$9*(1+'Inputs'!$B$11)^(A5-1)</s:f>
        <s:v>572.22</s:v>
      </s:c>
      <s:c r="C5" s="5">
        <s:f>'Inputs'!$B$10</s:f>
        <s:v>0.95</s:v>
      </s:c>
      <s:c r="D5" s="5">
        <s:f>'Inputs'!$B$2*12*B5*C5</s:f>
        <s:v>156559.392</s:v>
      </s:c>
      <s:c r="E5" s="5">
        <s:f>'Inputs'!$B$12*(1+'Inputs'!$B$14)^(A5-1)</s:f>
        <s:v>26265.624999999996</s:v>
      </s:c>
      <s:c r="F5" s="5">
        <s:f>D5*'Inputs'!$B$13</s:f>
        <s:v>31311.8784</s:v>
      </s:c>
      <s:c r="G5" s="5">
        <s:f>D5-E5-F5</s:f>
        <s:v>98981.88859999999</s:v>
      </s:c>
      <s:c r="H5" s="5">
        <s:f>'Inputs'!$B$21*(1+'Inputs'!$B$22)^(A5-1)</s:f>
        <s:v>10506.25</s:v>
      </s:c>
      <s:c r="I5" s="2" t="n">
        <s:v>0</s:v>
      </s:c>
      <s:c r="J5" s="5">
        <s:f>G5-H5+I5</s:f>
        <s:v>88475.63859999999</s:v>
      </s:c>
      <s:c r="K5" s="5">
        <s:f>J5/(1+'Inputs'!$B$15)^A5</s:f>
        <s:v>73244.47706169866</s:v>
      </s:c>
      <s:c r="L5" s="5">
        <s:f>L4+G5-H5</s:f>
        <s:v>-2749167.6813999997</s:v>
      </s:c>
    </s:row>
    <s:row r="6">
      <s:c r="A6" s="2" t="n">
        <s:v>4</s:v>
      </s:c>
      <s:c r="B6" s="5">
        <s:f>'Inputs'!$B$9*(1+'Inputs'!$B$11)^(A6-1)</s:f>
        <s:v>583.6644000000001</s:v>
      </s:c>
      <s:c r="C6" s="5">
        <s:f>'Inputs'!$B$10</s:f>
        <s:v>0.95</s:v>
      </s:c>
      <s:c r="D6" s="5">
        <s:f>'Inputs'!$B$2*12*B6*C6</s:f>
        <s:v>159690.57984000002</s:v>
      </s:c>
      <s:c r="E6" s="5">
        <s:f>'Inputs'!$B$12*(1+'Inputs'!$B$14)^(A6-1)</s:f>
        <s:v>26922.265624999993</s:v>
      </s:c>
      <s:c r="F6" s="5">
        <s:f>D6*'Inputs'!$B$13</s:f>
        <s:v>31938.115968000006</s:v>
      </s:c>
      <s:c r="G6" s="5">
        <s:f>D6-E6-F6</s:f>
        <s:v>100830.19824700002</s:v>
      </s:c>
      <s:c r="H6" s="5">
        <s:f>'Inputs'!$B$21*(1+'Inputs'!$B$22)^(A6-1)</s:f>
        <s:v>10768.906249999996</s:v>
      </s:c>
      <s:c r="I6" s="2" t="n">
        <s:v>0</s:v>
      </s:c>
      <s:c r="J6" s="5">
        <s:f>G6-H6+I6</s:f>
        <s:v>90061.29199700002</s:v>
      </s:c>
      <s:c r="K6" s="5">
        <s:f>J6/(1+'Inputs'!$B$15)^A6</s:f>
        <s:v>70006.72186508868</s:v>
      </s:c>
      <s:c r="L6" s="5">
        <s:f>L5+G6-H6</s:f>
        <s:v>-2659106.3894029995</s:v>
      </s:c>
    </s:row>
    <s:row r="7">
      <s:c r="A7" s="2" t="n">
        <s:v>5</s:v>
      </s:c>
      <s:c r="B7" s="5">
        <s:f>'Inputs'!$B$9*(1+'Inputs'!$B$11)^(A7-1)</s:f>
        <s:v>595.337688</s:v>
      </s:c>
      <s:c r="C7" s="5">
        <s:f>'Inputs'!$B$10</s:f>
        <s:v>0.95</s:v>
      </s:c>
      <s:c r="D7" s="5">
        <s:f>'Inputs'!$B$2*12*B7*C7</s:f>
        <s:v>162884.39143679998</s:v>
      </s:c>
      <s:c r="E7" s="5">
        <s:f>'Inputs'!$B$12*(1+'Inputs'!$B$14)^(A7-1)</s:f>
        <s:v>27595.32226562499</s:v>
      </s:c>
      <s:c r="F7" s="5">
        <s:f>D7*'Inputs'!$B$13</s:f>
        <s:v>32576.87828736</s:v>
      </s:c>
      <s:c r="G7" s="5">
        <s:f>D7-E7-F7</s:f>
        <s:v>102712.19088381498</s:v>
      </s:c>
      <s:c r="H7" s="5">
        <s:f>'Inputs'!$B$21*(1+'Inputs'!$B$22)^(A7-1)</s:f>
        <s:v>11038.128906249995</s:v>
      </s:c>
      <s:c r="I7" s="2" t="n">
        <s:v>0</s:v>
      </s:c>
      <s:c r="J7" s="5">
        <s:f>G7-H7+I7</s:f>
        <s:v>91674.06197756498</s:v>
      </s:c>
      <s:c r="K7" s="5">
        <s:f>J7/(1+'Inputs'!$B$15)^A7</s:f>
        <s:v>66911.14104345899</s:v>
      </s:c>
      <s:c r="L7" s="5">
        <s:f>L6+G7-H7</s:f>
        <s:v>-2567432.3274254347</s:v>
      </s:c>
    </s:row>
    <s:row r="8">
      <s:c r="A8" s="2" t="n">
        <s:v>6</s:v>
      </s:c>
      <s:c r="B8" s="5">
        <s:f>'Inputs'!$B$9*(1+'Inputs'!$B$11)^(A8-1)</s:f>
        <s:v>607.24444176</s:v>
      </s:c>
      <s:c r="C8" s="5">
        <s:f>'Inputs'!$B$10</s:f>
        <s:v>0.95</s:v>
      </s:c>
      <s:c r="D8" s="5">
        <s:f>'Inputs'!$B$2*12*B8*C8</s:f>
        <s:v>166142.07926553598</s:v>
      </s:c>
      <s:c r="E8" s="5">
        <s:f>'Inputs'!$B$12*(1+'Inputs'!$B$14)^(A8-1)</s:f>
        <s:v>28285.20532226561</s:v>
      </s:c>
      <s:c r="F8" s="5">
        <s:f>D8*'Inputs'!$B$13</s:f>
        <s:v>33228.415853107195</s:v>
      </s:c>
      <s:c r="G8" s="5">
        <s:f>D8-E8-F8</s:f>
        <s:v>104628.45809016316</s:v>
      </s:c>
      <s:c r="H8" s="5">
        <s:f>'Inputs'!$B$21*(1+'Inputs'!$B$22)^(A8-1)</s:f>
        <s:v>11314.082128906244</s:v>
      </s:c>
      <s:c r="I8" s="2" t="n">
        <s:v>0</s:v>
      </s:c>
      <s:c r="J8" s="5">
        <s:f>G8-H8+I8</s:f>
        <s:v>93314.37596125691</s:v>
      </s:c>
      <s:c r="K8" s="5">
        <s:f>J8/(1+'Inputs'!$B$15)^A8</s:f>
        <s:v>63951.525620688335</s:v>
      </s:c>
      <s:c r="L8" s="5">
        <s:f>L7+G8-H8</s:f>
        <s:v>-2474117.9514641776</s:v>
      </s:c>
    </s:row>
    <s:row r="9">
      <s:c r="A9" s="2" t="n">
        <s:v>7</s:v>
      </s:c>
      <s:c r="B9" s="5">
        <s:f>'Inputs'!$B$9*(1+'Inputs'!$B$11)^(A9-1)</s:f>
        <s:v>619.3893305952</s:v>
      </s:c>
      <s:c r="C9" s="5">
        <s:f>'Inputs'!$B$10</s:f>
        <s:v>0.95</s:v>
      </s:c>
      <s:c r="D9" s="5">
        <s:f>'Inputs'!$B$2*12*B9*C9</s:f>
        <s:v>169464.9208508467</s:v>
      </s:c>
      <s:c r="E9" s="5">
        <s:f>'Inputs'!$B$12*(1+'Inputs'!$B$14)^(A9-1)</s:f>
        <s:v>28992.33545532225</s:v>
      </s:c>
      <s:c r="F9" s="5">
        <s:f>D9*'Inputs'!$B$13</s:f>
        <s:v>33892.984170169344</s:v>
      </s:c>
      <s:c r="G9" s="5">
        <s:f>D9-E9-F9</s:f>
        <s:v>106579.60122535512</s:v>
      </s:c>
      <s:c r="H9" s="5">
        <s:f>'Inputs'!$B$21*(1+'Inputs'!$B$22)^(A9-1)</s:f>
        <s:v>11596.9341821289</s:v>
      </s:c>
      <s:c r="I9" s="2" t="n">
        <s:v>0</s:v>
      </s:c>
      <s:c r="J9" s="5">
        <s:f>G9-H9+I9</s:f>
        <s:v>94982.66704322622</s:v>
      </s:c>
      <s:c r="K9" s="5">
        <s:f>J9/(1+'Inputs'!$B$15)^A9</s:f>
        <s:v>61121.93654389674</s:v>
      </s:c>
      <s:c r="L9" s="5">
        <s:f>L8+G9-H9</s:f>
        <s:v>-2379135.2844209513</s:v>
      </s:c>
    </s:row>
    <s:row r="10">
      <s:c r="A10" s="2" t="n">
        <s:v>8</s:v>
      </s:c>
      <s:c r="B10" s="5">
        <s:f>'Inputs'!$B$9*(1+'Inputs'!$B$11)^(A10-1)</s:f>
        <s:v>631.777117207104</s:v>
      </s:c>
      <s:c r="C10" s="5">
        <s:f>'Inputs'!$B$10</s:f>
        <s:v>0.95</s:v>
      </s:c>
      <s:c r="D10" s="5">
        <s:f>'Inputs'!$B$2*12*B10*C10</s:f>
        <s:v>172854.21926786363</s:v>
      </s:c>
      <s:c r="E10" s="5">
        <s:f>'Inputs'!$B$12*(1+'Inputs'!$B$14)^(A10-1)</s:f>
        <s:v>29717.143841705307</s:v>
      </s:c>
      <s:c r="F10" s="5">
        <s:f>D10*'Inputs'!$B$13</s:f>
        <s:v>34570.843853572725</s:v>
      </s:c>
      <s:c r="G10" s="5">
        <s:f>D10-E10-F10</s:f>
        <s:v>108566.23157258559</s:v>
      </s:c>
      <s:c r="H10" s="5">
        <s:f>'Inputs'!$B$21*(1+'Inputs'!$B$22)^(A10-1)</s:f>
        <s:v>11886.857536682122</s:v>
      </s:c>
      <s:c r="I10" s="2" t="n">
        <s:v>0</s:v>
      </s:c>
      <s:c r="J10" s="5">
        <s:f>G10-H10+I10</s:f>
        <s:v>96679.37403590347</s:v>
      </s:c>
      <s:c r="K10" s="5">
        <s:f>J10/(1+'Inputs'!$B$15)^A10</s:f>
        <s:v>58416.69299383864</s:v>
      </s:c>
      <s:c r="L10" s="5">
        <s:f>L9+G10-H10</s:f>
        <s:v>-2282455.9103850476</s:v>
      </s:c>
    </s:row>
    <s:row r="11">
      <s:c r="A11" s="2" t="n">
        <s:v>9</s:v>
      </s:c>
      <s:c r="B11" s="5">
        <s:f>'Inputs'!$B$9*(1+'Inputs'!$B$11)^(A11-1)</s:f>
        <s:v>644.4126595512462</s:v>
      </s:c>
      <s:c r="C11" s="5">
        <s:f>'Inputs'!$B$10</s:f>
        <s:v>0.95</s:v>
      </s:c>
      <s:c r="D11" s="5">
        <s:f>'Inputs'!$B$2*12*B11*C11</s:f>
        <s:v>176311.30365322094</s:v>
      </s:c>
      <s:c r="E11" s="5">
        <s:f>'Inputs'!$B$12*(1+'Inputs'!$B$14)^(A11-1)</s:f>
        <s:v>30460.07243774793</s:v>
      </s:c>
      <s:c r="F11" s="5">
        <s:f>D11*'Inputs'!$B$13</s:f>
        <s:v>35262.260730644186</s:v>
      </s:c>
      <s:c r="G11" s="5">
        <s:f>D11-E11-F11</s:f>
        <s:v>110588.97048482881</s:v>
      </s:c>
      <s:c r="H11" s="5">
        <s:f>'Inputs'!$B$21*(1+'Inputs'!$B$22)^(A11-1)</s:f>
        <s:v>12184.028975099172</s:v>
      </s:c>
      <s:c r="I11" s="2" t="n">
        <s:v>0</s:v>
      </s:c>
      <s:c r="J11" s="5">
        <s:f>G11-H11+I11</s:f>
        <s:v>98404.94150972963</s:v>
      </s:c>
      <s:c r="K11" s="5">
        <s:f>J11/(1+'Inputs'!$B$15)^A11</s:f>
        <s:v>55830.361199904786</s:v>
      </s:c>
      <s:c r="L11" s="5">
        <s:f>L10+G11-H11</s:f>
        <s:v>-2184050.968875318</s:v>
      </s:c>
    </s:row>
    <s:row r="12">
      <s:c r="A12" s="2" t="n">
        <s:v>10</s:v>
      </s:c>
      <s:c r="B12" s="5">
        <s:f>'Inputs'!$B$9*(1+'Inputs'!$B$11)^(A12-1)</s:f>
        <s:v>657.3009127422711</s:v>
      </s:c>
      <s:c r="C12" s="5">
        <s:f>'Inputs'!$B$10</s:f>
        <s:v>0.95</s:v>
      </s:c>
      <s:c r="D12" s="5">
        <s:f>'Inputs'!$B$2*12*B12*C12</s:f>
        <s:v>179837.52972628534</s:v>
      </s:c>
      <s:c r="E12" s="5">
        <s:f>'Inputs'!$B$12*(1+'Inputs'!$B$14)^(A12-1)</s:f>
        <s:v>31221.57424869163</s:v>
      </s:c>
      <s:c r="F12" s="5">
        <s:f>D12*'Inputs'!$B$13</s:f>
        <s:v>35967.50594525707</s:v>
      </s:c>
      <s:c r="G12" s="5">
        <s:f>D12-E12-F12</s:f>
        <s:v>112648.44953233663</s:v>
      </s:c>
      <s:c r="H12" s="5">
        <s:f>'Inputs'!$B$21*(1+'Inputs'!$B$22)^(A12-1)</s:f>
        <s:v>12488.629699476653</s:v>
      </s:c>
      <s:c r="I12" s="2" t="n">
        <s:v>0</s:v>
      </s:c>
      <s:c r="J12" s="5">
        <s:f>G12-H12+I12</s:f>
        <s:v>100159.81983285997</s:v>
      </s:c>
      <s:c r="K12" s="5">
        <s:f>J12/(1+'Inputs'!$B$15)^A12</s:f>
        <s:v>53357.74373800992</s:v>
      </s:c>
      <s:c r="L12" s="5">
        <s:f>L11+G12-H12</s:f>
        <s:v>-2083891.149042458</s:v>
      </s:c>
    </s:row>
    <s:row r="13">
      <s:c r="A13" s="2" t="n">
        <s:v>11</s:v>
      </s:c>
      <s:c r="B13" s="5">
        <s:f>'Inputs'!$B$9*(1+'Inputs'!$B$11)^(A13-1)</s:f>
        <s:v>670.4469309971165</s:v>
      </s:c>
      <s:c r="C13" s="5">
        <s:f>'Inputs'!$B$10</s:f>
        <s:v>0.95</s:v>
      </s:c>
      <s:c r="D13" s="5">
        <s:f>'Inputs'!$B$2*12*B13*C13</s:f>
        <s:v>183434.28032081106</s:v>
      </s:c>
      <s:c r="E13" s="5">
        <s:f>'Inputs'!$B$12*(1+'Inputs'!$B$14)^(A13-1)</s:f>
        <s:v>32002.113604908915</s:v>
      </s:c>
      <s:c r="F13" s="5">
        <s:f>D13*'Inputs'!$B$13</s:f>
        <s:v>36686.85606416221</s:v>
      </s:c>
      <s:c r="G13" s="5">
        <s:f>D13-E13-F13</s:f>
        <s:v>114745.31065173991</s:v>
      </s:c>
      <s:c r="H13" s="5">
        <s:f>'Inputs'!$B$21*(1+'Inputs'!$B$22)^(A13-1)</s:f>
        <s:v>12800.845441963567</s:v>
      </s:c>
      <s:c r="I13" s="2" t="n">
        <s:v>0</s:v>
      </s:c>
      <s:c r="J13" s="5">
        <s:f>G13-H13+I13</s:f>
        <s:v>101944.46520977635</s:v>
      </s:c>
      <s:c r="K13" s="5">
        <s:f>J13/(1+'Inputs'!$B$15)^A13</s:f>
        <s:v>50993.86929057712</s:v>
      </s:c>
      <s:c r="L13" s="5">
        <s:f>L12+G13-H13</s:f>
        <s:v>-1981946.6838326817</s:v>
      </s:c>
    </s:row>
    <s:row r="14">
      <s:c r="A14" s="2" t="n">
        <s:v>12</s:v>
      </s:c>
      <s:c r="B14" s="5">
        <s:f>'Inputs'!$B$9*(1+'Inputs'!$B$11)^(A14-1)</s:f>
        <s:v>683.8558696170588</s:v>
      </s:c>
      <s:c r="C14" s="5">
        <s:f>'Inputs'!$B$10</s:f>
        <s:v>0.95</s:v>
      </s:c>
      <s:c r="D14" s="5">
        <s:f>'Inputs'!$B$2*12*B14*C14</s:f>
        <s:v>187102.96592722728</s:v>
      </s:c>
      <s:c r="E14" s="5">
        <s:f>'Inputs'!$B$12*(1+'Inputs'!$B$14)^(A14-1)</s:f>
        <s:v>32802.16644503164</s:v>
      </s:c>
      <s:c r="F14" s="5">
        <s:f>D14*'Inputs'!$B$13</s:f>
        <s:v>37420.59318544546</s:v>
      </s:c>
      <s:c r="G14" s="5">
        <s:f>D14-E14-F14</s:f>
        <s:v>116880.20629675017</s:v>
      </s:c>
      <s:c r="H14" s="5">
        <s:f>'Inputs'!$B$21*(1+'Inputs'!$B$22)^(A14-1)</s:f>
        <s:v>13120.866578012656</s:v>
      </s:c>
      <s:c r="I14" s="2" t="n">
        <s:v>0</s:v>
      </s:c>
      <s:c r="J14" s="5">
        <s:f>G14-H14+I14</s:f>
        <s:v>103759.33971873751</s:v>
      </s:c>
      <s:c r="K14" s="5">
        <s:f>J14/(1+'Inputs'!$B$15)^A14</s:f>
        <s:v>48733.98284872118</s:v>
      </s:c>
      <s:c r="L14" s="5">
        <s:f>L13+G14-H14</s:f>
        <s:v>-1878187.3441139443</s:v>
      </s:c>
    </s:row>
    <s:row r="15">
      <s:c r="A15" s="2" t="n">
        <s:v>13</s:v>
      </s:c>
      <s:c r="B15" s="5">
        <s:f>'Inputs'!$B$9*(1+'Inputs'!$B$11)^(A15-1)</s:f>
        <s:v>697.5329870094</s:v>
      </s:c>
      <s:c r="C15" s="5">
        <s:f>'Inputs'!$B$10</s:f>
        <s:v>0.95</s:v>
      </s:c>
      <s:c r="D15" s="5">
        <s:f>'Inputs'!$B$2*12*B15*C15</s:f>
        <s:v>190845.02524577183</s:v>
      </s:c>
      <s:c r="E15" s="5">
        <s:f>'Inputs'!$B$12*(1+'Inputs'!$B$14)^(A15-1)</s:f>
        <s:v>33622.220606157425</s:v>
      </s:c>
      <s:c r="F15" s="5">
        <s:f>D15*'Inputs'!$B$13</s:f>
        <s:v>38169.005049154366</s:v>
      </s:c>
      <s:c r="G15" s="5">
        <s:f>D15-E15-F15</s:f>
        <s:v>119053.79959046005</s:v>
      </s:c>
      <s:c r="H15" s="5">
        <s:f>'Inputs'!$B$21*(1+'Inputs'!$B$22)^(A15-1)</s:f>
        <s:v>13448.88824246297</s:v>
      </s:c>
      <s:c r="I15" s="2" t="n">
        <s:v>0</s:v>
      </s:c>
      <s:c r="J15" s="5">
        <s:f>G15-H15+I15</s:f>
        <s:v>105604.91134799708</s:v>
      </s:c>
      <s:c r="K15" s="5">
        <s:f>J15/(1+'Inputs'!$B$15)^A15</s:f>
        <s:v>46573.536337589736</s:v>
      </s:c>
      <s:c r="L15" s="5">
        <s:f>L14+G15-H15</s:f>
        <s:v>-1772582.4327659472</s:v>
      </s:c>
    </s:row>
    <s:row r="16">
      <s:c r="A16" s="2" t="n">
        <s:v>14</s:v>
      </s:c>
      <s:c r="B16" s="5">
        <s:f>'Inputs'!$B$9*(1+'Inputs'!$B$11)^(A16-1)</s:f>
        <s:v>711.483646749588</s:v>
      </s:c>
      <s:c r="C16" s="5">
        <s:f>'Inputs'!$B$10</s:f>
        <s:v>0.95</s:v>
      </s:c>
      <s:c r="D16" s="5">
        <s:f>'Inputs'!$B$2*12*B16*C16</s:f>
        <s:v>194661.92575068728</s:v>
      </s:c>
      <s:c r="E16" s="5">
        <s:f>'Inputs'!$B$12*(1+'Inputs'!$B$14)^(A16-1)</s:f>
        <s:v>34462.776121311355</s:v>
      </s:c>
      <s:c r="F16" s="5">
        <s:f>D16*'Inputs'!$B$13</s:f>
        <s:v>38932.38515013746</s:v>
      </s:c>
      <s:c r="G16" s="5">
        <s:f>D16-E16-F16</s:f>
        <s:v>121266.76447923847</s:v>
      </s:c>
      <s:c r="H16" s="5">
        <s:f>'Inputs'!$B$21*(1+'Inputs'!$B$22)^(A16-1)</s:f>
        <s:v>13785.110448524543</s:v>
      </s:c>
      <s:c r="I16" s="2" t="n">
        <s:v>0</s:v>
      </s:c>
      <s:c r="J16" s="5">
        <s:f>G16-H16+I16</s:f>
        <s:v>107481.65403071392</s:v>
      </s:c>
      <s:c r="K16" s="5">
        <s:f>J16/(1+'Inputs'!$B$15)^A16</s:f>
        <s:v>44508.17964663723</s:v>
      </s:c>
      <s:c r="L16" s="5">
        <s:f>L15+G16-H16</s:f>
        <s:v>-1665100.7787352332</s:v>
      </s:c>
    </s:row>
    <s:row r="17">
      <s:c r="A17" s="2" t="n">
        <s:v>15</s:v>
      </s:c>
      <s:c r="B17" s="5">
        <s:f>'Inputs'!$B$9*(1+'Inputs'!$B$11)^(A17-1)</s:f>
        <s:v>725.7133196845798</s:v>
      </s:c>
      <s:c r="C17" s="5">
        <s:f>'Inputs'!$B$10</s:f>
        <s:v>0.95</s:v>
      </s:c>
      <s:c r="D17" s="5">
        <s:f>'Inputs'!$B$2*12*B17*C17</s:f>
        <s:v>198555.16426570102</s:v>
      </s:c>
      <s:c r="E17" s="5">
        <s:f>'Inputs'!$B$12*(1+'Inputs'!$B$14)^(A17-1)</s:f>
        <s:v>35324.34552434414</s:v>
      </s:c>
      <s:c r="F17" s="5">
        <s:f>D17*'Inputs'!$B$13</s:f>
        <s:v>39711.032853140205</s:v>
      </s:c>
      <s:c r="G17" s="5">
        <s:f>D17-E17-F17</s:f>
        <s:v>123519.78588821669</s:v>
      </s:c>
      <s:c r="H17" s="5">
        <s:f>'Inputs'!$B$21*(1+'Inputs'!$B$22)^(A17-1)</s:f>
        <s:v>14129.738209737658</s:v>
      </s:c>
      <s:c r="I17" s="2" t="n">
        <s:v>0</s:v>
      </s:c>
      <s:c r="J17" s="5">
        <s:f>G17-H17+I17</s:f>
        <s:v>109390.04767847904</s:v>
      </s:c>
      <s:c r="K17" s="5">
        <s:f>J17/(1+'Inputs'!$B$15)^A17</s:f>
        <s:v>42533.752047391245</s:v>
      </s:c>
      <s:c r="L17" s="5">
        <s:f>L16+G17-H17</s:f>
        <s:v>-1555710.7310567542</s:v>
      </s:c>
    </s:row>
    <s:row r="18">
      <s:c r="A18" s="2" t="n">
        <s:v>16</s:v>
      </s:c>
      <s:c r="B18" s="5">
        <s:f>'Inputs'!$B$9*(1+'Inputs'!$B$11)^(A18-1)</s:f>
        <s:v>740.2275860782714</s:v>
      </s:c>
      <s:c r="C18" s="5">
        <s:f>'Inputs'!$B$10</s:f>
        <s:v>0.95</s:v>
      </s:c>
      <s:c r="D18" s="5">
        <s:f>'Inputs'!$B$2*12*B18*C18</s:f>
        <s:v>202526.26755101504</s:v>
      </s:c>
      <s:c r="E18" s="5">
        <s:f>'Inputs'!$B$12*(1+'Inputs'!$B$14)^(A18-1)</s:f>
        <s:v>36207.45416245274</s:v>
      </s:c>
      <s:c r="F18" s="5">
        <s:f>D18*'Inputs'!$B$13</s:f>
        <s:v>40505.25351020301</s:v>
      </s:c>
      <s:c r="G18" s="5">
        <s:f>D18-E18-F18</s:f>
        <s:v>125813.55987835929</s:v>
      </s:c>
      <s:c r="H18" s="5">
        <s:f>'Inputs'!$B$21*(1+'Inputs'!$B$22)^(A18-1)</s:f>
        <s:v>14482.981664981096</s:v>
      </s:c>
      <s:c r="I18" s="2" t="n">
        <s:v>0</s:v>
      </s:c>
      <s:c r="J18" s="5">
        <s:f>G18-H18+I18</s:f>
        <s:v>111330.57821337819</s:v>
      </s:c>
      <s:c r="K18" s="5">
        <s:f>J18/(1+'Inputs'!$B$15)^A18</s:f>
        <s:v>40646.27398201885</s:v>
      </s:c>
      <s:c r="L18" s="5">
        <s:f>L17+G18-H18</s:f>
        <s:v>-1444380.152843376</s:v>
      </s:c>
    </s:row>
    <s:row r="19">
      <s:c r="A19" s="2" t="n">
        <s:v>17</s:v>
      </s:c>
      <s:c r="B19" s="5">
        <s:f>'Inputs'!$B$9*(1+'Inputs'!$B$11)^(A19-1)</s:f>
        <s:v>755.0321377998368</s:v>
      </s:c>
      <s:c r="C19" s="5">
        <s:f>'Inputs'!$B$10</s:f>
        <s:v>0.95</s:v>
      </s:c>
      <s:c r="D19" s="5">
        <s:f>'Inputs'!$B$2*12*B19*C19</s:f>
        <s:v>206576.79290203535</s:v>
      </s:c>
      <s:c r="E19" s="5">
        <s:f>'Inputs'!$B$12*(1+'Inputs'!$B$14)^(A19-1)</s:f>
        <s:v>37112.64051651405</s:v>
      </s:c>
      <s:c r="F19" s="5">
        <s:f>D19*'Inputs'!$B$13</s:f>
        <s:v>41315.358580407075</s:v>
      </s:c>
      <s:c r="G19" s="5">
        <s:f>D19-E19-F19</s:f>
        <s:v>128148.79380511423</s:v>
      </s:c>
      <s:c r="H19" s="5">
        <s:f>'Inputs'!$B$21*(1+'Inputs'!$B$22)^(A19-1)</s:f>
        <s:v>14845.056206605623</s:v>
      </s:c>
      <s:c r="I19" s="2" t="n">
        <s:v>0</s:v>
      </s:c>
      <s:c r="J19" s="5">
        <s:f>G19-H19+I19</s:f>
        <s:v>113303.7375985086</s:v>
      </s:c>
      <s:c r="K19" s="5">
        <s:f>J19/(1+'Inputs'!$B$15)^A19</s:f>
        <s:v>38841.93920671901</s:v>
      </s:c>
      <s:c r="L19" s="5">
        <s:f>L18+G19-H19</s:f>
        <s:v>-1331076.4152448673</s:v>
      </s:c>
    </s:row>
    <s:row r="20">
      <s:c r="A20" s="2" t="n">
        <s:v>18</s:v>
      </s:c>
      <s:c r="B20" s="5">
        <s:f>'Inputs'!$B$9*(1+'Inputs'!$B$11)^(A20-1)</s:f>
        <s:v>770.1327805558336</s:v>
      </s:c>
      <s:c r="C20" s="5">
        <s:f>'Inputs'!$B$10</s:f>
        <s:v>0.95</s:v>
      </s:c>
      <s:c r="D20" s="5">
        <s:f>'Inputs'!$B$2*12*B20*C20</s:f>
        <s:v>210708.32876007608</s:v>
      </s:c>
      <s:c r="E20" s="5">
        <s:f>'Inputs'!$B$12*(1+'Inputs'!$B$14)^(A20-1)</s:f>
        <s:v>38040.456529426905</s:v>
      </s:c>
      <s:c r="F20" s="5">
        <s:f>D20*'Inputs'!$B$13</s:f>
        <s:v>42141.66575201522</s:v>
      </s:c>
      <s:c r="G20" s="5">
        <s:f>D20-E20-F20</s:f>
        <s:v>130526.20647863395</s:v>
      </s:c>
      <s:c r="H20" s="5">
        <s:f>'Inputs'!$B$21*(1+'Inputs'!$B$22)^(A20-1)</s:f>
        <s:v>15216.18261177076</s:v>
      </s:c>
      <s:c r="I20" s="2" t="n">
        <s:v>0</s:v>
      </s:c>
      <s:c r="J20" s="5">
        <s:f>G20-H20+I20</s:f>
        <s:v>115310.0238668632</s:v>
      </s:c>
      <s:c r="K20" s="5">
        <s:f>J20/(1+'Inputs'!$B$15)^A20</s:f>
        <s:v>37117.10727465256</s:v>
      </s:c>
      <s:c r="L20" s="5">
        <s:f>L19+G20-H20</s:f>
        <s:v>-1215766.391378004</s:v>
      </s:c>
    </s:row>
    <s:row r="21">
      <s:c r="A21" s="2" t="n">
        <s:v>19</s:v>
      </s:c>
      <s:c r="B21" s="5">
        <s:f>'Inputs'!$B$9*(1+'Inputs'!$B$11)^(A21-1)</s:f>
        <s:v>785.5354361669504</s:v>
      </s:c>
      <s:c r="C21" s="5">
        <s:f>'Inputs'!$B$10</s:f>
        <s:v>0.95</s:v>
      </s:c>
      <s:c r="D21" s="5">
        <s:f>'Inputs'!$B$2*12*B21*C21</s:f>
        <s:v>214922.4953352776</s:v>
      </s:c>
      <s:c r="E21" s="5">
        <s:f>'Inputs'!$B$12*(1+'Inputs'!$B$14)^(A21-1)</s:f>
        <s:v>38991.46794266257</s:v>
      </s:c>
      <s:c r="F21" s="5">
        <s:f>D21*'Inputs'!$B$13</s:f>
        <s:v>42984.49906705553</s:v>
      </s:c>
      <s:c r="G21" s="5">
        <s:f>D21-E21-F21</s:f>
        <s:v>132946.5283255595</s:v>
      </s:c>
      <s:c r="H21" s="5">
        <s:f>'Inputs'!$B$21*(1+'Inputs'!$B$22)^(A21-1)</s:f>
        <s:v>15596.587177065028</s:v>
      </s:c>
      <s:c r="I21" s="2" t="n">
        <s:v>0</s:v>
      </s:c>
      <s:c r="J21" s="5">
        <s:f>G21-H21+I21</s:f>
        <s:v>117349.94114849449</s:v>
      </s:c>
      <s:c r="K21" s="5">
        <s:f>J21/(1+'Inputs'!$B$15)^A21</s:f>
        <s:v>35468.29634377919</s:v>
      </s:c>
      <s:c r="L21" s="5">
        <s:f>L20+G21-H21</s:f>
        <s:v>-1098416.4502295095</s:v>
      </s:c>
    </s:row>
    <s:row r="22">
      <s:c r="A22" s="2" t="n">
        <s:v>20</s:v>
      </s:c>
      <s:c r="B22" s="5">
        <s:f>'Inputs'!$B$9*(1+'Inputs'!$B$11)^(A22-1)</s:f>
        <s:v>801.2461448902893</s:v>
      </s:c>
      <s:c r="C22" s="5">
        <s:f>'Inputs'!$B$10</s:f>
        <s:v>0.95</s:v>
      </s:c>
      <s:c r="D22" s="5">
        <s:f>'Inputs'!$B$2*12*B22*C22</s:f>
        <s:v>219220.94524198317</s:v>
      </s:c>
      <s:c r="E22" s="5">
        <s:f>'Inputs'!$B$12*(1+'Inputs'!$B$14)^(A22-1)</s:f>
        <s:v>39966.254641229134</s:v>
      </s:c>
      <s:c r="F22" s="5">
        <s:f>D22*'Inputs'!$B$13</s:f>
        <s:v>43844.189048396634</s:v>
      </s:c>
      <s:c r="G22" s="5">
        <s:f>D22-E22-F22</s:f>
        <s:v>135410.5015523574</s:v>
      </s:c>
      <s:c r="H22" s="5">
        <s:f>'Inputs'!$B$21*(1+'Inputs'!$B$22)^(A22-1)</s:f>
        <s:v>15986.501856491654</s:v>
      </s:c>
      <s:c r="I22" s="5">
        <s:f>((D22*(1+'Inputs'!$B$11))-(E22*(1+'Inputs'!$B$14))-(F22*(1+'Inputs'!$B$11)))/'Inputs'!$B$16*(1-'Inputs'!$B$17)</s:f>
        <s:v>2432387.525470772</s:v>
      </s:c>
      <s:c r="J22" s="5">
        <s:f>G22-H22+I22</s:f>
        <s:v>2551811.5251666377</s:v>
      </s:c>
      <s:c r="K22" s="5">
        <s:f>J22/(1+'Inputs'!$B$15)^A22</s:f>
        <s:v>724196.5292097284</s:v>
      </s:c>
      <s:c r="L22" s="5">
        <s:f>L21+G22-H22</s:f>
        <s:v>-978992.4505336438</s:v>
      </s:c>
    </s:row>
  </s:sheetData>
  <s:autoFilter ref="A1:L22"/>
  <s:pageMargins left="0.75" right="0.75" top="1" bottom="1" header="0.5" footer="0.5"/>
</s:worksheet>
</file>

<file path=xl/worksheets/sheet5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C12"/>
  <s:sheetViews>
    <s:sheetView workbookViewId="0">
      <s:pane xSplit="1" ySplit="1" topLeftCell="B2" activePane="bottomRight" state="frozen"/>
      <s:selection pane="topRight"/>
      <s:selection pane="bottomLeft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</s:sheetView>
  </s:sheetViews>
  <s:sheetFormatPr baseColWidth="8" defaultRowHeight="15"/>
  <s:cols>
    <s:col width="34" customWidth="1" min="1" max="1"/>
    <s:col width="48" customWidth="1" min="2" max="2"/>
    <s:col width="48" customWidth="1" min="3" max="3"/>
  </s:cols>
  <s:sheetData>
    <s:row r="1">
      <s:c r="A1" s="1" t="inlineStr">
        <s:is>
          <s:t>Metric</s:t>
        </s:is>
      </s:c>
      <s:c r="B1" s="1" t="inlineStr">
        <s:is>
          <s:t>Value</s:t>
        </s:is>
      </s:c>
      <s:c r="C1" s="1" t="inlineStr">
        <s:is>
          <s:t>Interpretation</s:t>
        </s:is>
      </s:c>
    </s:row>
    <s:row r="2" ht="55" customHeight="1">
      <s:c r="A2" s="2" t="inlineStr">
        <s:is>
          <s:t>Initial investment</s:t>
        </s:is>
      </s:c>
      <s:c r="B2" s="5">
        <s:f>'Investment'!B8</s:f>
        <s:v>2984600.0</s:v>
      </s:c>
      <s:c r="C2" s="2" t="inlineStr">
        <s:is>
          <s:t>All-in cash outlay at year 0</s:t>
        </s:is>
      </s:c>
    </s:row>
    <s:row r="3" ht="55" customHeight="1">
      <s:c r="A3" s="2" t="inlineStr">
        <s:is>
          <s:t>20-year NPV</s:t>
        </s:is>
      </s:c>
      <s:c r="B3" s="5">
        <s:f>SUM('Cash flow'!K2:K22)</s:f>
        <s:v>-1239139.4491415757</s:v>
      </s:c>
      <s:c r="C3" s="2" t="inlineStr">
        <s:is>
          <s:t>Includes resale; positive required for financial acceptance</s:t>
        </s:is>
      </s:c>
    </s:row>
    <s:row r="4" ht="55" customHeight="1">
      <s:c r="A4" s="2" t="inlineStr">
        <s:is>
          <s:t>Project IRR</s:t>
        </s:is>
      </s:c>
      <s:c r="B4" s="6">
        <s:f>IRR('Cash flow'!J2:J22)</s:f>
        <s:v>0.025799788069299612</s:v>
      </s:c>
      <s:c r="C4" s="2" t="inlineStr">
        <s:is>
          <s:t>Unlevered, before income/corporate tax</s:t>
        </s:is>
      </s:c>
    </s:row>
    <s:row r="5" ht="55" customHeight="1">
      <s:c r="A5" s="2" t="inlineStr">
        <s:is>
          <s:t>Year 2 net operating income</s:t>
        </s:is>
      </s:c>
      <s:c r="B5" s="5">
        <s:f>'Cash flow'!G4</s:f>
        <s:v>97166.68000000001</s:v>
      </s:c>
      <s:c r="C5" s="2" t="inlineStr">
        <s:is>
          <s:t>Before replacement capex and financing</s:t>
        </s:is>
      </s:c>
    </s:row>
    <s:row r="6" ht="55" customHeight="1">
      <s:c r="A6" s="2" t="inlineStr">
        <s:is>
          <s:t>Year 2 net cash yield</s:t>
        </s:is>
      </s:c>
      <s:c r="B6" s="6">
        <s:f>('Cash flow'!G4-'Cash flow'!H4)/B2</s:f>
        <s:v>0.02912171815318636</s:v>
      </s:c>
      <s:c r="C6" s="2" t="inlineStr">
        <s:is>
          <s:t>Annual operating cash / initial investment</s:t>
        </s:is>
      </s:c>
    </s:row>
    <s:row r="7" ht="55" customHeight="1">
      <s:c r="A7" s="2" t="inlineStr">
        <s:is>
          <s:t>Simple operating payback</s:t>
        </s:is>
      </s:c>
      <s:c r="B7" s="5" t="str">
        <s:f>IF('Cash flow'!L22&lt;0,"Not reached in 20 years",COUNTIF('Cash flow'!L3:L22,"&lt;0")+1)</s:f>
        <s:v>Not reached in 20 years</s:v>
      </s:c>
      <s:c r="C7" s="2" t="inlineStr">
        <s:is>
          <s:t>Whole-year approximation; excludes resale</s:t>
        </s:is>
      </s:c>
    </s:row>
    <s:row r="8" ht="55" customHeight="1">
      <s:c r="A8" s="2" t="inlineStr">
        <s:is>
          <s:t>Monthly tenant housing cost</s:t>
        </s:is>
      </s:c>
      <s:c r="B8" s="5">
        <s:f>'Inputs'!$B$9+'Inputs'!$B$19/12</s:f>
        <s:v>650.0</s:v>
      </s:c>
      <s:c r="C8" s="2" t="inlineStr">
        <s:is>
          <s:t>Rent plus utilities</s:t>
        </s:is>
      </s:c>
    </s:row>
    <s:row r="9" ht="55" customHeight="1">
      <s:c r="A9" s="2" t="inlineStr">
        <s:is>
          <s:t>Housing share of student budget</s:t>
        </s:is>
      </s:c>
      <s:c r="B9" s="6">
        <s:f>B8/'Inputs'!$B$20</s:f>
        <s:v>0.5</s:v>
      </s:c>
      <s:c r="C9" s="2" t="inlineStr">
        <s:is>
          <s:t>Illustrative budget; compare affordability</s:t>
        </s:is>
      </s:c>
    </s:row>
    <s:row r="10" ht="55" customHeight="1">
      <s:c r="A10" s="2" t="inlineStr">
        <s:is>
          <s:t>Terminal PV share of benefits</s:t>
        </s:is>
      </s:c>
      <s:c r="B10" s="6">
        <s:f>'Cash flow'!I22/(1+'Inputs'!B15)^20/(SUM('Cash flow'!K3:K22))</s:f>
        <s:v>0.39548550815120675</s:v>
      </s:c>
      <s:c r="C10" s="2" t="inlineStr">
        <s:is>
          <s:t>Sensitivity to resale assumptions</s:t>
        </s:is>
      </s:c>
    </s:row>
    <s:row r="11" ht="55" customHeight="1">
      <s:c r="A11" s="2" t="inlineStr">
        <s:is>
          <s:t>Break-even purchase price</s:t>
        </s:is>
      </s:c>
      <s:c r="B11" s="5">
        <s:f>MAX(0,('Inputs'!B3*(1+'Inputs'!B4)+B3)/(1+'Inputs'!B4))</s:f>
        <s:v>698542.7118741549</s:v>
      </s:c>
      <s:c r="C11" s="2" t="inlineStr">
        <s:is>
          <s:t>NPV=0 holding rent, costs and exit yield fixed; negotiation screen</s:t>
        </s:is>
      </s:c>
    </s:row>
    <s:row r="12" ht="55" customHeight="1">
      <s:c r="A12" s="2" t="inlineStr">
        <s:is>
          <s:t>Break-even purchase price</s:t>
        </s:is>
      </s:c>
      <s:c r="B12" s="5">
        <s:f>MAX(0,('Inputs'!B3*(1+'Inputs'!B4)+B3)/(1+'Inputs'!B4))</s:f>
        <s:v>698542.7118741549</s:v>
      </s:c>
      <s:c r="C12" s="2" t="inlineStr">
        <s:is>
          <s:t>NPV=0 holding rent, costs and exit yield fixed; negotiation screen</s:t>
        </s:is>
      </s:c>
    </s:row>
  </s:sheetData>
  <s:autoFilter ref="A1:C12"/>
  <s:pageMargins left="0.75" right="0.75" top="1" bottom="1" header="0.5" footer="0.5"/>
  <s:drawing r:id="rId1"/>
</s:worksheet>
</file>

<file path=xl/worksheets/sheet6.xml><?xml version="1.0" encoding="utf-8"?>
<s:worksheet xmlns:s="http://schemas.openxmlformats.org/spreadsheetml/2006/main">
  <s:sheetPr>
    <s:outlinePr summaryBelow="1" summaryRight="1"/>
    <s:pageSetUpPr/>
  </s:sheetPr>
  <s:dimension ref="A1:B27"/>
  <s:sheetViews>
    <s:sheetView workbookViewId="0">
      <s:pane xSplit="1" ySplit="1" topLeftCell="B2" activePane="bottomRight" state="frozen"/>
      <s:selection pane="topRight"/>
      <s:selection pane="bottomLeft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</s:sheetView>
  </s:sheetViews>
  <s:sheetFormatPr baseColWidth="8" defaultRowHeight="15"/>
  <s:cols>
    <s:col width="34" customWidth="1" min="1" max="1"/>
    <s:col width="48" customWidth="1" min="2" max="2"/>
  </s:cols>
  <s:sheetData>
    <s:row r="1">
      <s:c r="A1" s="1" t="inlineStr">
        <s:is>
          <s:t>Executive report — screening recommendation</s:t>
        </s:is>
      </s:c>
      <s:c r="B1" s="1" t="n"/>
    </s:row>
    <s:row r="2" ht="55" customHeight="1">
      <s:c r="A2" s="2" t="inlineStr">
        <s:is>
          <s:t>Proposal</s:t>
        </s:is>
      </s:c>
      <s:c r="B2" s="2" t="inlineStr">
        <s:is>
          <s:t>Acquire and renovate an existing 24-room building within walking/cycling distance of VUB/ULB and a frequent tram, metro or rail connection.</s:t>
        </s:is>
      </s:c>
    </s:row>
    <s:row r="3" ht="55" customHeight="1">
      <s:c r="A3" s="2" t="inlineStr">
        <s:is>
          <s:t>Recommendation</s:t>
        </s:is>
      </s:c>
      <s:c r="B3" s="2" t="inlineStr">
        <s:is>
          <s:t>Conditional due diligence only. Financial feasibility must be demonstrated after quotes and site checks.</s:t>
        </s:is>
      </s:c>
    </s:row>
    <s:row r="4" ht="55" customHeight="1">
      <s:c r="A4" s="2" t="inlineStr">
        <s:is>
          <s:t>Financial approach</s:t>
        </s:is>
      </s:c>
      <s:c r="B4" s="2" t="inlineStr">
        <s:is>
          <s:t>20-year nominal unlevered DCF with full acquisition costs, renovation, contingency, annual replacement capex and terminal sale.</s:t>
        </s:is>
      </s:c>
    </s:row>
    <s:row r="5" ht="55" customHeight="1">
      <s:c r="A5" s="2" t="inlineStr">
        <s:is>
          <s:t>Environmental</s:t>
        </s:is>
      </s:c>
      <s:c r="B5" s="2" t="inlineStr">
        <s:is>
          <s:t>Reuse the existing structure; verify PEB, insulation, heat pumps, ventilation, flood risk, bicycle provision and metered utilities.</s:t>
        </s:is>
      </s:c>
    </s:row>
    <s:row r="6" ht="55" customHeight="1">
      <s:c r="A6" s="2" t="inlineStr">
        <s:is>
          <s:t>Economic</s:t>
        </s:is>
      </s:c>
      <s:c r="B6" s="2" t="inlineStr">
        <s:is>
          <s:t>Test rent against furnished student room comparables; tenant utilities shown separately. Contractor and furnishing costs are placeholders.</s:t>
        </s:is>
      </s:c>
    </s:row>
    <s:row r="7" ht="55" customHeight="1">
      <s:c r="A7" s="2" t="inlineStr">
        <s:is>
          <s:t>Social</s:t>
        </s:is>
      </s:c>
      <s:c r="B7" s="2" t="inlineStr">
        <s:is>
          <s:t>Balance student affordability, accessible rooms, quiet hours, neighbour engagement and safe routes to campus.</s:t>
        </s:is>
      </s:c>
    </s:row>
    <s:row r="8" ht="55" customHeight="1">
      <s:c r="A8" s="2" t="inlineStr">
        <s:is>
          <s:t>Legal</s:t>
        </s:is>
      </s:c>
      <s:c r="B8" s="2" t="inlineStr">
        <s:is>
          <s:t>Confirm planning use, number of units, fire approval, room habitability, lease conditions and municipal requirements before purchase.</s:t>
        </s:is>
      </s:c>
    </s:row>
    <s:row r="9" ht="55" customHeight="1">
      <s:c r="A9" s="2" t="inlineStr">
        <s:is>
          <s:t>Limitations</s:t>
        </s:is>
      </s:c>
      <s:c r="B9" s="2" t="inlineStr">
        <s:is>
          <s:t>No identified property; no debt or investor income tax. Cost and rent assumptions require verification.</s:t>
        </s:is>
      </s:c>
    </s:row>
    <s:row r="10" ht="55" customHeight="1">
      <s:c r="A10" s="2" t="inlineStr">
        <s:is>
          <s:t>Base-case results</s:t>
        </s:is>
      </s:c>
      <s:c r="B10" s="2" t="inlineStr">
        <s:is>
          <s:t>Investment EUR2,984,600; NPV EUR-1,239,139; IRR 2.58%; operating payback Not reached in 20 years; housing EUR650/month.</s:t>
        </s:is>
      </s:c>
    </s:row>
    <s:row r="11" ht="55" customHeight="1">
      <s:c r="A11" s="2" t="inlineStr">
        <s:is>
          <s:t>Financial decision</s:t>
        </s:is>
      </s:c>
      <s:c r="B11" s="2" t="inlineStr">
        <s:is>
          <s:t>Reject acquisition at the assumed price: negative NPV. Renegotiate price, reduce construction costs or seek a transparent subsidy; do not rely on raising rent above affordability limits.</s:t>
        </s:is>
      </s:c>
    </s:row>
    <s:row r="12" ht="55" customHeight="1">
      <s:c r="A12" s="2" t="inlineStr">
        <s:is>
          <s:t>Scenario outcomes</s:t>
        </s:is>
      </s:c>
      <s:c r="B12" s="2" t="inlineStr">
        <s:is>
          <s:t>Downside: NPV EUR-2,113,270, IRR -0.52%; Base: NPV EUR-1,239,139, IRR 2.58%; Upside: NPV EUR-608,250, IRR 4.27%</s:t>
        </s:is>
      </s:c>
    </s:row>
    <s:row r="13" ht="55" customHeight="1">
      <s:c r="A13" s="2" t="inlineStr">
        <s:is>
          <s:t>Affordability</s:t>
        </s:is>
      </s:c>
      <s:c r="B13" s="2" t="inlineStr">
        <s:is>
          <s:t>EUR650 total is 50% of the illustrative EUR1300 budget. This is a concern despite being within the broad ULB room-cost range. Subsidised university rooms are cheaper.</s:t>
        </s:is>
      </s:c>
    </s:row>
    <s:row r="14" ht="55" customHeight="1">
      <s:c r="A14" s="2" t="inlineStr">
        <s:is>
          <s:t>Preferred search area</s:t>
        </s:is>
      </s:c>
      <s:c r="B14" s="2" t="inlineStr">
        <s:is>
          <s:t>Prioritise the Etterbeek station / Petillon / La Plaine corridor for VUB/ULB access. Compare Ixelles cemetery and Solbosch alternatives using address-specific quotes and walking routes. Matrix scores are illustrative.</s:t>
        </s:is>
      </s:c>
    </s:row>
    <s:row r="15" ht="55" customHeight="1">
      <s:c r="A15" s="2" t="inlineStr">
        <s:is>
          <s:t>Investment gates</s:t>
        </s:is>
      </s:c>
      <s:c r="B15" s="2" t="inlineStr">
        <s:is>
          <s:t>Positive NPV at the chosen return, validated demand at an affordable rent, confirmed planning/fire/housing compliance, and a funded PEB retrofit. All legal gates remain unverified.</s:t>
        </s:is>
      </s:c>
    </s:row>
    <s:row r="16" ht="55" customHeight="1">
      <s:c r="A16" s="2" t="inlineStr">
        <s:is>
          <s:t>Presentation sequence</s:t>
        </s:is>
      </s:c>
      <s:c r="B16" s="2" t="inlineStr">
        <s:is>
          <s:t>1. Need and location; 2. Assumptions and sources; 3. Costs and cash flow; 4. Scenarios; 5. Environmental/social tradeoffs; 6. Legal gates and conditional decision.</s:t>
        </s:is>
      </s:c>
    </s:row>
    <s:row r="17" ht="55" customHeight="1">
      <s:c r="A17" s="2" t="inlineStr">
        <s:is>
          <s:t>Next 4–8 weeks</s:t>
        </s:is>
      </s:c>
      <s:c r="B17" s="2" t="inlineStr">
        <s:is>
          <s:t>Shortlist addresses; obtain planning records and fire advice; commission energy/building surveys; get contractor/notary quotes; collect comparable rents and student budgets. Do not contact sellers or authorities on behalf of the team without separate instruction.</s:t>
        </s:is>
      </s:c>
    </s:row>
    <s:row r="18" ht="55" customHeight="1">
      <s:c r="A18" s="2" t="inlineStr">
        <s:is>
          <s:t>Negotiation screen</s:t>
        </s:is>
      </s:c>
      <s:c r="B18" s="2" t="inlineStr">
        <s:is>
          <s:t>Break-even purchase price approximately EUR698,543, holding all other base assumptions fixed.</s:t>
        </s:is>
      </s:c>
    </s:row>
    <s:row r="19" ht="55" customHeight="1">
      <s:c r="A19" s="2" t="inlineStr">
        <s:is>
          <s:t>Base-case results</s:t>
        </s:is>
      </s:c>
      <s:c r="B19" s="2" t="inlineStr">
        <s:is>
          <s:t>Investment EUR2,984,600; NPV EUR-1,239,139; IRR 2.58%; operating payback Not reached in 20 years; housing EUR650/month.</s:t>
        </s:is>
      </s:c>
    </s:row>
    <s:row r="20" ht="55" customHeight="1">
      <s:c r="A20" s="2" t="inlineStr">
        <s:is>
          <s:t>Financial decision</s:t>
        </s:is>
      </s:c>
      <s:c r="B20" s="2" t="inlineStr">
        <s:is>
          <s:t>Reject acquisition at the assumed price: negative NPV. Renegotiate price, reduce construction costs or seek a transparent subsidy; do not rely on raising rent above affordability limits.</s:t>
        </s:is>
      </s:c>
    </s:row>
    <s:row r="21" ht="55" customHeight="1">
      <s:c r="A21" s="2" t="inlineStr">
        <s:is>
          <s:t>Scenario outcomes</s:t>
        </s:is>
      </s:c>
      <s:c r="B21" s="2" t="inlineStr">
        <s:is>
          <s:t>Downside: NPV EUR-2,113,270, IRR -0.52%; Base: NPV EUR-1,239,139, IRR 2.58%; Upside: NPV EUR-608,250, IRR 4.27%</s:t>
        </s:is>
      </s:c>
    </s:row>
    <s:row r="22" ht="55" customHeight="1">
      <s:c r="A22" s="2" t="inlineStr">
        <s:is>
          <s:t>Affordability</s:t>
        </s:is>
      </s:c>
      <s:c r="B22" s="2" t="inlineStr">
        <s:is>
          <s:t>EUR650 total is 50% of the illustrative EUR1300 budget. This is a concern despite being within the broad ULB room-cost range. Subsidised university rooms are cheaper.</s:t>
        </s:is>
      </s:c>
    </s:row>
    <s:row r="23" ht="55" customHeight="1">
      <s:c r="A23" s="2" t="inlineStr">
        <s:is>
          <s:t>Preferred search area</s:t>
        </s:is>
      </s:c>
      <s:c r="B23" s="2" t="inlineStr">
        <s:is>
          <s:t>Prioritise the Etterbeek station / Petillon / La Plaine corridor for VUB/ULB access. Compare Ixelles cemetery and Solbosch alternatives using address-specific quotes and walking routes. Matrix scores are illustrative.</s:t>
        </s:is>
      </s:c>
    </s:row>
    <s:row r="24" ht="55" customHeight="1">
      <s:c r="A24" s="2" t="inlineStr">
        <s:is>
          <s:t>Investment gates</s:t>
        </s:is>
      </s:c>
      <s:c r="B24" s="2" t="inlineStr">
        <s:is>
          <s:t>Positive NPV at the chosen return, validated demand at an affordable rent, confirmed planning/fire/housing compliance, and a funded PEB retrofit. All legal gates remain unverified.</s:t>
        </s:is>
      </s:c>
    </s:row>
    <s:row r="25" ht="55" customHeight="1">
      <s:c r="A25" s="2" t="inlineStr">
        <s:is>
          <s:t>Presentation sequence</s:t>
        </s:is>
      </s:c>
      <s:c r="B25" s="2" t="inlineStr">
        <s:is>
          <s:t>1. Need and location; 2. Assumptions and sources; 3. Costs and cash flow; 4. Scenarios; 5. Environmental/social tradeoffs; 6. Legal gates and conditional decision.</s:t>
        </s:is>
      </s:c>
    </s:row>
    <s:row r="26" ht="55" customHeight="1">
      <s:c r="A26" s="2" t="inlineStr">
        <s:is>
          <s:t>Next 4–8 weeks</s:t>
        </s:is>
      </s:c>
      <s:c r="B26" s="2" t="inlineStr">
        <s:is>
          <s:t>Shortlist addresses; obtain planning records and fire advice; commission energy/building surveys; get contractor/notary quotes; collect comparable rents and student budgets. Do not contact sellers or authorities on behalf of the team without separate instruction.</s:t>
        </s:is>
      </s:c>
    </s:row>
    <s:row r="27" ht="55" customHeight="1">
      <s:c r="A27" s="2" t="inlineStr">
        <s:is>
          <s:t>Negotiation screen</s:t>
        </s:is>
      </s:c>
      <s:c r="B27" s="2" t="inlineStr">
        <s:is>
          <s:t>Break-even purchase price approximately EUR698,543, holding all other base assumptions fixed.</s:t>
        </s:is>
      </s:c>
    </s:row>
  </s:sheetData>
  <s:autoFilter ref="A1:B27"/>
  <s:pageMargins left="0.75" right="0.75" top="1" bottom="1" header="0.5" footer="0.5"/>
</s:worksheet>
</file>

<file path=xl/worksheets/sheet7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E13"/>
  <s:sheetViews>
    <s:sheetView workbookViewId="0">
      <s:pane xSplit="1" ySplit="1" topLeftCell="B2" activePane="bottomRight" state="frozen"/>
      <s:selection pane="topRight"/>
      <s:selection pane="bottomLeft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</s:sheetView>
  </s:sheetViews>
  <s:sheetFormatPr baseColWidth="8" defaultRowHeight="15"/>
  <s:cols>
    <s:col width="34" customWidth="1" min="1" max="1"/>
    <s:col width="48" customWidth="1" min="2" max="2"/>
    <s:col width="48" customWidth="1" min="3" max="3"/>
    <s:col width="48" customWidth="1" min="4" max="4"/>
    <s:col width="48" customWidth="1" min="5" max="5"/>
  </s:cols>
  <s:sheetData>
    <s:row r="1">
      <s:c r="A1" s="1" t="inlineStr">
        <s:is>
          <s:t>ID</s:t>
        </s:is>
      </s:c>
      <s:c r="B1" s="1" t="inlineStr">
        <s:is>
          <s:t>Topic</s:t>
        </s:is>
      </s:c>
      <s:c r="C1" s="1" t="inlineStr">
        <s:is>
          <s:t>URL / source</s:t>
        </s:is>
      </s:c>
      <s:c r="D1" s="1" t="inlineStr">
        <s:is>
          <s:t>As-of / status</s:t>
        </s:is>
      </s:c>
      <s:c r="E1" s="1" t="inlineStr">
        <s:is>
          <s:t>Use in model</s:t>
        </s:is>
      </s:c>
    </s:row>
    <s:row r="2" ht="55" customHeight="1">
      <s:c r="A2" s="2" t="inlineStr">
        <s:is>
          <s:t>A1</s:t>
        </s:is>
      </s:c>
      <s:c r="B2" s="2" t="inlineStr">
        <s:is>
          <s:t>Acquisition duty</s:t>
        </s:is>
      </s:c>
      <s:c r="C2" s="7" t="inlineStr">
        <s:is>
          <s:t>https://be.brussels/fr/impots-financement/impots-et-taxes/fiscalite-immobiliere/droits-denregistrement/abattement-sur-les-droits-de-vente</s:t>
        </s:is>
      </s:c>
      <s:c r="D2" s="2" t="inlineStr">
        <s:is>
          <s:t>Live official page checked 2026-10-14</s:t>
        </s:is>
      </s:c>
      <s:c r="E2" s="2" t="inlineStr">
        <s:is>
          <s:t>12.5%; relief conditional, price ceiling EUR600000; no relief modelled</s:t>
        </s:is>
      </s:c>
    </s:row>
    <s:row r="3" ht="55" customHeight="1">
      <s:c r="A3" s="2" t="inlineStr">
        <s:is>
          <s:t>A2</s:t>
        </s:is>
      </s:c>
      <s:c r="B3" s="2" t="inlineStr">
        <s:is>
          <s:t>Market room cost</s:t>
        </s:is>
      </s:c>
      <s:c r="C3" s="7" t="inlineStr">
        <s:is>
          <s:t>https://www.ulb.be/fr/partir-ou-venir-en-echange/informations-pour-les-universites-partenaires</s:t>
        </s:is>
      </s:c>
      <s:c r="D3" s="2" t="inlineStr">
        <s:is>
          <s:t>Live university guidance checked 2026-10-14</s:t>
        </s:is>
      </s:c>
      <s:c r="E3" s="2" t="inlineStr">
        <s:is>
          <s:t>EUR500–680/month including charges; indicative, not property comparables</s:t>
        </s:is>
      </s:c>
    </s:row>
    <s:row r="4" ht="55" customHeight="1">
      <s:c r="A4" s="2" t="inlineStr">
        <s:is>
          <s:t>A3</s:t>
        </s:is>
      </s:c>
      <s:c r="B4" s="2" t="inlineStr">
        <s:is>
          <s:t>University residence comparator</s:t>
        </s:is>
      </s:c>
      <s:c r="C4" s="7" t="inlineStr">
        <s:is>
          <s:t>https://www.ulb.be/medias/fichier/de-brouckere-2026-2027_1772020187753-pdf</s:t>
        </s:is>
      </s:c>
      <s:c r="D4" s="2" t="inlineStr">
        <s:is>
          <s:t>Academic year 2026–27</s:t>
        </s:is>
      </s:c>
      <s:c r="E4" s="2" t="inlineStr">
        <s:is>
          <s:t>EUR491 including EUR61 charges; 10-month lease; subsidised university comparator</s:t>
        </s:is>
      </s:c>
    </s:row>
    <s:row r="5" ht="55" customHeight="1">
      <s:c r="A5" s="2" t="inlineStr">
        <s:is>
          <s:t>A4</s:t>
        </s:is>
      </s:c>
      <s:c r="B5" s="2" t="inlineStr">
        <s:is>
          <s:t>Campus transport</s:t>
        </s:is>
      </s:c>
      <s:c r="C5" s="7" t="inlineStr">
        <s:is>
          <s:t>https://www.vub.be/nl/over-de-vub/faculteiten-instituten-en-campussen/onze-campussen/vub-main-campus-brussel/bereikbaarheid</s:t>
        </s:is>
      </s:c>
      <s:c r="D5" s="2" t="inlineStr">
        <s:is>
          <s:t>Live university page checked 2026-10-14</s:t>
        </s:is>
      </s:c>
      <s:c r="E5" s="2" t="inlineStr">
        <s:is>
          <s:t>Trams 7/25, metro 5 at Petillon, rail at Etterbeek; property walking times unverified</s:t>
        </s:is>
      </s:c>
    </s:row>
    <s:row r="6" ht="55" customHeight="1">
      <s:c r="A6" s="2" t="inlineStr">
        <s:is>
          <s:t>A5</s:t>
        </s:is>
      </s:c>
      <s:c r="B6" s="2" t="inlineStr">
        <s:is>
          <s:t>Housing standards</s:t>
        </s:is>
      </s:c>
      <s:c r="C6" s="7" t="inlineStr">
        <s:is>
          <s:t>https://be.brussels/fr/logement/location/conformite-logement/normes-et-securite</s:t>
        </s:is>
      </s:c>
      <s:c r="D6" s="2" t="inlineStr">
        <s:is>
          <s:t>Official page; new requirements from 2026-01-01</s:t>
        </s:is>
      </s:c>
      <s:c r="E6" s="2" t="inlineStr">
        <s:is>
          <s:t>Safety, sanitation, equipment; updated standards must be checked room by room</s:t>
        </s:is>
      </s:c>
    </s:row>
    <s:row r="7" ht="55" customHeight="1">
      <s:c r="A7" s="2" t="inlineStr">
        <s:is>
          <s:t>A6</s:t>
        </s:is>
      </s:c>
      <s:c r="B7" s="2" t="inlineStr">
        <s:is>
          <s:t>Student lease</s:t>
        </s:is>
      </s:c>
      <s:c r="C7" s="7" t="inlineStr">
        <s:is>
          <s:t>https://be.brussels/nl/huisvesting/huren-en-verhuren/huurovereenkomst/huurcontracten-voor-woningen-modellen-en-bijlage</s:t>
        </s:is>
      </s:c>
      <s:c r="D7" s="2" t="inlineStr">
        <s:is>
          <s:t>Live official page checked 2026-10-14</s:t>
        </s:is>
      </s:c>
      <s:c r="E7" s="2" t="inlineStr">
        <s:is>
          <s:t>Student status evidence; maximum 12-month student agreement</s:t>
        </s:is>
      </s:c>
    </s:row>
    <s:row r="8" ht="55" customHeight="1">
      <s:c r="A8" s="2" t="inlineStr">
        <s:is>
          <s:t>A7</s:t>
        </s:is>
      </s:c>
      <s:c r="B8" s="2" t="inlineStr">
        <s:is>
          <s:t>Etterbeek planning</s:t>
        </s:is>
      </s:c>
      <s:c r="C8" s="7" t="inlineStr">
        <s:is>
          <s:t>https://etterbeek.brussels/fr/demarches/espace-public-urbanisme/permis-durbanisme-demande</s:t>
        </s:is>
      </s:c>
      <s:c r="D8" s="2" t="inlineStr">
        <s:is>
          <s:t>Live municipal page checked 2026-10-14</s:t>
        </s:is>
      </s:c>
      <s:c r="E8" s="2" t="inlineStr">
        <s:is>
          <s:t>Municipal permission and use/unit changes; ask planning department about exact address</s:t>
        </s:is>
      </s:c>
    </s:row>
    <s:row r="9" ht="55" customHeight="1">
      <s:c r="A9" s="2" t="inlineStr">
        <s:is>
          <s:t>A8</s:t>
        </s:is>
      </s:c>
      <s:c r="B9" s="2" t="inlineStr">
        <s:is>
          <s:t>Ixelles planning</s:t>
        </s:is>
      </s:c>
      <s:c r="C9" s="7" t="inlineStr">
        <s:is>
          <s:t>https://www.ixelles.be/site/124-Urbanisme</s:t>
        </s:is>
      </s:c>
      <s:c r="D9" s="2" t="inlineStr">
        <s:is>
          <s:t>Live municipal page checked 2026-10-14</s:t>
        </s:is>
      </s:c>
      <s:c r="E9" s="2" t="inlineStr">
        <s:is>
          <s:t>PPAS and local planning procedure; check lawful existing use</s:t>
        </s:is>
      </s:c>
    </s:row>
    <s:row r="10" ht="55" customHeight="1">
      <s:c r="A10" s="2" t="inlineStr">
        <s:is>
          <s:t>A9</s:t>
        </s:is>
      </s:c>
      <s:c r="B10" s="2" t="inlineStr">
        <s:is>
          <s:t>Energy requirements</s:t>
        </s:is>
      </s:c>
      <s:c r="C10" s="7" t="inlineStr">
        <s:is>
          <s:t>https://environnement.brussels/pro/reglementation-et-inspection/obligations-et-autorisations/objectifs-peb-pour-chaque-bien-et-exigences-peb-en-cas-de-travaux</s:t>
        </s:is>
      </s:c>
      <s:c r="D10" s="2" t="inlineStr">
        <s:is>
          <s:t>Live regional environmental authority checked 2026-10-14</s:t>
        </s:is>
      </s:c>
      <s:c r="E10" s="2" t="inlineStr">
        <s:is>
          <s:t>PEB275 by 2033; PEB150 no earlier than 2045; verify unit scope and implementation</s:t>
        </s:is>
      </s:c>
    </s:row>
    <s:row r="11" ht="55" customHeight="1">
      <s:c r="A11" s="2" t="inlineStr">
        <s:is>
          <s:t>A10</s:t>
        </s:is>
      </s:c>
      <s:c r="B11" s="2" t="inlineStr">
        <s:is>
          <s:t>Social integration income</s:t>
        </s:is>
      </s:c>
      <s:c r="C11" s="7" t="inlineStr">
        <s:is>
          <s:t>https://primabook.mi-is.be/fr/droit-lintegration-sociale/montants-ris</s:t>
        </s:is>
      </s:c>
      <s:c r="D11" s="2" t="inlineStr">
        <s:is>
          <s:t>Effective 2026-09-01</s:t>
        </s:is>
      </s:c>
      <s:c r="E11" s="2" t="inlineStr">
        <s:is>
          <s:t>Monthly cohabitant EUR911.56; single EUR1367.34. Eligibility assessed by CPAS; not automatic student income</s:t>
        </s:is>
      </s:c>
    </s:row>
    <s:row r="12" ht="55" customHeight="1">
      <s:c r="A12" s="2" t="inlineStr">
        <s:is>
          <s:t>A11</s:t>
        </s:is>
      </s:c>
      <s:c r="B12" s="2" t="inlineStr">
        <s:is>
          <s:t>Student quality label</s:t>
        </s:is>
      </s:c>
      <s:c r="C12" s="7" t="inlineStr">
        <s:is>
          <s:t>https://be.brussels/fr/logement/location/conformite-logement/label-logement-etudiant</s:t>
        </s:is>
      </s:c>
      <s:c r="D12" s="2" t="inlineStr">
        <s:is>
          <s:t>Live regional page checked 2026-10-14</s:t>
        </s:is>
      </s:c>
      <s:c r="E12" s="2" t="inlineStr">
        <s:is>
          <s:t>Quality label supporting housing conformity, student lease and valid PEB</s:t>
        </s:is>
      </s:c>
    </s:row>
    <s:row r="13" ht="55" customHeight="1">
      <s:c r="A13" s="2" t="inlineStr">
        <s:is>
          <s:t>A12</s:t>
        </s:is>
      </s:c>
      <s:c r="B13" s="2" t="inlineStr">
        <s:is>
          <s:t>Lease registration</s:t>
        </s:is>
      </s:c>
      <s:c r="C13" s="7" t="inlineStr">
        <s:is>
          <s:t>https://be.brussels/fr/logement/location/bail-dhabitation</s:t>
        </s:is>
      </s:c>
      <s:c r="D13" s="2" t="inlineStr">
        <s:is>
          <s:t>Live official page checked 2026-10-14</s:t>
        </s:is>
      </s:c>
      <s:c r="E13" s="2" t="inlineStr">
        <s:is>
          <s:t>Register housing lease within two months; confirm applicable procedure</s:t>
        </s:is>
      </s:c>
    </s:row>
  </s:sheetData>
  <s:autoFilter ref="A1:E13"/>
  <s:hyperlinks>
    <s:hyperlink ref="C2" r:id="rId1"/>
    <s:hyperlink ref="C3" r:id="rId2"/>
    <s:hyperlink ref="C4" r:id="rId3"/>
    <s:hyperlink ref="C5" r:id="rId4"/>
    <s:hyperlink ref="C6" r:id="rId5"/>
    <s:hyperlink ref="C7" r:id="rId6"/>
    <s:hyperlink ref="C8" r:id="rId7"/>
    <s:hyperlink ref="C9" r:id="rId8"/>
    <s:hyperlink ref="C10" r:id="rId9"/>
    <s:hyperlink ref="C11" r:id="rId10"/>
    <s:hyperlink ref="C12" r:id="rId11"/>
    <s:hyperlink ref="C13" r:id="rId12"/>
  </s:hyperlinks>
  <s:pageMargins left="0.75" right="0.75" top="1" bottom="1" header="0.5" footer="0.5"/>
</s:worksheet>
</file>

<file path=xl/worksheets/sheet8.xml><?xml version="1.0" encoding="utf-8"?>
<s:worksheet xmlns:s="http://schemas.openxmlformats.org/spreadsheetml/2006/main">
  <s:sheetPr>
    <s:outlinePr summaryBelow="1" summaryRight="1"/>
    <s:pageSetUpPr/>
  </s:sheetPr>
  <s:dimension ref="A1:C8"/>
  <s:sheetViews>
    <s:sheetView workbookViewId="0">
      <s:pane xSplit="1" ySplit="1" topLeftCell="B2" activePane="bottomRight" state="frozen"/>
      <s:selection pane="topRight"/>
      <s:selection pane="bottomLeft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</s:sheetView>
  </s:sheetViews>
  <s:sheetFormatPr baseColWidth="8" defaultRowHeight="15"/>
  <s:cols>
    <s:col width="34" customWidth="1" min="1" max="1"/>
    <s:col width="48" customWidth="1" min="2" max="2"/>
    <s:col width="48" customWidth="1" min="3" max="3"/>
  </s:cols>
  <s:sheetData>
    <s:row r="1">
      <s:c r="A1" s="1" t="inlineStr">
        <s:is>
          <s:t>Area</s:t>
        </s:is>
      </s:c>
      <s:c r="B1" s="1" t="inlineStr">
        <s:is>
          <s:t>Required evidence</s:t>
        </s:is>
      </s:c>
      <s:c r="C1" s="1" t="inlineStr">
        <s:is>
          <s:t>Gate / action</s:t>
        </s:is>
      </s:c>
    </s:row>
    <s:row r="2" ht="55" customHeight="1">
      <s:c r="A2" s="2" t="inlineStr">
        <s:is>
          <s:t>Site</s:t>
        </s:is>
      </s:c>
      <s:c r="B2" s="2" t="inlineStr">
        <s:is>
          <s:t>Address, floor plans, cadastral records, transit walking time</s:t>
        </s:is>
      </s:c>
      <s:c r="C2" s="2" t="inlineStr">
        <s:is>
          <s:t>Select property and verify route on operator timetable</s:t>
        </s:is>
      </s:c>
    </s:row>
    <s:row r="3" ht="55" customHeight="1">
      <s:c r="A3" s="2" t="inlineStr">
        <s:is>
          <s:t>Planning</s:t>
        </s:is>
      </s:c>
      <s:c r="B3" s="2" t="inlineStr">
        <s:is>
          <s:t>Authorised use and subdivision; municipal planning advice</s:t>
        </s:is>
      </s:c>
      <s:c r="C3" s="2" t="inlineStr">
        <s:is>
          <s:t>Written confirmation before binding purchase</s:t>
        </s:is>
      </s:c>
    </s:row>
    <s:row r="4" ht="55" customHeight="1">
      <s:c r="A4" s="2" t="inlineStr">
        <s:is>
          <s:t>Fire</s:t>
        </s:is>
      </s:c>
      <s:c r="B4" s="2" t="inlineStr">
        <s:is>
          <s:t>SIAMU advice, evacuation routes, alarms and compartmentation</s:t>
        </s:is>
      </s:c>
      <s:c r="C4" s="2" t="inlineStr">
        <s:is>
          <s:t>Approval and contractor design</s:t>
        </s:is>
      </s:c>
    </s:row>
    <s:row r="5" ht="55" customHeight="1">
      <s:c r="A5" s="2" t="inlineStr">
        <s:is>
          <s:t>Habitation</s:t>
        </s:is>
      </s:c>
      <s:c r="B5" s="2" t="inlineStr">
        <s:is>
          <s:t>Surface, daylight, ventilation, sanitation and safety</s:t>
        </s:is>
      </s:c>
      <s:c r="C5" s="2" t="inlineStr">
        <s:is>
          <s:t>Assess each room against Brussels Housing Code</s:t>
        </s:is>
      </s:c>
    </s:row>
    <s:row r="6" ht="55" customHeight="1">
      <s:c r="A6" s="2" t="inlineStr">
        <s:is>
          <s:t>Energy</s:t>
        </s:is>
      </s:c>
      <s:c r="B6" s="2" t="inlineStr">
        <s:is>
          <s:t>PEB certificate, audit, bills, renovation estimates</s:t>
        </s:is>
      </s:c>
      <s:c r="C6" s="2" t="inlineStr">
        <s:is>
          <s:t>Costed retrofit and energy savings</s:t>
        </s:is>
      </s:c>
    </s:row>
    <s:row r="7" ht="55" customHeight="1">
      <s:c r="A7" s="2" t="inlineStr">
        <s:is>
          <s:t>Financial</s:t>
        </s:is>
      </s:c>
      <s:c r="B7" s="2" t="inlineStr">
        <s:is>
          <s:t>Three contractor quotes, notary estimate, market comparables</s:t>
        </s:is>
      </s:c>
      <s:c r="C7" s="2" t="inlineStr">
        <s:is>
          <s:t>Replace placeholders and rerun scenarios</s:t>
        </s:is>
      </s:c>
    </s:row>
    <s:row r="8" ht="55" customHeight="1">
      <s:c r="A8" s="2" t="inlineStr">
        <s:is>
          <s:t>Social</s:t>
        </s:is>
      </s:c>
      <s:c r="B8" s="2" t="inlineStr">
        <s:is>
          <s:t>Student budgets and disability access review</s:t>
        </s:is>
      </s:c>
      <s:c r="C8" s="2" t="inlineStr">
        <s:is>
          <s:t>Set affordable room mix and support procedures</s:t>
        </s:is>
      </s:c>
    </s:row>
  </s:sheetData>
  <s:autoFilter ref="A1:C8"/>
  <s:pageMargins left="0.75" right="0.75" top="1" bottom="1" header="0.5" footer="0.5"/>
</s:worksheet>
</file>

<file path=xl/worksheets/sheet9.xml><?xml version="1.0" encoding="utf-8"?>
<s:worksheet xmlns:s="http://schemas.openxmlformats.org/spreadsheetml/2006/main">
  <s:sheetPr>
    <s:outlinePr summaryBelow="1" summaryRight="1"/>
    <s:pageSetUpPr/>
  </s:sheetPr>
  <s:dimension ref="A1:K4"/>
  <s:sheetViews>
    <s:sheetView workbookViewId="0">
      <s:pane xSplit="1" ySplit="1" topLeftCell="B2" activePane="bottomRight" state="frozen"/>
      <s:selection pane="topRight"/>
      <s:selection pane="bottomLeft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</s:sheetView>
  </s:sheetViews>
  <s:sheetFormatPr baseColWidth="8" defaultRowHeight="15"/>
  <s:cols>
    <s:col width="34" customWidth="1" min="1" max="1"/>
    <s:col width="48" customWidth="1" min="2" max="2"/>
    <s:col width="48" customWidth="1" min="3" max="3"/>
    <s:col width="48" customWidth="1" min="4" max="4"/>
    <s:col width="48" customWidth="1" min="5" max="5"/>
    <s:col width="48" customWidth="1" min="6" max="6"/>
    <s:col width="48" customWidth="1" min="7" max="7"/>
    <s:col width="48" customWidth="1" min="8" max="8"/>
    <s:col width="48" customWidth="1" min="9" max="9"/>
    <s:col width="48" customWidth="1" min="10" max="10"/>
    <s:col width="48" customWidth="1" min="11" max="11"/>
  </s:cols>
  <s:sheetData>
    <s:row r="1">
      <s:c r="A1" s="1" t="inlineStr">
        <s:is>
          <s:t>Scenario</s:t>
        </s:is>
      </s:c>
      <s:c r="B1" s="1" t="inlineStr">
        <s:is>
          <s:t>Rent multiplier</s:t>
        </s:is>
      </s:c>
      <s:c r="C1" s="1" t="inlineStr">
        <s:is>
          <s:t>Occupancy</s:t>
        </s:is>
      </s:c>
      <s:c r="D1" s="1" t="inlineStr">
        <s:is>
          <s:t>Renovation multiplier</s:t>
        </s:is>
      </s:c>
      <s:c r="E1" s="1" t="inlineStr">
        <s:is>
          <s:t>Exit cap rate</s:t>
        </s:is>
      </s:c>
      <s:c r="F1" s="1" t="inlineStr">
        <s:is>
          <s:t>Discount rate</s:t>
        </s:is>
      </s:c>
      <s:c r="G1" s="1" t="inlineStr">
        <s:is>
          <s:t>Initial investment</s:t>
        </s:is>
      </s:c>
      <s:c r="H1" s="1" t="inlineStr">
        <s:is>
          <s:t>NPV</s:t>
        </s:is>
      </s:c>
      <s:c r="I1" s="1" t="inlineStr">
        <s:is>
          <s:t>IRR</s:t>
        </s:is>
      </s:c>
      <s:c r="J1" s="1" t="inlineStr">
        <s:is>
          <s:t>Year 2 cash</s:t>
        </s:is>
      </s:c>
      <s:c r="K1" s="1" t="inlineStr">
        <s:is>
          <s:t>Interpretation</s:t>
        </s:is>
      </s:c>
    </s:row>
    <s:row r="2" ht="55" customHeight="1">
      <s:c r="A2" s="2" t="inlineStr">
        <s:is>
          <s:t>Downside</s:t>
        </s:is>
      </s:c>
      <s:c r="B2" s="8" t="n">
        <s:v>0.9</s:v>
      </s:c>
      <s:c r="C2" s="9" t="n">
        <s:v>0.8333333333333334</s:v>
      </s:c>
      <s:c r="D2" s="8" t="n">
        <s:v>1.2</s:v>
      </s:c>
      <s:c r="E2" s="9" t="n">
        <s:v>0.065</s:v>
      </s:c>
      <s:c r="F2" s="9" t="n">
        <s:v>0.075</s:v>
      </s:c>
      <s:c r="G2" s="5">
        <s:f>'Inputs'!B3*(1+'Inputs'!B4)+'Inputs'!B5+('Inputs'!B2*'Inputs'!B6*D2+'Inputs'!B2*'Inputs'!B7)*(1+'Inputs'!B8)</s:f>
        <s:v>3150200.0</s:v>
      </s:c>
      <s:c r="H2" s="5">
        <s:f>SUM('Scenario cash'!B2:B22)</s:f>
        <s:v>-2113270.152554564</s:v>
      </s:c>
      <s:c r="I2" s="6">
        <s:f>IRR('Scenario cash'!A2:A22)</s:f>
        <s:v>-0.0051872041643779565</s:v>
      </s:c>
      <s:c r="J2" s="5">
        <s:f>'Inputs'!B2*12*'Inputs'!B9*B2*(1+'Inputs'!B11)*C2*(1-'Inputs'!B13)-'Inputs'!B12*(1+'Inputs'!B14)-'Inputs'!B21*(1+'Inputs'!B22)</s:f>
        <s:v>61065.80000000002</s:v>
      </s:c>
      <s:c r="K2" s="2" t="inlineStr">
        <s:is>
          <s:t>10 paid months, rent -10%, renovation +20%, higher yields</s:t>
        </s:is>
      </s:c>
    </s:row>
    <s:row r="3" ht="55" customHeight="1">
      <s:c r="A3" s="2" t="inlineStr">
        <s:is>
          <s:t>Base</s:t>
        </s:is>
      </s:c>
      <s:c r="B3" s="8" t="n">
        <s:v>1</s:v>
      </s:c>
      <s:c r="C3" s="9" t="n">
        <s:v>0.95</s:v>
      </s:c>
      <s:c r="D3" s="8" t="n">
        <s:v>1</s:v>
      </s:c>
      <s:c r="E3" s="9" t="n">
        <s:v>0.055</s:v>
      </s:c>
      <s:c r="F3" s="9" t="n">
        <s:v>0.065</s:v>
      </s:c>
      <s:c r="G3" s="5">
        <s:f>'Inputs'!B3*(1+'Inputs'!B4)+'Inputs'!B5+('Inputs'!B2*'Inputs'!B6*D3+'Inputs'!B2*'Inputs'!B7)*(1+'Inputs'!B8)</s:f>
        <s:v>2984600.0</s:v>
      </s:c>
      <s:c r="H3" s="5">
        <s:f>SUM('Scenario cash'!E2:E22)</s:f>
        <s:v>-1239139.4491415757</s:v>
      </s:c>
      <s:c r="I3" s="6">
        <s:f>IRR('Scenario cash'!D2:D22)</s:f>
        <s:v>0.025799788069299612</s:v>
      </s:c>
      <s:c r="J3" s="5">
        <s:f>'Inputs'!B2*12*'Inputs'!B9*B3*(1+'Inputs'!B11)*C3*(1-'Inputs'!B13)-'Inputs'!B12*(1+'Inputs'!B14)-'Inputs'!B21*(1+'Inputs'!B22)</s:f>
        <s:v>86916.68000000001</s:v>
      </s:c>
      <s:c r="K3" s="2" t="inlineStr">
        <s:is>
          <s:t>All base assumptions</s:t>
        </s:is>
      </s:c>
    </s:row>
    <s:row r="4" ht="55" customHeight="1">
      <s:c r="A4" s="2" t="inlineStr">
        <s:is>
          <s:t>Upside</s:t>
        </s:is>
      </s:c>
      <s:c r="B4" s="8" t="n">
        <s:v>1.1</s:v>
      </s:c>
      <s:c r="C4" s="9" t="n">
        <s:v>0.98</s:v>
      </s:c>
      <s:c r="D4" s="8" t="n">
        <s:v>0.9</s:v>
      </s:c>
      <s:c r="E4" s="9" t="n">
        <s:v>0.05</s:v>
      </s:c>
      <s:c r="F4" s="9" t="n">
        <s:v>0.06</s:v>
      </s:c>
      <s:c r="G4" s="5">
        <s:f>'Inputs'!B3*(1+'Inputs'!B4)+'Inputs'!B5+('Inputs'!B2*'Inputs'!B6*D4+'Inputs'!B2*'Inputs'!B7)*(1+'Inputs'!B8)</s:f>
        <s:v>2901800.0</s:v>
      </s:c>
      <s:c r="H4" s="5">
        <s:f>SUM('Scenario cash'!H2:H22)</s:f>
        <s:v>-608249.5412891215</s:v>
      </s:c>
      <s:c r="I4" s="6">
        <s:f>IRR('Scenario cash'!G2:G22)</s:f>
        <s:v>0.042677860164762715</s:v>
      </s:c>
      <s:c r="J4" s="5">
        <s:f>'Inputs'!B2*12*'Inputs'!B9*B4*(1+'Inputs'!B11)*C4*(1-'Inputs'!B13)-'Inputs'!B12*(1+'Inputs'!B14)-'Inputs'!B21*(1+'Inputs'!B22)</s:f>
        <s:v>103461.2432</s:v>
      </s:c>
      <s:c r="K4" s="2" t="inlineStr">
        <s:is>
          <s:t>Higher achieved rent and lower renovation cost; unverified</s:t>
        </s:is>
      </s:c>
    </s:row>
  </s:sheetData>
  <s:autoFilter ref="A1:K4"/>
  <s:pageMargins left="0.75" right="0.75" top="1" bottom="1" header="0.5" footer="0.5"/>
</s:worksheet>
</file>

<file path=xl/worksheets/sheet10.xml><?xml version="1.0" encoding="utf-8"?>
<s:worksheet xmlns:s="http://schemas.openxmlformats.org/spreadsheetml/2006/main">
  <s:sheetPr>
    <s:outlinePr summaryBelow="1" summaryRight="1"/>
    <s:pageSetUpPr/>
  </s:sheetPr>
  <s:dimension ref="A1:I22"/>
  <s:sheetViews>
    <s:sheetView workbookViewId="0">
      <s:pane xSplit="1" ySplit="1" topLeftCell="B2" activePane="bottomRight" state="frozen"/>
      <s:selection pane="topRight"/>
      <s:selection pane="bottomLeft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</s:sheetView>
  </s:sheetViews>
  <s:sheetFormatPr baseColWidth="8" defaultRowHeight="15"/>
  <s:cols>
    <s:col width="25" customWidth="1" min="1" max="1"/>
    <s:col width="25" customWidth="1" min="2" max="2"/>
    <s:col width="25" customWidth="1" min="3" max="3"/>
    <s:col width="25" customWidth="1" min="4" max="4"/>
    <s:col width="25" customWidth="1" min="5" max="5"/>
    <s:col width="25" customWidth="1" min="6" max="6"/>
    <s:col width="25" customWidth="1" min="7" max="7"/>
    <s:col width="25" customWidth="1" min="8" max="8"/>
    <s:col width="25" customWidth="1" min="9" max="9"/>
  </s:cols>
  <s:sheetData>
    <s:row r="1">
      <s:c r="A1" s="1" t="inlineStr">
        <s:is>
          <s:t>Downside cash</s:t>
        </s:is>
      </s:c>
      <s:c r="B1" s="1" t="inlineStr">
        <s:is>
          <s:t>Downside PV</s:t>
        </s:is>
      </s:c>
      <s:c r="C1" s="1" t="inlineStr">
        <s:is>
          <s:t>Year</s:t>
        </s:is>
      </s:c>
      <s:c r="D1" s="1" t="inlineStr">
        <s:is>
          <s:t>Base cash</s:t>
        </s:is>
      </s:c>
      <s:c r="E1" s="1" t="inlineStr">
        <s:is>
          <s:t>Base PV</s:t>
        </s:is>
      </s:c>
      <s:c r="F1" s="1" t="inlineStr">
        <s:is>
          <s:t>Year</s:t>
        </s:is>
      </s:c>
      <s:c r="G1" s="1" t="inlineStr">
        <s:is>
          <s:t>Upside cash</s:t>
        </s:is>
      </s:c>
      <s:c r="H1" s="1" t="inlineStr">
        <s:is>
          <s:t>Upside PV</s:t>
        </s:is>
      </s:c>
      <s:c r="I1" s="1" t="inlineStr">
        <s:is>
          <s:t>Year</s:t>
        </s:is>
      </s:c>
    </s:row>
    <s:row r="2" ht="42" customHeight="1">
      <s:c r="A2" s="5">
        <s:f>-'Scenarios'!G2</s:f>
        <s:v>-3150200.0</s:v>
      </s:c>
      <s:c r="B2" s="5">
        <s:f>A2/(1+'Scenarios'!F2)^0</s:f>
        <s:v>-3150200.0</s:v>
      </s:c>
      <s:c r="C2" s="2" t="n">
        <s:v>0</s:v>
      </s:c>
      <s:c r="D2" s="5">
        <s:f>-'Scenarios'!G3</s:f>
        <s:v>-2984600.0</s:v>
      </s:c>
      <s:c r="E2" s="5">
        <s:f>D2/(1+'Scenarios'!F3)^0</s:f>
        <s:v>-2984600.0</s:v>
      </s:c>
      <s:c r="F2" s="2" t="n">
        <s:v>0</s:v>
      </s:c>
      <s:c r="G2" s="5">
        <s:f>-'Scenarios'!G4</s:f>
        <s:v>-2901800.0</s:v>
      </s:c>
      <s:c r="H2" s="5">
        <s:f>G2/(1+'Scenarios'!F4)^0</s:f>
        <s:v>-2901800.0</s:v>
      </s:c>
      <s:c r="I2" s="2" t="n">
        <s:v>0</s:v>
      </s:c>
    </s:row>
    <s:row r="3" ht="42" customHeight="1">
      <s:c r="A3" s="5">
        <s:f>('Inputs'!B2*12*'Inputs'!B9*'Scenarios'!B2*(1+'Inputs'!B11)^0*'Inputs'!B18*(1-'Inputs'!B13)-'Inputs'!B12*(1+'Inputs'!B14)^0-'Inputs'!B21*(1+'Inputs'!B22)^0)</s:f>
        <s:v>50536.0</s:v>
      </s:c>
      <s:c r="B3" s="5">
        <s:f>A3/(1+'Scenarios'!F2)^1</s:f>
        <s:v>47010.232558139534</s:v>
      </s:c>
      <s:c r="C3" s="2" t="n">
        <s:v>1</s:v>
      </s:c>
      <s:c r="D3" s="5">
        <s:f>('Inputs'!B2*12*'Inputs'!B9*'Scenarios'!B3*(1+'Inputs'!B11)^0*'Inputs'!B18*(1-'Inputs'!B13)-'Inputs'!B12*(1+'Inputs'!B14)^0-'Inputs'!B21*(1+'Inputs'!B22)^0)</s:f>
        <s:v>60040.0</s:v>
      </s:c>
      <s:c r="E3" s="5">
        <s:f>D3/(1+'Scenarios'!F3)^1</s:f>
        <s:v>56375.586854460096</s:v>
      </s:c>
      <s:c r="F3" s="2" t="n">
        <s:v>1</s:v>
      </s:c>
      <s:c r="G3" s="5">
        <s:f>('Inputs'!B2*12*'Inputs'!B9*'Scenarios'!B4*(1+'Inputs'!B11)^0*'Inputs'!B18*(1-'Inputs'!B13)-'Inputs'!B12*(1+'Inputs'!B14)^0-'Inputs'!B21*(1+'Inputs'!B22)^0)</s:f>
        <s:v>69544.0</s:v>
      </s:c>
      <s:c r="H3" s="5">
        <s:f>G3/(1+'Scenarios'!F4)^1</s:f>
        <s:v>65607.54716981131</s:v>
      </s:c>
      <s:c r="I3" s="2" t="n">
        <s:v>1</s:v>
      </s:c>
    </s:row>
    <s:row r="4" ht="42" customHeight="1">
      <s:c r="A4" s="5">
        <s:f>('Inputs'!B2*12*'Inputs'!B9*'Scenarios'!B2*(1+'Inputs'!B11)^1*'Scenarios'!C2*(1-'Inputs'!B13)-'Inputs'!B12*(1+'Inputs'!B14)^1-'Inputs'!B21*(1+'Inputs'!B22)^1)</s:f>
        <s:v>61065.80000000002</s:v>
      </s:c>
      <s:c r="B4" s="5">
        <s:f>A4/(1+'Scenarios'!F2)^2</s:f>
        <s:v>52842.228231476496</s:v>
      </s:c>
      <s:c r="C4" s="2" t="n">
        <s:v>2</s:v>
      </s:c>
      <s:c r="D4" s="5">
        <s:f>('Inputs'!B2*12*'Inputs'!B9*'Scenarios'!B3*(1+'Inputs'!B11)^1*'Scenarios'!C3*(1-'Inputs'!B13)-'Inputs'!B12*(1+'Inputs'!B14)^1-'Inputs'!B21*(1+'Inputs'!B22)^1)</s:f>
        <s:v>86916.68000000001</s:v>
      </s:c>
      <s:c r="E4" s="5">
        <s:f>D4/(1+'Scenarios'!F3)^2</s:f>
        <s:v>76630.8977495647</s:v>
      </s:c>
      <s:c r="F4" s="2" t="n">
        <s:v>2</s:v>
      </s:c>
      <s:c r="G4" s="5">
        <s:f>('Inputs'!B2*12*'Inputs'!B9*'Scenarios'!B4*(1+'Inputs'!B11)^1*'Scenarios'!C4*(1-'Inputs'!B13)-'Inputs'!B12*(1+'Inputs'!B14)^1-'Inputs'!B21*(1+'Inputs'!B22)^1)</s:f>
        <s:v>103461.2432</s:v>
      </s:c>
      <s:c r="H4" s="5">
        <s:f>G4/(1+'Scenarios'!F4)^2</s:f>
        <s:v>92080.13812744747</s:v>
      </s:c>
      <s:c r="I4" s="2" t="n">
        <s:v>2</s:v>
      </s:c>
    </s:row>
    <s:row r="5" ht="42" customHeight="1">
      <s:c r="A5" s="5">
        <s:f>('Inputs'!B2*12*'Inputs'!B9*'Scenarios'!B2*(1+'Inputs'!B11)^2*'Scenarios'!C2*(1-'Inputs'!B13)-'Inputs'!B12*(1+'Inputs'!B14)^2-'Inputs'!B21*(1+'Inputs'!B22)^2)</s:f>
        <s:v>62107.74100000001</s:v>
      </s:c>
      <s:c r="B5" s="5">
        <s:f>A5/(1+'Scenarios'!F2)^3</s:f>
        <s:v>49994.28256631493</s:v>
      </s:c>
      <s:c r="C5" s="2" t="n">
        <s:v>3</s:v>
      </s:c>
      <s:c r="D5" s="5">
        <s:f>('Inputs'!B2*12*'Inputs'!B9*'Scenarios'!B3*(1+'Inputs'!B11)^2*'Scenarios'!C3*(1-'Inputs'!B13)-'Inputs'!B12*(1+'Inputs'!B14)^2-'Inputs'!B21*(1+'Inputs'!B22)^2)</s:f>
        <s:v>88475.6386</s:v>
      </s:c>
      <s:c r="E5" s="5">
        <s:f>D5/(1+'Scenarios'!F3)^3</s:f>
        <s:v>73244.47706169866</s:v>
      </s:c>
      <s:c r="F5" s="2" t="n">
        <s:v>3</s:v>
      </s:c>
      <s:c r="G5" s="5">
        <s:f>('Inputs'!B2*12*'Inputs'!B9*'Scenarios'!B4*(1+'Inputs'!B11)^2*'Scenarios'!C4*(1-'Inputs'!B13)-'Inputs'!B12*(1+'Inputs'!B14)^2-'Inputs'!B21*(1+'Inputs'!B22)^2)</s:f>
        <s:v>105351.09306399999</s:v>
      </s:c>
      <s:c r="H5" s="5">
        <s:f>G5/(1+'Scenarios'!F4)^3</s:f>
        <s:v>88454.80922506496</s:v>
      </s:c>
      <s:c r="I5" s="2" t="n">
        <s:v>3</s:v>
      </s:c>
    </s:row>
    <s:row r="6" ht="42" customHeight="1">
      <s:c r="A6" s="5">
        <s:f>('Inputs'!B2*12*'Inputs'!B9*'Scenarios'!B2*(1+'Inputs'!B11)^3*'Scenarios'!C2*(1-'Inputs'!B13)-'Inputs'!B12*(1+'Inputs'!B14)^3-'Inputs'!B21*(1+'Inputs'!B22)^3)</s:f>
        <s:v>63166.036445000034</s:v>
      </s:c>
      <s:c r="B6" s="5">
        <s:f>A6/(1+'Scenarios'!F2)^4</s:f>
        <s:v>47298.76155388983</s:v>
      </s:c>
      <s:c r="C6" s="2" t="n">
        <s:v>4</s:v>
      </s:c>
      <s:c r="D6" s="5">
        <s:f>('Inputs'!B2*12*'Inputs'!B9*'Scenarios'!B3*(1+'Inputs'!B11)^3*'Scenarios'!C3*(1-'Inputs'!B13)-'Inputs'!B12*(1+'Inputs'!B14)^3-'Inputs'!B21*(1+'Inputs'!B22)^3)</s:f>
        <s:v>90061.29199700002</s:v>
      </s:c>
      <s:c r="E6" s="5">
        <s:f>D6/(1+'Scenarios'!F3)^4</s:f>
        <s:v>70006.72186508868</s:v>
      </s:c>
      <s:c r="F6" s="2" t="n">
        <s:v>4</s:v>
      </s:c>
      <s:c r="G6" s="5">
        <s:f>('Inputs'!B2*12*'Inputs'!B9*'Scenarios'!B4*(1+'Inputs'!B11)^3*'Scenarios'!C4*(1-'Inputs'!B13)-'Inputs'!B12*(1+'Inputs'!B14)^3-'Inputs'!B21*(1+'Inputs'!B22)^3)</s:f>
        <s:v>107274.25555028001</s:v>
      </s:c>
      <s:c r="H6" s="5">
        <s:f>G6/(1+'Scenarios'!F4)^4</s:f>
        <s:v>84971.25804995284</s:v>
      </s:c>
      <s:c r="I6" s="2" t="n">
        <s:v>4</s:v>
      </s:c>
    </s:row>
    <s:row r="7" ht="42" customHeight="1">
      <s:c r="A7" s="5">
        <s:f>('Inputs'!B2*12*'Inputs'!B9*'Scenarios'!B2*(1+'Inputs'!B11)^4*'Scenarios'!C2*(1-'Inputs'!B13)-'Inputs'!B12*(1+'Inputs'!B14)^4-'Inputs'!B21*(1+'Inputs'!B22)^4)</s:f>
        <s:v>64240.901314525014</s:v>
      </s:c>
      <s:c r="B7" s="5">
        <s:f>A7/(1+'Scenarios'!F2)^5</s:f>
        <s:v>44747.55436058433</s:v>
      </s:c>
      <s:c r="C7" s="2" t="n">
        <s:v>5</s:v>
      </s:c>
      <s:c r="D7" s="5">
        <s:f>('Inputs'!B2*12*'Inputs'!B9*'Scenarios'!B3*(1+'Inputs'!B11)^4*'Scenarios'!C3*(1-'Inputs'!B13)-'Inputs'!B12*(1+'Inputs'!B14)^4-'Inputs'!B21*(1+'Inputs'!B22)^4)</s:f>
        <s:v>91674.06197756503</s:v>
      </s:c>
      <s:c r="E7" s="5">
        <s:f>D7/(1+'Scenarios'!F3)^5</s:f>
        <s:v>66911.14104345902</s:v>
      </s:c>
      <s:c r="F7" s="2" t="n">
        <s:v>5</s:v>
      </s:c>
      <s:c r="G7" s="5">
        <s:f>('Inputs'!B2*12*'Inputs'!B9*'Scenarios'!B4*(1+'Inputs'!B11)^4*'Scenarios'!C4*(1-'Inputs'!B13)-'Inputs'!B12*(1+'Inputs'!B14)^4-'Inputs'!B21*(1+'Inputs'!B22)^4)</s:f>
        <s:v>109231.28480191062</s:v>
      </s:c>
      <s:c r="H7" s="5">
        <s:f>G7/(1+'Scenarios'!F4)^5</s:f>
        <s:v>81623.97030088762</s:v>
      </s:c>
      <s:c r="I7" s="2" t="n">
        <s:v>5</s:v>
      </s:c>
    </s:row>
    <s:row r="8" ht="42" customHeight="1">
      <s:c r="A8" s="5">
        <s:f>('Inputs'!B2*12*'Inputs'!B9*'Scenarios'!B2*(1+'Inputs'!B11)^5*'Scenarios'!C2*(1-'Inputs'!B13)-'Inputs'!B12*(1+'Inputs'!B14)^5-'Inputs'!B21*(1+'Inputs'!B22)^5)</s:f>
        <s:v>65332.55208495616</s:v>
      </s:c>
      <s:c r="B8" s="5">
        <s:f>A8/(1+'Scenarios'!F2)^6</s:f>
        <s:v>42332.97965417655</s:v>
      </s:c>
      <s:c r="C8" s="2" t="n">
        <s:v>6</s:v>
      </s:c>
      <s:c r="D8" s="5">
        <s:f>('Inputs'!B2*12*'Inputs'!B9*'Scenarios'!B3*(1+'Inputs'!B11)^5*'Scenarios'!C3*(1-'Inputs'!B13)-'Inputs'!B12*(1+'Inputs'!B14)^5-'Inputs'!B21*(1+'Inputs'!B22)^5)</s:f>
        <s:v>93314.37596125693</s:v>
      </s:c>
      <s:c r="E8" s="5">
        <s:f>D8/(1+'Scenarios'!F3)^6</s:f>
        <s:v>63951.52562068834</s:v>
      </s:c>
      <s:c r="F8" s="2" t="n">
        <s:v>6</s:v>
      </s:c>
      <s:c r="G8" s="5">
        <s:f>('Inputs'!B2*12*'Inputs'!B9*'Scenarios'!B4*(1+'Inputs'!B11)^5*'Scenarios'!C4*(1-'Inputs'!B13)-'Inputs'!B12*(1+'Inputs'!B14)^5-'Inputs'!B21*(1+'Inputs'!B22)^5)</s:f>
        <s:v>111222.74324208948</s:v>
      </s:c>
      <s:c r="H8" s="5">
        <s:f>G8/(1+'Scenarios'!F4)^6</s:f>
        <s:v>78407.64518512676</s:v>
      </s:c>
      <s:c r="I8" s="2" t="n">
        <s:v>6</s:v>
      </s:c>
    </s:row>
    <s:row r="9" ht="42" customHeight="1">
      <s:c r="A9" s="5">
        <s:f>('Inputs'!B2*12*'Inputs'!B9*'Scenarios'!B2*(1+'Inputs'!B11)^6*'Scenarios'!C2*(1-'Inputs'!B13)-'Inputs'!B12*(1+'Inputs'!B14)^6-'Inputs'!B21*(1+'Inputs'!B22)^6)</s:f>
        <s:v>66441.20668939943</s:v>
      </s:c>
      <s:c r="B9" s="5">
        <s:f>A9/(1+'Scenarios'!F2)^7</s:f>
        <s:v>40047.76295360473</s:v>
      </s:c>
      <s:c r="C9" s="2" t="n">
        <s:v>7</s:v>
      </s:c>
      <s:c r="D9" s="5">
        <s:f>('Inputs'!B2*12*'Inputs'!B9*'Scenarios'!B3*(1+'Inputs'!B11)^6*'Scenarios'!C3*(1-'Inputs'!B13)-'Inputs'!B12*(1+'Inputs'!B14)^6-'Inputs'!B21*(1+'Inputs'!B22)^6)</s:f>
        <s:v>94982.66704322626</s:v>
      </s:c>
      <s:c r="E9" s="5">
        <s:f>D9/(1+'Scenarios'!F3)^7</s:f>
        <s:v>61121.93654389677</s:v>
      </s:c>
      <s:c r="F9" s="2" t="n">
        <s:v>7</s:v>
      </s:c>
      <s:c r="G9" s="5">
        <s:f>('Inputs'!B2*12*'Inputs'!B9*'Scenarios'!B4*(1+'Inputs'!B11)^6*'Scenarios'!C4*(1-'Inputs'!B13)-'Inputs'!B12*(1+'Inputs'!B14)^6-'Inputs'!B21*(1+'Inputs'!B22)^6)</s:f>
        <s:v>113249.2016696754</s:v>
      </s:c>
      <s:c r="H9" s="5">
        <s:f>G9/(1+'Scenarios'!F4)^7</s:f>
        <s:v>75317.18718246817</s:v>
      </s:c>
      <s:c r="I9" s="2" t="n">
        <s:v>7</s:v>
      </s:c>
    </s:row>
    <s:row r="10" ht="42" customHeight="1">
      <s:c r="A10" s="5">
        <s:f>('Inputs'!B2*12*'Inputs'!B9*'Scenarios'!B2*(1+'Inputs'!B11)^7*'Scenarios'!C2*(1-'Inputs'!B13)-'Inputs'!B12*(1+'Inputs'!B14)^7-'Inputs'!B21*(1+'Inputs'!B22)^7)</s:f>
        <s:v>67567.08447500017</s:v>
      </s:c>
      <s:c r="B10" s="5">
        <s:f>A10/(1+'Scenarios'!F2)^8</s:f>
        <s:v>37885.01516901175</s:v>
      </s:c>
      <s:c r="C10" s="2" t="n">
        <s:v>8</s:v>
      </s:c>
      <s:c r="D10" s="5">
        <s:f>('Inputs'!B2*12*'Inputs'!B9*'Scenarios'!B3*(1+'Inputs'!B11)^7*'Scenarios'!C3*(1-'Inputs'!B13)-'Inputs'!B12*(1+'Inputs'!B14)^7-'Inputs'!B21*(1+'Inputs'!B22)^7)</s:f>
        <s:v>96679.37403590347</s:v>
      </s:c>
      <s:c r="E10" s="5">
        <s:f>D10/(1+'Scenarios'!F3)^8</s:f>
        <s:v>58416.69299383864</s:v>
      </s:c>
      <s:c r="F10" s="2" t="n">
        <s:v>8</s:v>
      </s:c>
      <s:c r="G10" s="5">
        <s:f>('Inputs'!B2*12*'Inputs'!B9*'Scenarios'!B4*(1+'Inputs'!B11)^7*'Scenarios'!C4*(1-'Inputs'!B13)-'Inputs'!B12*(1+'Inputs'!B14)^7-'Inputs'!B21*(1+'Inputs'!B22)^7)</s:f>
        <s:v>115311.23935488168</s:v>
      </s:c>
      <s:c r="H10" s="5">
        <s:f>G10/(1+'Scenarios'!F4)^8</s:f>
        <s:v>72347.69812601127</s:v>
      </s:c>
      <s:c r="I10" s="2" t="n">
        <s:v>8</s:v>
      </s:c>
    </s:row>
    <s:row r="11" ht="42" customHeight="1">
      <s:c r="A11" s="5">
        <s:f>('Inputs'!B2*12*'Inputs'!B9*'Scenarios'!B2*(1+'Inputs'!B11)^8*'Scenarios'!C2*(1-'Inputs'!B13)-'Inputs'!B12*(1+'Inputs'!B14)^8-'Inputs'!B21*(1+'Inputs'!B22)^8)</s:f>
        <s:v>68710.40615760823</s:v>
      </s:c>
      <s:c r="B11" s="5">
        <s:f>A11/(1+'Scenarios'!F2)^9</s:f>
        <s:v>35838.212269708994</s:v>
      </s:c>
      <s:c r="C11" s="2" t="n">
        <s:v>9</s:v>
      </s:c>
      <s:c r="D11" s="5">
        <s:f>('Inputs'!B2*12*'Inputs'!B9*'Scenarios'!B3*(1+'Inputs'!B11)^8*'Scenarios'!C3*(1-'Inputs'!B13)-'Inputs'!B12*(1+'Inputs'!B14)^8-'Inputs'!B21*(1+'Inputs'!B22)^8)</s:f>
        <s:v>98404.94150972963</s:v>
      </s:c>
      <s:c r="E11" s="5">
        <s:f>D11/(1+'Scenarios'!F3)^9</s:f>
        <s:v>55830.361199904786</s:v>
      </s:c>
      <s:c r="F11" s="2" t="n">
        <s:v>9</s:v>
      </s:c>
      <s:c r="G11" s="5">
        <s:f>('Inputs'!B2*12*'Inputs'!B9*'Scenarios'!B4*(1+'Inputs'!B11)^8*'Scenarios'!C4*(1-'Inputs'!B13)-'Inputs'!B12*(1+'Inputs'!B14)^8-'Inputs'!B21*(1+'Inputs'!B22)^8)</s:f>
        <s:v>117409.44413508737</s:v>
      </s:c>
      <s:c r="H11" s="5">
        <s:f>G11/(1+'Scenarios'!F4)^9</s:f>
        <s:v>69494.46958747251</s:v>
      </s:c>
      <s:c r="I11" s="2" t="n">
        <s:v>9</s:v>
      </s:c>
    </s:row>
    <s:row r="12" ht="42" customHeight="1">
      <s:c r="A12" s="5">
        <s:f>('Inputs'!B2*12*'Inputs'!B9*'Scenarios'!B2*(1+'Inputs'!B11)^9*'Scenarios'!C2*(1-'Inputs'!B13)-'Inputs'!B12*(1+'Inputs'!B14)^9-'Inputs'!B21*(1+'Inputs'!B22)^9)</s:f>
        <s:v>69871.39377369618</s:v>
      </s:c>
      <s:c r="B12" s="5">
        <s:f>A12/(1+'Scenarios'!F2)^10</s:f>
        <s:v>33901.17602095813</s:v>
      </s:c>
      <s:c r="C12" s="2" t="n">
        <s:v>10</s:v>
      </s:c>
      <s:c r="D12" s="5">
        <s:f>('Inputs'!B2*12*'Inputs'!B9*'Scenarios'!B3*(1+'Inputs'!B11)^9*'Scenarios'!C3*(1-'Inputs'!B13)-'Inputs'!B12*(1+'Inputs'!B14)^9-'Inputs'!B21*(1+'Inputs'!B22)^9)</s:f>
        <s:v>100159.81983286</s:v>
      </s:c>
      <s:c r="E12" s="5">
        <s:f>D12/(1+'Scenarios'!F3)^10</s:f>
        <s:v>53357.74373800994</s:v>
      </s:c>
      <s:c r="F12" s="2" t="n">
        <s:v>10</s:v>
      </s:c>
      <s:c r="G12" s="5">
        <s:f>('Inputs'!B2*12*'Inputs'!B9*'Scenarios'!B4*(1+'Inputs'!B11)^9*'Scenarios'!C4*(1-'Inputs'!B13)-'Inputs'!B12*(1+'Inputs'!B14)^9-'Inputs'!B21*(1+'Inputs'!B22)^9)</s:f>
        <s:v>119544.41251072488</s:v>
      </s:c>
      <s:c r="H12" s="5">
        <s:f>G12/(1+'Scenarios'!F4)^10</s:f>
        <s:v>66752.97555537504</s:v>
      </s:c>
      <s:c r="I12" s="2" t="n">
        <s:v>10</s:v>
      </s:c>
    </s:row>
    <s:row r="13" ht="42" customHeight="1">
      <s:c r="A13" s="5">
        <s:f>('Inputs'!B2*12*'Inputs'!B9*'Scenarios'!B2*(1+'Inputs'!B11)^10*'Scenarios'!C2*(1-'Inputs'!B13)-'Inputs'!B12*(1+'Inputs'!B14)^10-'Inputs'!B21*(1+'Inputs'!B22)^10)</s:f>
        <s:v>71050.27062942926</s:v>
      </s:c>
      <s:c r="B13" s="5">
        <s:f>A13/(1+'Scenarios'!F2)^11</s:f>
        <s:v>32068.05573355809</s:v>
      </s:c>
      <s:c r="C13" s="2" t="n">
        <s:v>11</s:v>
      </s:c>
      <s:c r="D13" s="5">
        <s:f>('Inputs'!B2*12*'Inputs'!B9*'Scenarios'!B3*(1+'Inputs'!B11)^10*'Scenarios'!C3*(1-'Inputs'!B13)-'Inputs'!B12*(1+'Inputs'!B14)^10-'Inputs'!B21*(1+'Inputs'!B22)^10)</s:f>
        <s:v>101944.46520977636</s:v>
      </s:c>
      <s:c r="E13" s="5">
        <s:f>D13/(1+'Scenarios'!F3)^11</s:f>
        <s:v>50993.869290577124</s:v>
      </s:c>
      <s:c r="F13" s="2" t="n">
        <s:v>11</s:v>
      </s:c>
      <s:c r="G13" s="5">
        <s:f>('Inputs'!B2*12*'Inputs'!B9*'Scenarios'!B4*(1+'Inputs'!B11)^10*'Scenarios'!C4*(1-'Inputs'!B13)-'Inputs'!B12*(1+'Inputs'!B14)^10-'Inputs'!B21*(1+'Inputs'!B22)^10)</s:f>
        <s:v>121716.74974119854</s:v>
      </s:c>
      <s:c r="H13" s="5">
        <s:f>G13/(1+'Scenarios'!F4)^11</s:f>
        <s:v>64118.86539487716</s:v>
      </s:c>
      <s:c r="I13" s="2" t="n">
        <s:v>11</s:v>
      </s:c>
    </s:row>
    <s:row r="14" ht="42" customHeight="1">
      <s:c r="A14" s="5">
        <s:f>('Inputs'!B2*12*'Inputs'!B9*'Scenarios'!B2*(1+'Inputs'!B11)^11*'Scenarios'!C2*(1-'Inputs'!B13)-'Inputs'!B12*(1+'Inputs'!B14)^11-'Inputs'!B21*(1+'Inputs'!B22)^11)</s:f>
        <s:v>72247.26124678347</s:v>
      </s:c>
      <s:c r="B14" s="5">
        <s:f>A14/(1+'Scenarios'!F2)^12</s:f>
        <s:v>30333.310973152216</s:v>
      </s:c>
      <s:c r="C14" s="2" t="n">
        <s:v>12</s:v>
      </s:c>
      <s:c r="D14" s="5">
        <s:f>('Inputs'!B2*12*'Inputs'!B9*'Scenarios'!B3*(1+'Inputs'!B11)^11*'Scenarios'!C3*(1-'Inputs'!B13)-'Inputs'!B12*(1+'Inputs'!B14)^11-'Inputs'!B21*(1+'Inputs'!B22)^11)</s:f>
        <s:v>103759.33971873754</s:v>
      </s:c>
      <s:c r="E14" s="5">
        <s:f>D14/(1+'Scenarios'!F3)^12</s:f>
        <s:v>48733.98284872119</s:v>
      </s:c>
      <s:c r="F14" s="2" t="n">
        <s:v>12</s:v>
      </s:c>
      <s:c r="G14" s="5">
        <s:f>('Inputs'!B2*12*'Inputs'!B9*'Scenarios'!B4*(1+'Inputs'!B11)^11*'Scenarios'!C4*(1-'Inputs'!B13)-'Inputs'!B12*(1+'Inputs'!B14)^11-'Inputs'!B21*(1+'Inputs'!B22)^11)</s:f>
        <s:v>123927.06994078816</s:v>
      </s:c>
      <s:c r="H14" s="5">
        <s:f>G14/(1+'Scenarios'!F4)^12</s:f>
        <s:v>61587.95707843594</s:v>
      </s:c>
      <s:c r="I14" s="2" t="n">
        <s:v>12</s:v>
      </s:c>
    </s:row>
    <s:row r="15" ht="42" customHeight="1">
      <s:c r="A15" s="5">
        <s:f>('Inputs'!B2*12*'Inputs'!B9*'Scenarios'!B2*(1+'Inputs'!B11)^12*'Scenarios'!C2*(1-'Inputs'!B13)-'Inputs'!B12*(1+'Inputs'!B14)^12-'Inputs'!B21*(1+'Inputs'!B22)^12)</s:f>
        <s:v>73462.59130660394</s:v>
      </s:c>
      <s:c r="B15" s="5">
        <s:f>A15/(1+'Scenarios'!F2)^13</s:f>
        <s:v>28691.695178945192</s:v>
      </s:c>
      <s:c r="C15" s="2" t="n">
        <s:v>13</s:v>
      </s:c>
      <s:c r="D15" s="5">
        <s:f>('Inputs'!B2*12*'Inputs'!B9*'Scenarios'!B3*(1+'Inputs'!B11)^12*'Scenarios'!C3*(1-'Inputs'!B13)-'Inputs'!B12*(1+'Inputs'!B14)^12-'Inputs'!B21*(1+'Inputs'!B22)^12)</s:f>
        <s:v>105604.91134799707</s:v>
      </s:c>
      <s:c r="E15" s="5">
        <s:f>D15/(1+'Scenarios'!F3)^13</s:f>
        <s:v>46573.53633758973</s:v>
      </s:c>
      <s:c r="F15" s="2" t="n">
        <s:v>13</s:v>
      </s:c>
      <s:c r="G15" s="5">
        <s:f>('Inputs'!B2*12*'Inputs'!B9*'Scenarios'!B4*(1+'Inputs'!B11)^12*'Scenarios'!C4*(1-'Inputs'!B13)-'Inputs'!B12*(1+'Inputs'!B14)^12-'Inputs'!B21*(1+'Inputs'!B22)^12)</s:f>
        <s:v>126175.99617448871</s:v>
      </s:c>
      <s:c r="H15" s="5">
        <s:f>G15/(1+'Scenarios'!F4)^13</s:f>
        <s:v>59156.23067691482</s:v>
      </s:c>
      <s:c r="I15" s="2" t="n">
        <s:v>13</s:v>
      </s:c>
    </s:row>
    <s:row r="16" ht="42" customHeight="1">
      <s:c r="A16" s="5">
        <s:f>('Inputs'!B2*12*'Inputs'!B9*'Scenarios'!B2*(1+'Inputs'!B11)^13*'Scenarios'!C2*(1-'Inputs'!B13)-'Inputs'!B12*(1+'Inputs'!B14)^13-'Inputs'!B21*(1+'Inputs'!B22)^13)</s:f>
        <s:v>74696.48758849295</s:v>
      </s:c>
      <s:c r="B16" s="5">
        <s:f>A16/(1+'Scenarios'!F2)^14</s:f>
        <s:v>27138.240144149706</s:v>
      </s:c>
      <s:c r="C16" s="2" t="n">
        <s:v>14</s:v>
      </s:c>
      <s:c r="D16" s="5">
        <s:f>('Inputs'!B2*12*'Inputs'!B9*'Scenarios'!B3*(1+'Inputs'!B11)^13*'Scenarios'!C3*(1-'Inputs'!B13)-'Inputs'!B12*(1+'Inputs'!B14)^13-'Inputs'!B21*(1+'Inputs'!B22)^13)</s:f>
        <s:v>107481.65403071397</s:v>
      </s:c>
      <s:c r="E16" s="5">
        <s:f>D16/(1+'Scenarios'!F3)^14</s:f>
        <s:v>44508.17964663725</s:v>
      </s:c>
      <s:c r="F16" s="2" t="n">
        <s:v>14</s:v>
      </s:c>
      <s:c r="G16" s="5">
        <s:f>('Inputs'!B2*12*'Inputs'!B9*'Scenarios'!B4*(1+'Inputs'!B11)^13*'Scenarios'!C4*(1-'Inputs'!B13)-'Inputs'!B12*(1+'Inputs'!B14)^13-'Inputs'!B21*(1+'Inputs'!B22)^13)</s:f>
        <s:v>128464.16055373538</s:v>
      </s:c>
      <s:c r="H16" s="5">
        <s:f>G16/(1+'Scenarios'!F4)^14</s:f>
        <s:v>56819.822101142294</s:v>
      </s:c>
      <s:c r="I16" s="2" t="n">
        <s:v>14</s:v>
      </s:c>
    </s:row>
    <s:row r="17" ht="42" customHeight="1">
      <s:c r="A17" s="5">
        <s:f>('Inputs'!B2*12*'Inputs'!B9*'Scenarios'!B2*(1+'Inputs'!B11)^14*'Scenarios'!C2*(1-'Inputs'!B13)-'Inputs'!B12*(1+'Inputs'!B14)^14-'Inputs'!B21*(1+'Inputs'!B22)^14)</s:f>
        <s:v>75949.1779074136</s:v>
      </s:c>
      <s:c r="B17" s="5">
        <s:f>A17/(1+'Scenarios'!F2)^15</s:f>
        <s:v>25668.24131297599</s:v>
      </s:c>
      <s:c r="C17" s="2" t="n">
        <s:v>15</s:v>
      </s:c>
      <s:c r="D17" s="5">
        <s:f>('Inputs'!B2*12*'Inputs'!B9*'Scenarios'!B3*(1+'Inputs'!B11)^14*'Scenarios'!C3*(1-'Inputs'!B13)-'Inputs'!B12*(1+'Inputs'!B14)^14-'Inputs'!B21*(1+'Inputs'!B22)^14)</s:f>
        <s:v>109390.04767847902</s:v>
      </s:c>
      <s:c r="E17" s="5">
        <s:f>D17/(1+'Scenarios'!F3)^15</s:f>
        <s:v>42533.75204739124</s:v>
      </s:c>
      <s:c r="F17" s="2" t="n">
        <s:v>15</s:v>
      </s:c>
      <s:c r="G17" s="5">
        <s:f>('Inputs'!B2*12*'Inputs'!B9*'Scenarios'!B4*(1+'Inputs'!B11)^14*'Scenarios'!C4*(1-'Inputs'!B13)-'Inputs'!B12*(1+'Inputs'!B14)^14-'Inputs'!B21*(1+'Inputs'!B22)^14)</s:f>
        <s:v>130792.20433196092</s:v>
      </s:c>
      <s:c r="H17" s="5">
        <s:f>G17/(1+'Scenarios'!F4)^15</s:f>
        <s:v>54575.0170843109</s:v>
      </s:c>
      <s:c r="I17" s="2" t="n">
        <s:v>15</s:v>
      </s:c>
    </s:row>
    <s:row r="18" ht="42" customHeight="1">
      <s:c r="A18" s="5">
        <s:f>('Inputs'!B2*12*'Inputs'!B9*'Scenarios'!B2*(1+'Inputs'!B11)^15*'Scenarios'!C2*(1-'Inputs'!B13)-'Inputs'!B12*(1+'Inputs'!B14)^15-'Inputs'!B21*(1+'Inputs'!B22)^15)</s:f>
        <s:v>77220.89104689147</s:v>
      </s:c>
      <s:c r="B18" s="5">
        <s:f>A18/(1+'Scenarios'!F2)^16</s:f>
        <s:v>24277.243851340267</s:v>
      </s:c>
      <s:c r="C18" s="2" t="n">
        <s:v>16</s:v>
      </s:c>
      <s:c r="D18" s="5">
        <s:f>('Inputs'!B2*12*'Inputs'!B9*'Scenarios'!B3*(1+'Inputs'!B11)^15*'Scenarios'!C3*(1-'Inputs'!B13)-'Inputs'!B12*(1+'Inputs'!B14)^15-'Inputs'!B21*(1+'Inputs'!B22)^15)</s:f>
        <s:v>111330.57821337819</s:v>
      </s:c>
      <s:c r="E18" s="5">
        <s:f>D18/(1+'Scenarios'!F3)^16</s:f>
        <s:v>40646.27398201885</s:v>
      </s:c>
      <s:c r="F18" s="2" t="n">
        <s:v>16</s:v>
      </s:c>
      <s:c r="G18" s="5">
        <s:f>('Inputs'!B2*12*'Inputs'!B9*'Scenarios'!B4*(1+'Inputs'!B11)^15*'Scenarios'!C4*(1-'Inputs'!B13)-'Inputs'!B12*(1+'Inputs'!B14)^15-'Inputs'!B21*(1+'Inputs'!B22)^15)</s:f>
        <s:v>133160.77799992973</s:v>
      </s:c>
      <s:c r="H18" s="5">
        <s:f>G18/(1+'Scenarios'!F4)^16</s:f>
        <s:v>52418.24539597406</s:v>
      </s:c>
      <s:c r="I18" s="2" t="n">
        <s:v>16</s:v>
      </s:c>
    </s:row>
    <s:row r="19" ht="42" customHeight="1">
      <s:c r="A19" s="5">
        <s:f>('Inputs'!B2*12*'Inputs'!B9*'Scenarios'!B2*(1+'Inputs'!B11)^16*'Scenarios'!C2*(1-'Inputs'!B13)-'Inputs'!B12*(1+'Inputs'!B14)^16-'Inputs'!B21*(1+'Inputs'!B22)^16)</s:f>
        <s:v>78511.85668869212</s:v>
      </s:c>
      <s:c r="B19" s="5">
        <s:f>A19/(1+'Scenarios'!F2)^17</s:f>
        <s:v>22961.02945070741</s:v>
      </s:c>
      <s:c r="C19" s="2" t="n">
        <s:v>17</s:v>
      </s:c>
      <s:c r="D19" s="5">
        <s:f>('Inputs'!B2*12*'Inputs'!B9*'Scenarios'!B3*(1+'Inputs'!B11)^16*'Scenarios'!C3*(1-'Inputs'!B13)-'Inputs'!B12*(1+'Inputs'!B14)^16-'Inputs'!B21*(1+'Inputs'!B22)^16)</s:f>
        <s:v>113303.73759850863</s:v>
      </s:c>
      <s:c r="E19" s="5">
        <s:f>D19/(1+'Scenarios'!F3)^17</s:f>
        <s:v>38841.93920671902</s:v>
      </s:c>
      <s:c r="F19" s="2" t="n">
        <s:v>17</s:v>
      </s:c>
      <s:c r="G19" s="5">
        <s:f>('Inputs'!B2*12*'Inputs'!B9*'Scenarios'!B4*(1+'Inputs'!B11)^16*'Scenarios'!C4*(1-'Inputs'!B13)-'Inputs'!B12*(1+'Inputs'!B14)^16-'Inputs'!B21*(1+'Inputs'!B22)^16)</s:f>
        <s:v>135570.54138079117</s:v>
      </s:c>
      <s:c r="H19" s="5">
        <s:f>G19/(1+'Scenarios'!F4)^17</s:f>
        <s:v>50346.07527875216</s:v>
      </s:c>
      <s:c r="I19" s="2" t="n">
        <s:v>17</s:v>
      </s:c>
    </s:row>
    <s:row r="20" ht="42" customHeight="1">
      <s:c r="A20" s="5">
        <s:f>('Inputs'!B2*12*'Inputs'!B9*'Scenarios'!B2*(1+'Inputs'!B11)^17*'Scenarios'!C2*(1-'Inputs'!B13)-'Inputs'!B12*(1+'Inputs'!B14)^17-'Inputs'!B21*(1+'Inputs'!B22)^17)</s:f>
        <s:v>79822.30533885042</s:v>
      </s:c>
      <s:c r="B20" s="5">
        <s:f>A20/(1+'Scenarios'!F2)^18</s:f>
        <s:v>21715.603826606966</s:v>
      </s:c>
      <s:c r="C20" s="2" t="n">
        <s:v>18</s:v>
      </s:c>
      <s:c r="D20" s="5">
        <s:f>('Inputs'!B2*12*'Inputs'!B9*'Scenarios'!B3*(1+'Inputs'!B11)^17*'Scenarios'!C3*(1-'Inputs'!B13)-'Inputs'!B12*(1+'Inputs'!B14)^17-'Inputs'!B21*(1+'Inputs'!B22)^17)</s:f>
        <s:v>115310.02386686322</s:v>
      </s:c>
      <s:c r="E20" s="5">
        <s:f>D20/(1+'Scenarios'!F3)^18</s:f>
        <s:v>37117.10727465257</s:v>
      </s:c>
      <s:c r="F20" s="2" t="n">
        <s:v>18</s:v>
      </s:c>
      <s:c r="G20" s="5">
        <s:f>('Inputs'!B2*12*'Inputs'!B9*'Scenarios'!B4*(1+'Inputs'!B11)^17*'Scenarios'!C4*(1-'Inputs'!B13)-'Inputs'!B12*(1+'Inputs'!B14)^17-'Inputs'!B21*(1+'Inputs'!B22)^17)</s:f>
        <s:v>138022.16372479143</s:v>
      </s:c>
      <s:c r="H20" s="5">
        <s:f>G20/(1+'Scenarios'!F4)^18</s:f>
        <s:v>48355.208099199175</s:v>
      </s:c>
      <s:c r="I20" s="2" t="n">
        <s:v>18</s:v>
      </s:c>
    </s:row>
    <s:row r="21" ht="42" customHeight="1">
      <s:c r="A21" s="5">
        <s:f>('Inputs'!B2*12*'Inputs'!B9*'Scenarios'!B2*(1+'Inputs'!B11)^18*'Scenarios'!C2*(1-'Inputs'!B13)-'Inputs'!B12*(1+'Inputs'!B14)^18-'Inputs'!B21*(1+'Inputs'!B22)^18)</s:f>
        <s:v>81152.46824992145</s:v>
      </s:c>
      <s:c r="B21" s="5">
        <s:f>A21/(1+'Scenarios'!F2)^19</s:f>
        <s:v>20537.18487537262</s:v>
      </s:c>
      <s:c r="C21" s="2" t="n">
        <s:v>19</s:v>
      </s:c>
      <s:c r="D21" s="5">
        <s:f>('Inputs'!B2*12*'Inputs'!B9*'Scenarios'!B3*(1+'Inputs'!B11)^18*'Scenarios'!C3*(1-'Inputs'!B13)-'Inputs'!B12*(1+'Inputs'!B14)^18-'Inputs'!B21*(1+'Inputs'!B22)^18)</s:f>
        <s:v>117349.94114849452</s:v>
      </s:c>
      <s:c r="E21" s="5">
        <s:f>D21/(1+'Scenarios'!F3)^19</s:f>
        <s:v>35468.2963437792</s:v>
      </s:c>
      <s:c r="F21" s="2" t="n">
        <s:v>19</s:v>
      </s:c>
      <s:c r="G21" s="5">
        <s:f>('Inputs'!B2*12*'Inputs'!B9*'Scenarios'!B4*(1+'Inputs'!B11)^18*'Scenarios'!C4*(1-'Inputs'!B13)-'Inputs'!B12*(1+'Inputs'!B14)^18-'Inputs'!B21*(1+'Inputs'!B22)^18)</s:f>
        <s:v>140516.32380358127</s:v>
      </s:c>
      <s:c r="H21" s="5">
        <s:f>G21/(1+'Scenarios'!F4)^19</s:f>
        <s:v>46442.47320460898</s:v>
      </s:c>
      <s:c r="I21" s="2" t="n">
        <s:v>19</s:v>
      </s:c>
    </s:row>
    <s:row r="22" ht="42" customHeight="1">
      <s:c r="A22" s="5">
        <s:f>('Inputs'!B2*12*'Inputs'!B9*'Scenarios'!B2*(1+'Inputs'!B11)^19*'Scenarios'!C2*(1-'Inputs'!B13)-'Inputs'!B12*(1+'Inputs'!B14)^19-'Inputs'!B21*(1+'Inputs'!B22)^19)+('Inputs'!B2*12*'Inputs'!B9*'Scenarios'!B2*(1+'Inputs'!B11)^20*'Scenarios'!C2*(1-'Inputs'!B13)-'Inputs'!B12*(1+'Inputs'!B14)^20)/'Scenarios'!E2*(1-'Inputs'!B17)</s:f>
        <s:v>1578675.786898203</s:v>
      </s:c>
      <s:c r="B22" s="5">
        <s:f>A22/(1+'Scenarios'!F2)^20</s:f>
        <s:v>371641.0367607612</s:v>
      </s:c>
      <s:c r="C22" s="2" t="n">
        <s:v>20</s:v>
      </s:c>
      <s:c r="D22" s="5">
        <s:f>('Inputs'!B2*12*'Inputs'!B9*'Scenarios'!B3*(1+'Inputs'!B11)^19*'Scenarios'!C3*(1-'Inputs'!B13)-'Inputs'!B12*(1+'Inputs'!B14)^19-'Inputs'!B21*(1+'Inputs'!B22)^19)+('Inputs'!B2*12*'Inputs'!B9*'Scenarios'!B3*(1+'Inputs'!B11)^20*'Scenarios'!C3*(1-'Inputs'!B13)-'Inputs'!B12*(1+'Inputs'!B14)^20)/'Scenarios'!E3*(1-'Inputs'!B17)</s:f>
        <s:v>2551811.5251666377</s:v>
      </s:c>
      <s:c r="E22" s="5">
        <s:f>D22/(1+'Scenarios'!F3)^20</s:f>
        <s:v>724196.5292097284</s:v>
      </s:c>
      <s:c r="F22" s="2" t="n">
        <s:v>20</s:v>
      </s:c>
      <s:c r="G22" s="5">
        <s:f>('Inputs'!B2*12*'Inputs'!B9*'Scenarios'!B4*(1+'Inputs'!B11)^19*'Scenarios'!C4*(1-'Inputs'!B13)-'Inputs'!B12*(1+'Inputs'!B14)^19-'Inputs'!B21*(1+'Inputs'!B22)^19)+('Inputs'!B2*12*'Inputs'!B9*'Scenarios'!B4*(1+'Inputs'!B11)^20*'Scenarios'!C4*(1-'Inputs'!B13)-'Inputs'!B12*(1+'Inputs'!B14)^20)/'Scenarios'!E4*(1-'Inputs'!B17)</s:f>
        <s:v>3286264.6956003373</s:v>
      </s:c>
      <s:c r="H22" s="5">
        <s:f>G22/(1+'Scenarios'!F4)^20</s:f>
        <s:v>1024672.8658870441</s:v>
      </s:c>
      <s:c r="I22" s="2" t="n">
        <s:v>20</s:v>
      </s:c>
    </s:row>
  </s:sheetData>
  <s:autoFilter ref="A1:I22"/>
  <s:pageMargins left="0.75" right="0.75" top="1" bottom="1" header="0.5" footer="0.5"/>
</s:worksheet>
</file>

<file path=xl/worksheets/sheet11.xml><?xml version="1.0" encoding="utf-8"?>
<s:worksheet xmlns:s="http://schemas.openxmlformats.org/spreadsheetml/2006/main">
  <s:sheetPr>
    <s:outlinePr summaryBelow="1" summaryRight="1"/>
    <s:pageSetUpPr/>
  </s:sheetPr>
  <s:dimension ref="A1:D12"/>
  <s:sheetViews>
    <s:sheetView workbookViewId="0">
      <s:pane xSplit="1" ySplit="1" topLeftCell="B2" activePane="bottomRight" state="frozen"/>
      <s:selection pane="topRight"/>
      <s:selection pane="bottomLeft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</s:sheetView>
  </s:sheetViews>
  <s:sheetFormatPr baseColWidth="8" defaultRowHeight="15"/>
  <s:cols>
    <s:col width="34" customWidth="1" min="1" max="1"/>
    <s:col width="48" customWidth="1" min="2" max="2"/>
    <s:col width="48" customWidth="1" min="3" max="3"/>
    <s:col width="48" customWidth="1" min="4" max="4"/>
  </s:cols>
  <s:sheetData>
    <s:row r="1">
      <s:c r="A1" s="1" t="inlineStr">
        <s:is>
          <s:t>Metric</s:t>
        </s:is>
      </s:c>
      <s:c r="B1" s="1" t="inlineStr">
        <s:is>
          <s:t>Before</s:t>
        </s:is>
      </s:c>
      <s:c r="C1" s="1" t="inlineStr">
        <s:is>
          <s:t>After</s:t>
        </s:is>
      </s:c>
      <s:c r="D1" s="1" t="inlineStr">
        <s:is>
          <s:t>Unit / evidence</s:t>
        </s:is>
      </s:c>
    </s:row>
    <s:row r="2" ht="55" customHeight="1">
      <s:c r="A2" s="2" t="inlineStr">
        <s:is>
          <s:t>Floor area</s:t>
        </s:is>
      </s:c>
      <s:c r="B2" s="8" t="n">
        <s:v>600</s:v>
      </s:c>
      <s:c r="C2" s="8" t="n">
        <s:v>600</s:v>
      </s:c>
      <s:c r="D2" s="2" t="inlineStr">
        <s:is>
          <s:t>m2; design assumption</s:t>
        </s:is>
      </s:c>
    </s:row>
    <s:row r="3" ht="55" customHeight="1">
      <s:c r="A3" s="2" t="inlineStr">
        <s:is>
          <s:t>Delivered energy intensity</s:t>
        </s:is>
      </s:c>
      <s:c r="B3" s="8" t="n">
        <s:v>250</s:v>
      </s:c>
      <s:c r="C3" s="8" t="n">
        <s:v>120</s:v>
      </s:c>
      <s:c r="D3" s="2" t="inlineStr">
        <s:is>
          <s:t>kWh/m2/year; assumptions, distinct from regulatory PEB primary-energy rating</s:t>
        </s:is>
      </s:c>
    </s:row>
    <s:row r="4" ht="55" customHeight="1">
      <s:c r="A4" s="2" t="inlineStr">
        <s:is>
          <s:t>Energy price</s:t>
        </s:is>
      </s:c>
      <s:c r="B4" s="8" t="n">
        <s:v>0.15</s:v>
      </s:c>
      <s:c r="C4" s="8" t="n">
        <s:v>0.15</s:v>
      </s:c>
      <s:c r="D4" s="2" t="inlineStr">
        <s:is>
          <s:t>EUR/kWh; assumption not a supplier quote</s:t>
        </s:is>
      </s:c>
    </s:row>
    <s:row r="5" ht="55" customHeight="1">
      <s:c r="A5" s="2" t="inlineStr">
        <s:is>
          <s:t>Operational emissions factor</s:t>
        </s:is>
      </s:c>
      <s:c r="B5" s="8" t="n">
        <s:v>0.2</s:v>
      </s:c>
      <s:c r="C5" s="8" t="n">
        <s:v>0.2</s:v>
      </s:c>
      <s:c r="D5" s="2" t="inlineStr">
        <s:is>
          <s:t>kgCO2e/kWh; illustrative, replace with heating-system factors</s:t>
        </s:is>
      </s:c>
    </s:row>
    <s:row r="6" ht="55" customHeight="1">
      <s:c r="A6" s="2" t="inlineStr">
        <s:is>
          <s:t>Annual energy use</s:t>
        </s:is>
      </s:c>
      <s:c r="B6" s="5">
        <s:f>B2*B3</s:f>
        <s:v>150000</s:v>
      </s:c>
      <s:c r="C6" s="5">
        <s:f>C2*C3</s:f>
        <s:v>72000</s:v>
      </s:c>
      <s:c r="D6" s="2" t="inlineStr">
        <s:is>
          <s:t>kWh/year</s:t>
        </s:is>
      </s:c>
    </s:row>
    <s:row r="7" ht="55" customHeight="1">
      <s:c r="A7" s="2" t="inlineStr">
        <s:is>
          <s:t>Annual utility expense</s:t>
        </s:is>
      </s:c>
      <s:c r="B7" s="5">
        <s:f>B6*B4</s:f>
        <s:v>22500.0</s:v>
      </s:c>
      <s:c r="C7" s="5">
        <s:f>C6*C4</s:f>
        <s:v>10800.0</s:v>
      </s:c>
      <s:c r="D7" s="2" t="inlineStr">
        <s:is>
          <s:t>EUR/year; tenant benefit, excluded from owner DCF</s:t>
        </s:is>
      </s:c>
    </s:row>
    <s:row r="8" ht="55" customHeight="1">
      <s:c r="A8" s="2" t="inlineStr">
        <s:is>
          <s:t>Annual operational emissions</s:t>
        </s:is>
      </s:c>
      <s:c r="B8" s="5">
        <s:f>B6*B5/1000</s:f>
        <s:v>30.0</s:v>
      </s:c>
      <s:c r="C8" s="5">
        <s:f>C6*C5/1000</s:f>
        <s:v>14.4</s:v>
      </s:c>
      <s:c r="D8" s="2" t="inlineStr">
        <s:is>
          <s:t>tonnesCO2e/year; embodied carbon excluded</s:t>
        </s:is>
      </s:c>
    </s:row>
    <s:row r="9" ht="55" customHeight="1">
      <s:c r="A9" s="2" t="inlineStr">
        <s:is>
          <s:t>Annual energy saved</s:t>
        </s:is>
      </s:c>
      <s:c r="B9" s="2" t="inlineStr"/>
      <s:c r="C9" s="5">
        <s:f>B6-C6</s:f>
        <s:v>78000</s:v>
      </s:c>
      <s:c r="D9" s="2" t="inlineStr">
        <s:is>
          <s:t>kWh/year</s:t>
        </s:is>
      </s:c>
    </s:row>
    <s:row r="10" ht="55" customHeight="1">
      <s:c r="A10" s="2" t="inlineStr">
        <s:is>
          <s:t>Annual emissions avoided</s:t>
        </s:is>
      </s:c>
      <s:c r="B10" s="2" t="inlineStr"/>
      <s:c r="C10" s="5">
        <s:f>B8-C8</s:f>
        <s:v>15.6</s:v>
      </s:c>
      <s:c r="D10" s="2" t="inlineStr">
        <s:is>
          <s:t>tonnesCO2e/year</s:t>
        </s:is>
      </s:c>
    </s:row>
    <s:row r="11" ht="55" customHeight="1">
      <s:c r="A11" s="2" t="inlineStr">
        <s:is>
          <s:t>Retrofit measures</s:t>
        </s:is>
      </s:c>
      <s:c r="B11" s="2" t="inlineStr">
        <s:is>
          <s:t>Insulation, airtightness, shading, ventilation</s:t>
        </s:is>
      </s:c>
      <s:c r="C11" s="2" t="inlineStr">
        <s:is>
          <s:t>Metering, efficient heating, water saving</s:t>
        </s:is>
      </s:c>
      <s:c r="D11" s="2" t="inlineStr">
        <s:is>
          <s:t>Cost included in renovation budget; audit needed</s:t>
        </s:is>
      </s:c>
    </s:row>
    <s:row r="12" ht="55" customHeight="1">
      <s:c r="A12" s="2" t="inlineStr">
        <s:is>
          <s:t>Regulatory target A9</s:t>
        </s:is>
      </s:c>
      <s:c r="B12" s="2" t="inlineStr">
        <s:is>
          <s:t>PEB275 by 2033</s:t>
        </s:is>
      </s:c>
      <s:c r="C12" s="2" t="inlineStr">
        <s:is>
          <s:t>PEB150 no earlier than 2045</s:t>
        </s:is>
      </s:c>
      <s:c r="D12" s="2" t="inlineStr">
        <s:is>
          <s:t>Check current implementing rules; aim for C where technically feasible</s:t>
        </s:is>
      </s:c>
    </s:row>
  </s:sheetData>
  <s:autoFilter ref="A1:D12"/>
  <s:pageMargins left="0.75" right="0.75" top="1" bottom="1" header="0.5" footer="0.5"/>
</s:worksheet>
</file>

<file path=xl/worksheets/sheet12.xml><?xml version="1.0" encoding="utf-8"?>
<s:worksheet xmlns:s="http://schemas.openxmlformats.org/spreadsheetml/2006/main">
  <s:sheetPr>
    <s:outlinePr summaryBelow="1" summaryRight="1"/>
    <s:pageSetUpPr/>
  </s:sheetPr>
  <s:dimension ref="A1:C14"/>
  <s:sheetViews>
    <s:sheetView workbookViewId="0">
      <s:pane xSplit="1" ySplit="1" topLeftCell="B2" activePane="bottomRight" state="frozen"/>
      <s:selection pane="topRight"/>
      <s:selection pane="bottomLeft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</s:sheetView>
  </s:sheetViews>
  <s:sheetFormatPr baseColWidth="8" defaultRowHeight="15"/>
  <s:cols>
    <s:col width="34" customWidth="1" min="1" max="1"/>
    <s:col width="48" customWidth="1" min="2" max="2"/>
    <s:col width="48" customWidth="1" min="3" max="3"/>
  </s:cols>
  <s:sheetData>
    <s:row r="1">
      <s:c r="A1" s="1" t="inlineStr">
        <s:is>
          <s:t>Measure</s:t>
        </s:is>
      </s:c>
      <s:c r="B1" s="1" t="inlineStr">
        <s:is>
          <s:t>Value</s:t>
        </s:is>
      </s:c>
      <s:c r="C1" s="1" t="inlineStr">
        <s:is>
          <s:t>Meaning / action</s:t>
        </s:is>
      </s:c>
    </s:row>
    <s:row r="2" ht="55" customHeight="1">
      <s:c r="A2" s="2" t="inlineStr">
        <s:is>
          <s:t>Total monthly housing</s:t>
        </s:is>
      </s:c>
      <s:c r="B2" s="5">
        <s:f>'Dashboard'!B8</s:f>
        <s:v>650.0</s:v>
      </s:c>
      <s:c r="C2" s="2" t="inlineStr">
        <s:is>
          <s:t>Rent plus utilities</s:t>
        </s:is>
      </s:c>
    </s:row>
    <s:row r="3" ht="55" customHeight="1">
      <s:c r="A3" s="2" t="inlineStr">
        <s:is>
          <s:t>Illustrative student budget</s:t>
        </s:is>
      </s:c>
      <s:c r="B3" s="5">
        <s:f>'Inputs'!B20</s:f>
        <s:v>1300</s:v>
      </s:c>
      <s:c r="C3" s="2" t="inlineStr">
        <s:is>
          <s:t>Assumption; survey target students</s:t>
        </s:is>
      </s:c>
    </s:row>
    <s:row r="4" ht="55" customHeight="1">
      <s:c r="A4" s="2" t="inlineStr">
        <s:is>
          <s:t>Housing budget share</s:t>
        </s:is>
      </s:c>
      <s:c r="B4" s="6">
        <s:f>B2/B3</s:f>
        <s:v>0.5</s:v>
      </s:c>
      <s:c r="C4" s="2" t="inlineStr">
        <s:is>
          <s:t>Above 40% is a project screening concern, not a legal threshold</s:t>
        </s:is>
      </s:c>
    </s:row>
    <s:row r="5" ht="55" customHeight="1">
      <s:c r="A5" s="2" t="inlineStr">
        <s:is>
          <s:t>Single-person RIS</s:t>
        </s:is>
      </s:c>
      <s:c r="B5" s="2" t="n">
        <s:v>1367.34</s:v>
      </s:c>
      <s:c r="C5" s="2" t="inlineStr">
        <s:is>
          <s:t>A10 effective September 2026; eligibility is individual CPAS decision</s:t>
        </s:is>
      </s:c>
    </s:row>
    <s:row r="6" ht="55" customHeight="1">
      <s:c r="A6" s="2" t="inlineStr">
        <s:is>
          <s:t>Cohabitant RIS</s:t>
        </s:is>
      </s:c>
      <s:c r="B6" s="2" t="n">
        <s:v>911.5599999999999</s:v>
      </s:c>
      <s:c r="C6" s="2" t="inlineStr">
        <s:is>
          <s:t>A10 effective September 2026; shared housing status needs CPAS assessment</s:t>
        </s:is>
      </s:c>
    </s:row>
    <s:row r="7" ht="55" customHeight="1">
      <s:c r="A7" s="2" t="inlineStr">
        <s:is>
          <s:t>Share of single RIS</s:t>
        </s:is>
      </s:c>
      <s:c r="B7" s="6">
        <s:f>B2/B5</s:f>
        <s:v>0.4753755466818787</s:v>
      </s:c>
      <s:c r="C7" s="2" t="inlineStr">
        <s:is>
          <s:t>Affordability stress indicator</s:t>
        </s:is>
      </s:c>
    </s:row>
    <s:row r="8" ht="55" customHeight="1">
      <s:c r="A8" s="2" t="inlineStr">
        <s:is>
          <s:t>Share of cohabitant RIS</s:t>
        </s:is>
      </s:c>
      <s:c r="B8" s="6">
        <s:f>B2/B6</s:f>
        <s:v>0.713063320022818</s:v>
      </s:c>
      <s:c r="C8" s="2" t="inlineStr">
        <s:is>
          <s:t>Affordability stress indicator</s:t>
        </s:is>
      </s:c>
    </s:row>
    <s:row r="9" ht="55" customHeight="1">
      <s:c r="A9" s="2" t="inlineStr">
        <s:is>
          <s:t>Included in rent</s:t>
        </s:is>
      </s:c>
      <s:c r="B9" s="2" t="inlineStr">
        <s:is>
          <s:t>Furniture, Wi-Fi, communal cleaning</s:t>
        </s:is>
      </s:c>
      <s:c r="C9" s="2" t="inlineStr">
        <s:is>
          <s:t>Supplier quotes; operator costs in owner budget</s:t>
        </s:is>
      </s:c>
    </s:row>
    <s:row r="10" ht="55" customHeight="1">
      <s:c r="A10" s="2" t="inlineStr">
        <s:is>
          <s:t>Utilities</s:t>
        </s:is>
      </s:c>
      <s:c r="B10" s="2" t="inlineStr">
        <s:is>
          <s:t>EUR100/month provisional</s:t>
        </s:is>
      </s:c>
      <s:c r="C10" s="2" t="inlineStr">
        <s:is>
          <s:t>Annual reconciliation, clear allocation and separate bills</s:t>
        </s:is>
      </s:c>
    </s:row>
    <s:row r="11" ht="55" customHeight="1">
      <s:c r="A11" s="2" t="inlineStr">
        <s:is>
          <s:t>Optional services</s:t>
        </s:is>
      </s:c>
      <s:c r="B11" s="2" t="inlineStr">
        <s:is>
          <s:t>Laundry paid at cost; no meal plan</s:t>
        </s:is>
      </s:c>
      <s:c r="C11" s="2" t="inlineStr">
        <s:is>
          <s:t>No additional profit assumed</s:t>
        </s:is>
      </s:c>
    </s:row>
    <s:row r="12" ht="55" customHeight="1">
      <s:c r="A12" s="2" t="inlineStr">
        <s:is>
          <s:t>Neighbourhood</s:t>
        </s:is>
      </s:c>
      <s:c r="B12" s="2" t="inlineStr">
        <s:is>
          <s:t>Quiet hours, complaint contact, waste separation</s:t>
        </s:is>
      </s:c>
      <s:c r="C12" s="2" t="inlineStr">
        <s:is>
          <s:t>Pre-opening neighbour meeting; monitor complaints</s:t>
        </s:is>
      </s:c>
    </s:row>
    <s:row r="13" ht="55" customHeight="1">
      <s:c r="A13" s="2" t="inlineStr">
        <s:is>
          <s:t>Inclusion</s:t>
        </s:is>
      </s:c>
      <s:c r="B13" s="2" t="inlineStr">
        <s:is>
          <s:t>Accessible ground-floor room and step-free route</s:t>
        </s:is>
      </s:c>
      <s:c r="C13" s="2" t="inlineStr">
        <s:is>
          <s:t>Architect to verify feasibility and cost</s:t>
        </s:is>
      </s:c>
    </s:row>
    <s:row r="14" ht="55" customHeight="1">
      <s:c r="A14" s="2" t="inlineStr">
        <s:is>
          <s:t>Support</s:t>
        </s:is>
      </s:c>
      <s:c r="B14" s="2" t="inlineStr">
        <s:is>
          <s:t>University social services / CPAS referral</s:t>
        </s:is>
      </s:c>
      <s:c r="C14" s="2" t="inlineStr">
        <s:is>
          <s:t>Do not assume grants as recurring owner income</s:t>
        </s:is>
      </s:c>
    </s:row>
  </s:sheetData>
  <s:autoFilter ref="A1:C14"/>
  <s:pageMargins left="0.75" right="0.75" top="1" bottom="1" header="0.5" footer="0.5"/>
</s:worksheet>
</file>

<file path=xl/worksheets/sheet13.xml><?xml version="1.0" encoding="utf-8"?>
<s:worksheet xmlns:s="http://schemas.openxmlformats.org/spreadsheetml/2006/main">
  <s:sheetPr>
    <s:outlinePr summaryBelow="1" summaryRight="1"/>
    <s:pageSetUpPr/>
  </s:sheetPr>
  <s:dimension ref="A1:F10"/>
  <s:sheetViews>
    <s:sheetView workbookViewId="0">
      <s:pane xSplit="1" ySplit="1" topLeftCell="B2" activePane="bottomRight" state="frozen"/>
      <s:selection pane="topRight"/>
      <s:selection pane="bottomLeft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</s:sheetView>
  </s:sheetViews>
  <s:sheetFormatPr baseColWidth="8" defaultRowHeight="15"/>
  <s:cols>
    <s:col width="34" customWidth="1" min="1" max="1"/>
    <s:col width="48" customWidth="1" min="2" max="2"/>
    <s:col width="48" customWidth="1" min="3" max="3"/>
    <s:col width="48" customWidth="1" min="4" max="4"/>
    <s:col width="48" customWidth="1" min="5" max="5"/>
    <s:col width="48" customWidth="1" min="6" max="6"/>
  </s:cols>
  <s:sheetData>
    <s:row r="1">
      <s:c r="A1" s="1" t="inlineStr">
        <s:is>
          <s:t>Criterion</s:t>
        </s:is>
      </s:c>
      <s:c r="B1" s="1" t="inlineStr">
        <s:is>
          <s:t>Weight</s:t>
        </s:is>
      </s:c>
      <s:c r="C1" s="1" t="inlineStr">
        <s:is>
          <s:t>Etterbeek-Petillon</s:t>
        </s:is>
      </s:c>
      <s:c r="D1" s="1" t="inlineStr">
        <s:is>
          <s:t>Ixelles cemetery</s:t>
        </s:is>
      </s:c>
      <s:c r="E1" s="1" t="inlineStr">
        <s:is>
          <s:t>Solbosch edge</s:t>
        </s:is>
      </s:c>
      <s:c r="F1" s="1" t="inlineStr">
        <s:is>
          <s:t>Basis / illustrative scores 1–5</s:t>
        </s:is>
      </s:c>
    </s:row>
    <s:row r="2" ht="55" customHeight="1">
      <s:c r="A2" s="2" t="inlineStr">
        <s:is>
          <s:t>Transport</s:t>
        </s:is>
      </s:c>
      <s:c r="B2" s="8" t="n">
        <s:v>0.25</s:v>
      </s:c>
      <s:c r="C2" s="8" t="n">
        <s:v>5</s:v>
      </s:c>
      <s:c r="D2" s="8" t="n">
        <s:v>4</s:v>
      </s:c>
      <s:c r="E2" s="8" t="n">
        <s:v>4</s:v>
      </s:c>
      <s:c r="F2" s="2" t="inlineStr">
        <s:is>
          <s:t>A4; test actual walking route and service frequency</s:t>
        </s:is>
      </s:c>
    </s:row>
    <s:row r="3" ht="55" customHeight="1">
      <s:c r="A3" s="2" t="inlineStr">
        <s:is>
          <s:t>Campus access</s:t>
        </s:is>
      </s:c>
      <s:c r="B3" s="8" t="n">
        <s:v>0.2</s:v>
      </s:c>
      <s:c r="C3" s="8" t="n">
        <s:v>5</s:v>
      </s:c>
      <s:c r="D3" s="8" t="n">
        <s:v>5</s:v>
      </s:c>
      <s:c r="E3" s="8" t="n">
        <s:v>5</s:v>
      </s:c>
      <s:c r="F3" s="2" t="inlineStr">
        <s:is>
          <s:t>VUB/ULB proximity; exact address needed</s:t>
        </s:is>
      </s:c>
    </s:row>
    <s:row r="4" ht="55" customHeight="1">
      <s:c r="A4" s="2" t="inlineStr">
        <s:is>
          <s:t>Affordability</s:t>
        </s:is>
      </s:c>
      <s:c r="B4" s="8" t="n">
        <s:v>0.2</s:v>
      </s:c>
      <s:c r="C4" s="8" t="n">
        <s:v>3</s:v>
      </s:c>
      <s:c r="D4" s="8" t="n">
        <s:v>3</s:v>
      </s:c>
      <s:c r="E4" s="8" t="n">
        <s:v>3</s:v>
      </s:c>
      <s:c r="F4" s="2" t="inlineStr">
        <s:is>
          <s:t>Same base budget; acquisition prices unverified</s:t>
        </s:is>
      </s:c>
    </s:row>
    <s:row r="5" ht="55" customHeight="1">
      <s:c r="A5" s="2" t="inlineStr">
        <s:is>
          <s:t>Environmental potential</s:t>
        </s:is>
      </s:c>
      <s:c r="B5" s="8" t="n">
        <s:v>0.15</s:v>
      </s:c>
      <s:c r="C5" s="8" t="n">
        <s:v>3</s:v>
      </s:c>
      <s:c r="D5" s="8" t="n">
        <s:v>3</s:v>
      </s:c>
      <s:c r="E5" s="8" t="n">
        <s:v>3</s:v>
      </s:c>
      <s:c r="F5" s="2" t="inlineStr">
        <s:is>
          <s:t>No audited building; neutral scores</s:t>
        </s:is>
      </s:c>
    </s:row>
    <s:row r="6" ht="55" customHeight="1">
      <s:c r="A6" s="2" t="inlineStr">
        <s:is>
          <s:t>Social fit</s:t>
        </s:is>
      </s:c>
      <s:c r="B6" s="8" t="n">
        <s:v>0.1</s:v>
      </s:c>
      <s:c r="C6" s="8" t="n">
        <s:v>3</s:v>
      </s:c>
      <s:c r="D6" s="8" t="n">
        <s:v>3</s:v>
      </s:c>
      <s:c r="E6" s="8" t="n">
        <s:v>4</s:v>
      </s:c>
      <s:c r="F6" s="2" t="inlineStr">
        <s:is>
          <s:t>Judgement only; survey neighbours</s:t>
        </s:is>
      </s:c>
    </s:row>
    <s:row r="7" ht="55" customHeight="1">
      <s:c r="A7" s="2" t="inlineStr">
        <s:is>
          <s:t>Execution risk</s:t>
        </s:is>
      </s:c>
      <s:c r="B7" s="8" t="n">
        <s:v>0.1</s:v>
      </s:c>
      <s:c r="C7" s="8" t="n">
        <s:v>3</s:v>
      </s:c>
      <s:c r="D7" s="8" t="n">
        <s:v>3</s:v>
      </s:c>
      <s:c r="E7" s="8" t="n">
        <s:v>3</s:v>
      </s:c>
      <s:c r="F7" s="2" t="inlineStr">
        <s:is>
          <s:t>No site-specific permission assessed</s:t>
        </s:is>
      </s:c>
    </s:row>
    <s:row r="8" ht="55" customHeight="1">
      <s:c r="A8" s="2" t="inlineStr">
        <s:is>
          <s:t>Weight total</s:t>
        </s:is>
      </s:c>
      <s:c r="B8" s="5">
        <s:f>SUM(B2:B7)</s:f>
        <s:v>1.0</s:v>
      </s:c>
      <s:c r="C8" s="2" t="n"/>
      <s:c r="D8" s="2" t="n"/>
      <s:c r="E8" s="2" t="n"/>
      <s:c r="F8" s="2" t="n"/>
    </s:row>
    <s:row r="9" ht="55" customHeight="1">
      <s:c r="A9" s="2" t="inlineStr">
        <s:is>
          <s:t>Weighted score</s:t>
        </s:is>
      </s:c>
      <s:c r="B9" s="2" t="inlineStr"/>
      <s:c r="C9" s="5">
        <s:f>SUMPRODUCT($B$2:$B$7,C2:C7)</s:f>
        <s:v>3.8999999999999995</s:v>
      </s:c>
      <s:c r="D9" s="5">
        <s:f>SUMPRODUCT($B$2:$B$7,D2:D7)</s:f>
        <s:v>3.6499999999999995</s:v>
      </s:c>
      <s:c r="E9" s="5">
        <s:f>SUMPRODUCT($B$2:$B$7,E2:E7)</s:f>
        <s:v>3.75</s:v>
      </s:c>
      <s:c r="F9" s="2" t="inlineStr">
        <s:is>
          <s:t>Scores are provisional; no property ranking established</s:t>
        </s:is>
      </s:c>
    </s:row>
    <s:row r="10" ht="55" customHeight="1">
      <s:c r="A10" s="2" t="inlineStr">
        <s:is>
          <s:t>Legal gate</s:t>
        </s:is>
      </s:c>
      <s:c r="B10" s="2" t="inlineStr">
        <s:is>
          <s:t>UNKNOWN</s:t>
        </s:is>
      </s:c>
      <s:c r="C10" s="2" t="inlineStr">
        <s:is>
          <s:t>UNKNOWN</s:t>
        </s:is>
      </s:c>
      <s:c r="D10" s="2" t="inlineStr">
        <s:is>
          <s:t>UNKNOWN</s:t>
        </s:is>
      </s:c>
      <s:c r="E10" s="2" t="inlineStr">
        <s:is>
          <s:t>UNKNOWN</s:t>
        </s:is>
      </s:c>
      <s:c r="F10" s="2" t="inlineStr">
        <s:is>
          <s:t>Any failure overrides score and NPV; no acquisition authorised</s:t>
        </s:is>
      </s:c>
    </s:row>
  </s:sheetData>
  <s:autoFilter ref="A1:F10"/>
  <s:pageMargins left="0.75" right="0.75" top="1" bottom="1" header="0.5" footer="0.5"/>
</s:worksheet>
</file>

<file path=xl/worksheets/sheet14.xml><?xml version="1.0" encoding="utf-8"?>
<s:worksheet xmlns:s="http://schemas.openxmlformats.org/spreadsheetml/2006/main">
  <s:sheetPr>
    <s:outlinePr summaryBelow="1" summaryRight="1"/>
    <s:pageSetUpPr/>
  </s:sheetPr>
  <s:dimension ref="A1:E12"/>
  <s:sheetViews>
    <s:sheetView workbookViewId="0">
      <s:pane xSplit="1" ySplit="1" topLeftCell="B2" activePane="bottomRight" state="frozen"/>
      <s:selection pane="topRight"/>
      <s:selection pane="bottomLeft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</s:sheetView>
  </s:sheetViews>
  <s:sheetFormatPr baseColWidth="8" defaultRowHeight="15"/>
  <s:cols>
    <s:col width="34" customWidth="1" min="1" max="1"/>
    <s:col width="48" customWidth="1" min="2" max="2"/>
    <s:col width="48" customWidth="1" min="3" max="3"/>
    <s:col width="48" customWidth="1" min="4" max="4"/>
    <s:col width="48" customWidth="1" min="5" max="5"/>
  </s:cols>
  <s:sheetData>
    <s:row r="1">
      <s:c r="A1" s="1" t="inlineStr">
        <s:is>
          <s:t>Issue</s:t>
        </s:is>
      </s:c>
      <s:c r="B1" s="1" t="inlineStr">
        <s:is>
          <s:t>Rule / evidence</s:t>
        </s:is>
      </s:c>
      <s:c r="C1" s="1" t="inlineStr">
        <s:is>
          <s:t>Status</s:t>
        </s:is>
      </s:c>
      <s:c r="D1" s="1" t="inlineStr">
        <s:is>
          <s:t>Next action</s:t>
        </s:is>
      </s:c>
      <s:c r="E1" s="1" t="inlineStr">
        <s:is>
          <s:t>Owner</s:t>
        </s:is>
      </s:c>
    </s:row>
    <s:row r="2" ht="55" customHeight="1">
      <s:c r="A2" s="2" t="inlineStr">
        <s:is>
          <s:t>Registration duty</s:t>
        </s:is>
      </s:c>
      <s:c r="B2" s="2" t="inlineStr">
        <s:is>
          <s:t>12.5% on existing-building purchase A1</s:t>
        </s:is>
      </s:c>
      <s:c r="C2" s="2" t="inlineStr">
        <s:is>
          <s:t>Modelled</s:t>
        </s:is>
      </s:c>
      <s:c r="D2" s="2" t="inlineStr">
        <s:is>
          <s:t>Notary confirms tax base and VAT status</s:t>
        </s:is>
      </s:c>
      <s:c r="E2" s="2" t="inlineStr">
        <s:is>
          <s:t>Notary</s:t>
        </s:is>
      </s:c>
    </s:row>
    <s:row r="3" ht="55" customHeight="1">
      <s:c r="A3" s="2" t="inlineStr">
        <s:is>
          <s:t>Planning</s:t>
        </s:is>
      </s:c>
      <s:c r="B3" s="2" t="inlineStr">
        <s:is>
          <s:t>Municipal permits; lawful use and unit count A7/A8</s:t>
        </s:is>
      </s:c>
      <s:c r="C3" s="2" t="inlineStr">
        <s:is>
          <s:t>UNVERIFIED</s:t>
        </s:is>
      </s:c>
      <s:c r="D3" s="2" t="inlineStr">
        <s:is>
          <s:t>Obtain planning records; sale condition precedent</s:t>
        </s:is>
      </s:c>
      <s:c r="E3" s="2" t="inlineStr">
        <s:is>
          <s:t>Architect</s:t>
        </s:is>
      </s:c>
    </s:row>
    <s:row r="4" ht="55" customHeight="1">
      <s:c r="A4" s="2" t="inlineStr">
        <s:is>
          <s:t>Habitability</s:t>
        </s:is>
      </s:c>
      <s:c r="B4" s="2" t="inlineStr">
        <s:is>
          <s:t>Brussels minimum standards changed January 2026 A5</s:t>
        </s:is>
      </s:c>
      <s:c r="C4" s="2" t="inlineStr">
        <s:is>
          <s:t>UNVERIFIED</s:t>
        </s:is>
      </s:c>
      <s:c r="D4" s="2" t="inlineStr">
        <s:is>
          <s:t>Room-by-room compliance survey</s:t>
        </s:is>
      </s:c>
      <s:c r="E4" s="2" t="inlineStr">
        <s:is>
          <s:t>Architect</s:t>
        </s:is>
      </s:c>
    </s:row>
    <s:row r="5" ht="55" customHeight="1">
      <s:c r="A5" s="2" t="inlineStr">
        <s:is>
          <s:t>Fire</s:t>
        </s:is>
      </s:c>
      <s:c r="B5" s="2" t="inlineStr">
        <s:is>
          <s:t>Smoke detection and fire safety A5</s:t>
        </s:is>
      </s:c>
      <s:c r="C5" s="2" t="inlineStr">
        <s:is>
          <s:t>UNVERIFIED</s:t>
        </s:is>
      </s:c>
      <s:c r="D5" s="2" t="inlineStr">
        <s:is>
          <s:t>Consult SIAMU; cost evacuation and compartmentation</s:t>
        </s:is>
      </s:c>
      <s:c r="E5" s="2" t="inlineStr">
        <s:is>
          <s:t>Fire engineer</s:t>
        </s:is>
      </s:c>
    </s:row>
    <s:row r="6" ht="55" customHeight="1">
      <s:c r="A6" s="2" t="inlineStr">
        <s:is>
          <s:t>Lease</s:t>
        </s:is>
      </s:c>
      <s:c r="B6" s="2" t="inlineStr">
        <s:is>
          <s:t>Student evidence and max 12 months A6; register within two months A12</s:t>
        </s:is>
      </s:c>
      <s:c r="C6" s="2" t="inlineStr">
        <s:is>
          <s:t>UNVERIFIED</s:t>
        </s:is>
      </s:c>
      <s:c r="D6" s="2" t="inlineStr">
        <s:is>
          <s:t>Use current regional template; review deposit and termination</s:t>
        </s:is>
      </s:c>
      <s:c r="E6" s="2" t="inlineStr">
        <s:is>
          <s:t>Legal adviser</s:t>
        </s:is>
      </s:c>
    </s:row>
    <s:row r="7" ht="55" customHeight="1">
      <s:c r="A7" s="2" t="inlineStr">
        <s:is>
          <s:t>Rent</s:t>
        </s:is>
      </s:c>
      <s:c r="B7" s="2" t="inlineStr">
        <s:is>
          <s:t>Indexation and rent fairness subject to regional rules</s:t>
        </s:is>
      </s:c>
      <s:c r="C7" s="2" t="inlineStr">
        <s:is>
          <s:t>UNVERIFIED</s:t>
        </s:is>
      </s:c>
      <s:c r="D7" s="2" t="inlineStr">
        <s:is>
          <s:t>Check reference rent and current indexation restrictions</s:t>
        </s:is>
      </s:c>
      <s:c r="E7" s="2" t="inlineStr">
        <s:is>
          <s:t>Legal adviser</s:t>
        </s:is>
      </s:c>
    </s:row>
    <s:row r="8" ht="55" customHeight="1">
      <s:c r="A8" s="2" t="inlineStr">
        <s:is>
          <s:t>Energy</s:t>
        </s:is>
      </s:c>
      <s:c r="B8" s="2" t="inlineStr">
        <s:is>
          <s:t>Regional PEB targets A9; certificate A11</s:t>
        </s:is>
      </s:c>
      <s:c r="C8" s="2" t="inlineStr">
        <s:is>
          <s:t>UNVERIFIED</s:t>
        </s:is>
      </s:c>
      <s:c r="D8" s="2" t="inlineStr">
        <s:is>
          <s:t>Obtain certificate, audit and staged retrofit plan</s:t>
        </s:is>
      </s:c>
      <s:c r="E8" s="2" t="inlineStr">
        <s:is>
          <s:t>Energy auditor</s:t>
        </s:is>
      </s:c>
    </s:row>
    <s:row r="9" ht="55" customHeight="1">
      <s:c r="A9" s="2" t="inlineStr">
        <s:is>
          <s:t>Tax</s:t>
        </s:is>
      </s:c>
      <s:c r="B9" s="2" t="inlineStr">
        <s:is>
          <s:t>Investor income tax and VAT depend on entity and services</s:t>
        </s:is>
      </s:c>
      <s:c r="C9" s="2" t="inlineStr">
        <s:is>
          <s:t>EXCLUDED</s:t>
        </s:is>
      </s:c>
      <s:c r="D9" s="2" t="inlineStr">
        <s:is>
          <s:t>Add entity-specific taxation before investment decision</s:t>
        </s:is>
      </s:c>
      <s:c r="E9" s="2" t="inlineStr">
        <s:is>
          <s:t>Accountant</s:t>
        </s:is>
      </s:c>
    </s:row>
    <s:row r="10" ht="55" customHeight="1">
      <s:c r="A10" s="2" t="inlineStr">
        <s:is>
          <s:t>Overruns</s:t>
        </s:is>
      </s:c>
      <s:c r="B10" s="2" t="inlineStr">
        <s:is>
          <s:t>15% contingency, downside +20% renovation</s:t>
        </s:is>
      </s:c>
      <s:c r="C10" s="2" t="inlineStr">
        <s:is>
          <s:t>Scenario</s:t>
        </s:is>
      </s:c>
      <s:c r="D10" s="2" t="inlineStr">
        <s:is>
          <s:t>Fixed scope and quotes; inspect structural condition</s:t>
        </s:is>
      </s:c>
      <s:c r="E10" s="2" t="inlineStr">
        <s:is>
          <s:t>Project manager</s:t>
        </s:is>
      </s:c>
    </s:row>
    <s:row r="11" ht="55" customHeight="1">
      <s:c r="A11" s="2" t="inlineStr">
        <s:is>
          <s:t>Letting</s:t>
        </s:is>
      </s:c>
      <s:c r="B11" s="2" t="inlineStr">
        <s:is>
          <s:t>95% paid occupancy assumes summer demand</s:t>
        </s:is>
      </s:c>
      <s:c r="C11" s="2" t="inlineStr">
        <s:is>
          <s:t>Scenario</s:t>
        </s:is>
      </s:c>
      <s:c r="D11" s="2" t="inlineStr">
        <s:is>
          <s:t>Validate academic vs full-year lease mix</s:t>
        </s:is>
      </s:c>
      <s:c r="E11" s="2" t="inlineStr">
        <s:is>
          <s:t>Operator</s:t>
        </s:is>
      </s:c>
    </s:row>
    <s:row r="12" ht="55" customHeight="1">
      <s:c r="A12" s="2" t="inlineStr">
        <s:is>
          <s:t>Municipal charges</s:t>
        </s:is>
      </s:c>
      <s:c r="B12" s="2" t="inlineStr">
        <s:is>
          <s:t>Property tax, local taxes and permit fees vary by address</s:t>
        </s:is>
      </s:c>
      <s:c r="C12" s="2" t="inlineStr">
        <s:is>
          <s:t>ALLOWANCE</s:t>
        </s:is>
      </s:c>
      <s:c r="D12" s="2" t="inlineStr">
        <s:is>
          <s:t>Replace EUR10000 tax allowance with actual assessment</s:t>
        </s:is>
      </s:c>
      <s:c r="E12" s="2" t="inlineStr">
        <s:is>
          <s:t>Accountant</s:t>
        </s:is>
      </s:c>
    </s:row>
  </s:sheetData>
  <s:autoFilter ref="A1:E12"/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2026-10-14T16:12:29Z</dcterms:created>
  <dcterms:modified xsi:type="dcterms:W3CDTF">2026-10-14T16:14:48Z</dcterms:modified>
</cp:coreProperties>
</file>