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Guide" sheetId="2" state="visible" r:id="rId2"/>
    <sheet name="Assumptions" sheetId="3" state="visible" r:id="rId3"/>
    <sheet name="Opportunities" sheetId="4" state="visible" r:id="rId4"/>
    <sheet name="Compliance" sheetId="5" state="visible" r:id="rId5"/>
    <sheet name="Cash flows" sheetId="6" state="visible" r:id="rId6"/>
    <sheet name="Portfolio" sheetId="7" state="visible" r:id="rId7"/>
    <sheet name="Sources" sheetId="8" state="visible" r:id="rId8"/>
  </sheets>
  <definedNames>
    <definedName name="_xlnm.Print_Titles" localSheetId="0">'Report'!$1:$4</definedName>
    <definedName name="_xlnm.Print_Area" localSheetId="0">'Report'!$A$1:$I$60</definedName>
    <definedName name="_xlnm.Print_Titles" localSheetId="1">'Guide'!$1:$4</definedName>
    <definedName name="_xlnm.Print_Titles" localSheetId="2">'Assumptions'!$1:$4</definedName>
    <definedName name="_xlnm._FilterDatabase" localSheetId="3" hidden="1">'Opportunities'!$A$7:$U$15</definedName>
    <definedName name="_xlnm.Print_Titles" localSheetId="3">'Opportunities'!$1:$4</definedName>
    <definedName name="_xlnm.Print_Area" localSheetId="3">'Opportunities'!$A$1:$U$15</definedName>
    <definedName name="_xlnm._FilterDatabase" localSheetId="4" hidden="1">'Compliance'!$A$4:$E$100</definedName>
    <definedName name="_xlnm.Print_Titles" localSheetId="4">'Compliance'!$1:$4</definedName>
    <definedName name="_xlnm.Print_Titles" localSheetId="5">'Cash flows'!$1:$4</definedName>
    <definedName name="_xlnm.Print_Titles" localSheetId="6">'Portfolio'!$1:$4</definedName>
    <definedName name="_xlnm.Print_Titles" localSheetId="7">'Sources'!$1:$4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EUR&quot;"/>
    <numFmt numFmtId="166" formatCode="#,##0;[Red](#,##0);—"/>
  </numFmts>
  <fonts count="7">
    <font>
      <name val="Calibri"/>
      <family val="2"/>
      <color theme="1"/>
      <sz val="11"/>
      <scheme val="minor"/>
    </font>
    <font>
      <name val="Calibri"/>
      <b val="1"/>
      <color rgb="00142D4E"/>
      <sz val="21"/>
    </font>
    <font>
      <name val="Calibri"/>
      <color rgb="00555555"/>
      <sz val="11"/>
    </font>
    <font>
      <b val="1"/>
      <color rgb="00FFFFFF"/>
    </font>
    <font>
      <color rgb="001B65A0"/>
    </font>
    <font>
      <color rgb="0022222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D4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Eligible opportunities | base and downside NPV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'Report'!C14</f>
            </strRef>
          </tx>
          <spPr>
            <a:ln>
              <a:prstDash val="solid"/>
            </a:ln>
          </spPr>
          <cat>
            <numRef>
              <f>'Report'!$B$15:$B$22</f>
            </numRef>
          </cat>
          <val>
            <numRef>
              <f>'Report'!$C$15:$C$22</f>
            </numRef>
          </val>
        </ser>
        <ser>
          <idx val="1"/>
          <order val="1"/>
          <tx>
            <strRef>
              <f>'Report'!G14</f>
            </strRef>
          </tx>
          <spPr>
            <a:ln>
              <a:prstDash val="solid"/>
            </a:ln>
          </spPr>
          <cat>
            <numRef>
              <f>'Report'!$B$15:$B$22</f>
            </numRef>
          </cat>
          <val>
            <numRef>
              <f>'Report'!$G$15:$G$22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Opportunity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e.brussels/en/housing/new-minimum-quality-standards-2026" TargetMode="External" Id="rId1" /><Relationship Type="http://schemas.openxmlformats.org/officeDocument/2006/relationships/hyperlink" Target="https://www.slrb-bghm.brussels/sites/default/files/2026-02/arr%C3%AAt%C3%A9%20exigences%20%C3%A9l%C3%A9mentaires%20s%C3%A9curit%C3%A9%20%20texte%20coordonn%C3%A9%20fr%2001012026.pdf" TargetMode="External" Id="rId2" /><Relationship Type="http://schemas.openxmlformats.org/officeDocument/2006/relationships/hyperlink" Target="https://be.brussels/en/about-region/structure-and-organisations/overview-administrations-and-institutions-region/brussels-housing/structure-brussels-housing/regional-housing-inspectorate-dirl" TargetMode="External" Id="rId3" /><Relationship Type="http://schemas.openxmlformats.org/officeDocument/2006/relationships/hyperlink" Target="https://be.brussels/en/housing/rental/conformity-for-rental-properties/ensuring-quality-student-housing" TargetMode="External" Id="rId4" /><Relationship Type="http://schemas.openxmlformats.org/officeDocument/2006/relationships/hyperlink" Target="https://admin.be.brussels/en/bhg/document/download/4537" TargetMode="External" Id="rId5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I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BRUSSELS | STUDENT HOUSING</t>
        </is>
      </c>
    </row>
    <row r="2">
      <c r="A2" s="2" t="inlineStr">
        <is>
          <t>Investment committee report • capital allocation • model date 14 October 2026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inlineStr">
        <is>
          <t>Use / evidence status</t>
        </is>
      </c>
      <c r="B4" s="4" t="str">
        <f>IF(Assumptions!B5="YES","DEMONSTRATION — hypothetical opportunities","LIVE INPUTS — evidence required")</f>
        <v>DEMONSTRATION — hypothetical opportunities</v>
      </c>
      <c r="C4" s="3" t="n"/>
      <c r="D4" s="3" t="n"/>
      <c r="E4" s="3" t="n"/>
      <c r="F4" s="3" t="n"/>
      <c r="G4" s="3" t="n"/>
      <c r="H4" s="3" t="n"/>
      <c r="I4" s="3" t="n"/>
    </row>
    <row r="5">
      <c r="A5" s="3" t="inlineStr">
        <is>
          <t>Mandate</t>
        </is>
      </c>
      <c r="B5" s="3" t="inlineStr">
        <is>
          <t>Maximize 10-year discounted unlevered profit within budget; legal readiness is mandatory.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inlineStr">
        <is>
          <t>Optimal portfolio NPV</t>
        </is>
      </c>
      <c r="B6" s="5">
        <f>MAX(Portfolio!N5:N260)</f>
        <v>188913.04228683736</v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Winning subset position</t>
        </is>
      </c>
      <c r="B7" s="5">
        <f>MATCH(B6,Portfolio!N5:N260,0)</f>
        <v>12</v>
      </c>
      <c r="C7" s="3" t="n"/>
      <c r="D7" s="3" t="n"/>
      <c r="E7" s="3" t="n"/>
      <c r="F7" s="3" t="n"/>
      <c r="G7" s="3" t="n"/>
      <c r="H7" s="3" t="n"/>
      <c r="I7" s="3" t="n"/>
    </row>
    <row r="8">
      <c r="A8" s="3" t="inlineStr">
        <is>
          <t>Committed capital</t>
        </is>
      </c>
      <c r="B8" s="5">
        <f>INDEX(Portfolio!J5:J260,B7)</f>
        <v>1786750.0</v>
      </c>
      <c r="C8" s="3" t="n"/>
      <c r="D8" s="3" t="n"/>
      <c r="E8" s="3" t="n"/>
      <c r="F8" s="3" t="n"/>
      <c r="G8" s="3" t="n"/>
      <c r="H8" s="3" t="n"/>
      <c r="I8" s="3" t="n"/>
    </row>
    <row r="9">
      <c r="A9" s="3" t="inlineStr">
        <is>
          <t>Remaining capital</t>
        </is>
      </c>
      <c r="B9" s="5">
        <f>Assumptions!B6-B8</f>
        <v>213250.0</v>
      </c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Projects selected</t>
        </is>
      </c>
      <c r="B10" s="5">
        <f>INDEX(Portfolio!K5:K260,B7)</f>
        <v>3</v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Recommendation</t>
        </is>
      </c>
      <c r="B11" s="5" t="str">
        <f>IF(B10=0,"No eligible positive-NPV portfolio — retain capital",IF(Assumptions!B5="YES","Illustration only; obtain actual opportunities and evidence before investment","Selected projects require final due diligence and transaction approval"))</f>
        <v>Illustration only; obtain actual opportunities and evidence before investment</v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2" customHeight="1">
      <c r="A14" s="6" t="inlineStr">
        <is>
          <t>Order</t>
        </is>
      </c>
      <c r="B14" s="6" t="inlineStr">
        <is>
          <t>Project</t>
        </is>
      </c>
      <c r="C14" s="6" t="inlineStr">
        <is>
          <t>NPV</t>
        </is>
      </c>
      <c r="D14" s="6" t="inlineStr">
        <is>
          <t>IRR</t>
        </is>
      </c>
      <c r="E14" s="6" t="inlineStr">
        <is>
          <t>All-in capital</t>
        </is>
      </c>
      <c r="F14" s="6" t="inlineStr">
        <is>
          <t>Ready (months)</t>
        </is>
      </c>
      <c r="G14" s="6" t="inlineStr">
        <is>
          <t>Downside NPV</t>
        </is>
      </c>
      <c r="H14" s="6" t="inlineStr">
        <is>
          <t>Compliance</t>
        </is>
      </c>
      <c r="I14" s="6" t="inlineStr">
        <is>
          <t>Selection</t>
        </is>
      </c>
    </row>
    <row r="15" ht="36" customHeight="1">
      <c r="A15" s="5">
        <f>IF(1&lt;=COUNTIF(Opportunities!$S$8:$S$15,"ELIGIBLE"),1,"")</f>
        <v>1</v>
      </c>
      <c r="B15" s="5" t="str">
        <f>IF($A15="","",INDEX(Opportunities!$B$8:$B$15,MATCH($A15,Opportunities!$T$8:$T$15,0)))</f>
        <v>Illustrative conversion A</v>
      </c>
      <c r="C15" s="5">
        <f>IF($A15="","",INDEX(Opportunities!$P$8:$P$15,MATCH($A15,Opportunities!$T$8:$T$15,0)))</f>
        <v>90896.51702244638</v>
      </c>
      <c r="D15" s="7">
        <f>IF($A15="","",INDEX(Opportunities!$Q$8:$Q$15,MATCH($A15,Opportunities!$T$8:$T$15,0)))</f>
        <v>0.10331943345476102</v>
      </c>
      <c r="E15" s="5">
        <f>IF($A15="","",INDEX(Opportunities!$L$8:$L$15,MATCH($A15,Opportunities!$T$8:$T$15,0)))</f>
        <v>869500.0000000001</v>
      </c>
      <c r="F15" s="5">
        <f>IF($A15="","",INDEX(Opportunities!$H$8:$H$15,MATCH($A15,Opportunities!$T$8:$T$15,0)))</f>
        <v>12</v>
      </c>
      <c r="G15" s="5">
        <f>IF($A15="","",INDEX(Opportunities!$R$8:$R$15,MATCH($A15,Opportunities!$T$8:$T$15,0)))</f>
        <v>-103155.23021785694</v>
      </c>
      <c r="H15" s="5" t="str">
        <f>IF($A15="","",INDEX(Opportunities!$M$8:$M$15,MATCH($A15,Opportunities!$T$8:$T$15,0)))</f>
        <v>DEMO PASS</v>
      </c>
      <c r="I15" s="5" t="str">
        <f>IF($A15="","",IF(INDEX(Opportunities!$U$8:$U$15,MATCH($A15,Opportunities!$T$8:$T$15,0))=1,"SELECTED","WATCHLIST"))</f>
        <v>SELECTED</v>
      </c>
    </row>
    <row r="16" ht="36" customHeight="1">
      <c r="A16" s="5">
        <f>IF(2&lt;=COUNTIF(Opportunities!$S$8:$S$15,"ELIGIBLE"),2,"")</f>
        <v>2</v>
      </c>
      <c r="B16" s="5" t="str">
        <f>IF($A16="","",INDEX(Opportunities!$B$8:$B$15,MATCH($A16,Opportunities!$T$8:$T$15,0)))</f>
        <v>Illustrative renovation B</v>
      </c>
      <c r="C16" s="5">
        <f>IF($A16="","",INDEX(Opportunities!$P$8:$P$15,MATCH($A16,Opportunities!$T$8:$T$15,0)))</f>
        <v>76128.40249142848</v>
      </c>
      <c r="D16" s="7">
        <f>IF($A16="","",INDEX(Opportunities!$Q$8:$Q$15,MATCH($A16,Opportunities!$T$8:$T$15,0)))</f>
        <v>0.10690124511784671</v>
      </c>
      <c r="E16" s="5">
        <f>IF($A16="","",INDEX(Opportunities!$L$8:$L$15,MATCH($A16,Opportunities!$T$8:$T$15,0)))</f>
        <v>585000.0</v>
      </c>
      <c r="F16" s="5">
        <f>IF($A16="","",INDEX(Opportunities!$H$8:$H$15,MATCH($A16,Opportunities!$T$8:$T$15,0)))</f>
        <v>6</v>
      </c>
      <c r="G16" s="5">
        <f>IF($A16="","",INDEX(Opportunities!$R$8:$R$15,MATCH($A16,Opportunities!$T$8:$T$15,0)))</f>
        <v>-55582.70458001498</v>
      </c>
      <c r="H16" s="5" t="str">
        <f>IF($A16="","",INDEX(Opportunities!$M$8:$M$15,MATCH($A16,Opportunities!$T$8:$T$15,0)))</f>
        <v>DEMO PASS</v>
      </c>
      <c r="I16" s="5" t="str">
        <f>IF($A16="","",IF(INDEX(Opportunities!$U$8:$U$15,MATCH($A16,Opportunities!$T$8:$T$15,0))=1,"SELECTED","WATCHLIST"))</f>
        <v>SELECTED</v>
      </c>
    </row>
    <row r="17" ht="36" customHeight="1">
      <c r="A17" s="5">
        <f>IF(3&lt;=COUNTIF(Opportunities!$S$8:$S$15,"ELIGIBLE"),3,"")</f>
        <v>3</v>
      </c>
      <c r="B17" s="5" t="str">
        <f>IF($A17="","",INDEX(Opportunities!$B$8:$B$15,MATCH($A17,Opportunities!$T$8:$T$15,0)))</f>
        <v>Illustrative new build C</v>
      </c>
      <c r="C17" s="5">
        <f>IF($A17="","",INDEX(Opportunities!$P$8:$P$15,MATCH($A17,Opportunities!$T$8:$T$15,0)))</f>
        <v>54783.715172860306</v>
      </c>
      <c r="D17" s="7">
        <f>IF($A17="","",INDEX(Opportunities!$Q$8:$Q$15,MATCH($A17,Opportunities!$T$8:$T$15,0)))</f>
        <v>0.09424624403957182</v>
      </c>
      <c r="E17" s="5">
        <f>IF($A17="","",INDEX(Opportunities!$L$8:$L$15,MATCH($A17,Opportunities!$T$8:$T$15,0)))</f>
        <v>1581000.0</v>
      </c>
      <c r="F17" s="5">
        <f>IF($A17="","",INDEX(Opportunities!$H$8:$H$15,MATCH($A17,Opportunities!$T$8:$T$15,0)))</f>
        <v>30</v>
      </c>
      <c r="G17" s="5">
        <f>IF($A17="","",INDEX(Opportunities!$R$8:$R$15,MATCH($A17,Opportunities!$T$8:$T$15,0)))</f>
        <v>-325708.61511228257</v>
      </c>
      <c r="H17" s="5" t="str">
        <f>IF($A17="","",INDEX(Opportunities!$M$8:$M$15,MATCH($A17,Opportunities!$T$8:$T$15,0)))</f>
        <v>DEMO PASS</v>
      </c>
      <c r="I17" s="5" t="str">
        <f>IF($A17="","",IF(INDEX(Opportunities!$U$8:$U$15,MATCH($A17,Opportunities!$T$8:$T$15,0))=1,"SELECTED","WATCHLIST"))</f>
        <v>WATCHLIST</v>
      </c>
    </row>
    <row r="18" ht="36" customHeight="1">
      <c r="A18" s="5">
        <f>IF(4&lt;=COUNTIF(Opportunities!$S$8:$S$15,"ELIGIBLE"),4,"")</f>
        <v>4</v>
      </c>
      <c r="B18" s="5" t="str">
        <f>IF($A18="","",INDEX(Opportunities!$B$8:$B$15,MATCH($A18,Opportunities!$T$8:$T$15,0)))</f>
        <v>Illustrative small asset D</v>
      </c>
      <c r="C18" s="5">
        <f>IF($A18="","",INDEX(Opportunities!$P$8:$P$15,MATCH($A18,Opportunities!$T$8:$T$15,0)))</f>
        <v>21888.122772962495</v>
      </c>
      <c r="D18" s="7">
        <f>IF($A18="","",INDEX(Opportunities!$Q$8:$Q$15,MATCH($A18,Opportunities!$T$8:$T$15,0)))</f>
        <v>0.09882353005614519</v>
      </c>
      <c r="E18" s="5">
        <f>IF($A18="","",INDEX(Opportunities!$L$8:$L$15,MATCH($A18,Opportunities!$T$8:$T$15,0)))</f>
        <v>332250.0</v>
      </c>
      <c r="F18" s="5">
        <f>IF($A18="","",INDEX(Opportunities!$H$8:$H$15,MATCH($A18,Opportunities!$T$8:$T$15,0)))</f>
        <v>4</v>
      </c>
      <c r="G18" s="5">
        <f>IF($A18="","",INDEX(Opportunities!$R$8:$R$15,MATCH($A18,Opportunities!$T$8:$T$15,0)))</f>
        <v>-50757.49087210596</v>
      </c>
      <c r="H18" s="5" t="str">
        <f>IF($A18="","",INDEX(Opportunities!$M$8:$M$15,MATCH($A18,Opportunities!$T$8:$T$15,0)))</f>
        <v>DEMO PASS</v>
      </c>
      <c r="I18" s="5" t="str">
        <f>IF($A18="","",IF(INDEX(Opportunities!$U$8:$U$15,MATCH($A18,Opportunities!$T$8:$T$15,0))=1,"SELECTED","WATCHLIST"))</f>
        <v>SELECTED</v>
      </c>
    </row>
    <row r="19" ht="36" customHeight="1">
      <c r="A19" s="5" t="str">
        <f>IF(5&lt;=COUNTIF(Opportunities!$S$8:$S$15,"ELIGIBLE"),5,"")</f>
        <v/>
      </c>
      <c r="B19" s="5" t="str">
        <f>IF($A19="","",INDEX(Opportunities!$B$8:$B$15,MATCH($A19,Opportunities!$T$8:$T$15,0)))</f>
        <v/>
      </c>
      <c r="C19" s="5" t="str">
        <f>IF($A19="","",INDEX(Opportunities!$P$8:$P$15,MATCH($A19,Opportunities!$T$8:$T$15,0)))</f>
        <v/>
      </c>
      <c r="D19" s="7" t="str">
        <f>IF($A19="","",INDEX(Opportunities!$Q$8:$Q$15,MATCH($A19,Opportunities!$T$8:$T$15,0)))</f>
        <v/>
      </c>
      <c r="E19" s="5" t="str">
        <f>IF($A19="","",INDEX(Opportunities!$L$8:$L$15,MATCH($A19,Opportunities!$T$8:$T$15,0)))</f>
        <v/>
      </c>
      <c r="F19" s="5" t="str">
        <f>IF($A19="","",INDEX(Opportunities!$H$8:$H$15,MATCH($A19,Opportunities!$T$8:$T$15,0)))</f>
        <v/>
      </c>
      <c r="G19" s="5" t="str">
        <f>IF($A19="","",INDEX(Opportunities!$R$8:$R$15,MATCH($A19,Opportunities!$T$8:$T$15,0)))</f>
        <v/>
      </c>
      <c r="H19" s="5" t="str">
        <f>IF($A19="","",INDEX(Opportunities!$M$8:$M$15,MATCH($A19,Opportunities!$T$8:$T$15,0)))</f>
        <v/>
      </c>
      <c r="I19" s="5" t="str">
        <f>IF($A19="","",IF(INDEX(Opportunities!$U$8:$U$15,MATCH($A19,Opportunities!$T$8:$T$15,0))=1,"SELECTED","WATCHLIST"))</f>
        <v/>
      </c>
    </row>
    <row r="20" ht="36" customHeight="1">
      <c r="A20" s="5" t="str">
        <f>IF(6&lt;=COUNTIF(Opportunities!$S$8:$S$15,"ELIGIBLE"),6,"")</f>
        <v/>
      </c>
      <c r="B20" s="5" t="str">
        <f>IF($A20="","",INDEX(Opportunities!$B$8:$B$15,MATCH($A20,Opportunities!$T$8:$T$15,0)))</f>
        <v/>
      </c>
      <c r="C20" s="5" t="str">
        <f>IF($A20="","",INDEX(Opportunities!$P$8:$P$15,MATCH($A20,Opportunities!$T$8:$T$15,0)))</f>
        <v/>
      </c>
      <c r="D20" s="7" t="str">
        <f>IF($A20="","",INDEX(Opportunities!$Q$8:$Q$15,MATCH($A20,Opportunities!$T$8:$T$15,0)))</f>
        <v/>
      </c>
      <c r="E20" s="5" t="str">
        <f>IF($A20="","",INDEX(Opportunities!$L$8:$L$15,MATCH($A20,Opportunities!$T$8:$T$15,0)))</f>
        <v/>
      </c>
      <c r="F20" s="5" t="str">
        <f>IF($A20="","",INDEX(Opportunities!$H$8:$H$15,MATCH($A20,Opportunities!$T$8:$T$15,0)))</f>
        <v/>
      </c>
      <c r="G20" s="5" t="str">
        <f>IF($A20="","",INDEX(Opportunities!$R$8:$R$15,MATCH($A20,Opportunities!$T$8:$T$15,0)))</f>
        <v/>
      </c>
      <c r="H20" s="5" t="str">
        <f>IF($A20="","",INDEX(Opportunities!$M$8:$M$15,MATCH($A20,Opportunities!$T$8:$T$15,0)))</f>
        <v/>
      </c>
      <c r="I20" s="5" t="str">
        <f>IF($A20="","",IF(INDEX(Opportunities!$U$8:$U$15,MATCH($A20,Opportunities!$T$8:$T$15,0))=1,"SELECTED","WATCHLIST"))</f>
        <v/>
      </c>
    </row>
    <row r="21" ht="36" customHeight="1">
      <c r="A21" s="5" t="str">
        <f>IF(7&lt;=COUNTIF(Opportunities!$S$8:$S$15,"ELIGIBLE"),7,"")</f>
        <v/>
      </c>
      <c r="B21" s="5" t="str">
        <f>IF($A21="","",INDEX(Opportunities!$B$8:$B$15,MATCH($A21,Opportunities!$T$8:$T$15,0)))</f>
        <v/>
      </c>
      <c r="C21" s="5" t="str">
        <f>IF($A21="","",INDEX(Opportunities!$P$8:$P$15,MATCH($A21,Opportunities!$T$8:$T$15,0)))</f>
        <v/>
      </c>
      <c r="D21" s="7" t="str">
        <f>IF($A21="","",INDEX(Opportunities!$Q$8:$Q$15,MATCH($A21,Opportunities!$T$8:$T$15,0)))</f>
        <v/>
      </c>
      <c r="E21" s="5" t="str">
        <f>IF($A21="","",INDEX(Opportunities!$L$8:$L$15,MATCH($A21,Opportunities!$T$8:$T$15,0)))</f>
        <v/>
      </c>
      <c r="F21" s="5" t="str">
        <f>IF($A21="","",INDEX(Opportunities!$H$8:$H$15,MATCH($A21,Opportunities!$T$8:$T$15,0)))</f>
        <v/>
      </c>
      <c r="G21" s="5" t="str">
        <f>IF($A21="","",INDEX(Opportunities!$R$8:$R$15,MATCH($A21,Opportunities!$T$8:$T$15,0)))</f>
        <v/>
      </c>
      <c r="H21" s="5" t="str">
        <f>IF($A21="","",INDEX(Opportunities!$M$8:$M$15,MATCH($A21,Opportunities!$T$8:$T$15,0)))</f>
        <v/>
      </c>
      <c r="I21" s="5" t="str">
        <f>IF($A21="","",IF(INDEX(Opportunities!$U$8:$U$15,MATCH($A21,Opportunities!$T$8:$T$15,0))=1,"SELECTED","WATCHLIST"))</f>
        <v/>
      </c>
    </row>
    <row r="22" ht="36" customHeight="1">
      <c r="A22" s="5" t="str">
        <f>IF(8&lt;=COUNTIF(Opportunities!$S$8:$S$15,"ELIGIBLE"),8,"")</f>
        <v/>
      </c>
      <c r="B22" s="5" t="str">
        <f>IF($A22="","",INDEX(Opportunities!$B$8:$B$15,MATCH($A22,Opportunities!$T$8:$T$15,0)))</f>
        <v/>
      </c>
      <c r="C22" s="5" t="str">
        <f>IF($A22="","",INDEX(Opportunities!$P$8:$P$15,MATCH($A22,Opportunities!$T$8:$T$15,0)))</f>
        <v/>
      </c>
      <c r="D22" s="7" t="str">
        <f>IF($A22="","",INDEX(Opportunities!$Q$8:$Q$15,MATCH($A22,Opportunities!$T$8:$T$15,0)))</f>
        <v/>
      </c>
      <c r="E22" s="5" t="str">
        <f>IF($A22="","",INDEX(Opportunities!$L$8:$L$15,MATCH($A22,Opportunities!$T$8:$T$15,0)))</f>
        <v/>
      </c>
      <c r="F22" s="5" t="str">
        <f>IF($A22="","",INDEX(Opportunities!$H$8:$H$15,MATCH($A22,Opportunities!$T$8:$T$15,0)))</f>
        <v/>
      </c>
      <c r="G22" s="5" t="str">
        <f>IF($A22="","",INDEX(Opportunities!$R$8:$R$15,MATCH($A22,Opportunities!$T$8:$T$15,0)))</f>
        <v/>
      </c>
      <c r="H22" s="5" t="str">
        <f>IF($A22="","",INDEX(Opportunities!$M$8:$M$15,MATCH($A22,Opportunities!$T$8:$T$15,0)))</f>
        <v/>
      </c>
      <c r="I22" s="5" t="str">
        <f>IF($A22="","",IF(INDEX(Opportunities!$U$8:$U$15,MATCH($A22,Opportunities!$T$8:$T$15,0))=1,"SELECTED","WATCHLIST"))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Report inclusion policy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36" customHeight="1">
      <c r="A26" s="3" t="inlineStr">
        <is>
          <t>Shortlist shows eligible positive-NPV investments in descending NPV order. Exclusions and raw inputs remain in Opportunities for audit. Portfolio selection respects budget and project count.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Key risks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36" customHeight="1">
      <c r="A29" s="3" t="inlineStr">
        <is>
          <t>Rent and occupancy, construction overrun, permit delay, terminal valuation and legal compliance. Downside is a sensitivity, not a probability forecast.</t>
        </is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inlineStr">
        <is>
          <t>Scope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48" customHeight="1">
      <c r="A32" s="3" t="inlineStr">
        <is>
          <t>No source spreadsheet was supplied. Examples are fictional. NPV measures discounted profit; IRR is supplemental. Financing and investor-specific taxes are excluded.</t>
        </is>
      </c>
    </row>
    <row r="34">
      <c r="A34" t="inlineStr">
        <is>
          <t>Excluded / incomplete opportunities</t>
        </is>
      </c>
      <c r="B34">
        <f>COUNTIF(Opportunities!S8:S15,"EXCLUDE")</f>
        <v>2</v>
      </c>
    </row>
    <row r="35">
      <c r="A35" t="inlineStr">
        <is>
          <t>Portfolio downside NPV</t>
        </is>
      </c>
      <c r="B35">
        <f>Opportunities!U8*Opportunities!R8+Opportunities!U9*Opportunities!R9+Opportunities!U10*Opportunities!R10+Opportunities!U11*Opportunities!R11+Opportunities!U12*Opportunities!R12+Opportunities!U13*Opportunities!R13+Opportunities!U14*Opportunities!R14+Opportunities!U15*Opportunities!R15</f>
        <v>-209495.42566997788</v>
      </c>
    </row>
    <row r="36">
      <c r="A36" t="inlineStr">
        <is>
          <t>Undiscounted portfolio profit</t>
        </is>
      </c>
      <c r="B36">
        <f>Opportunities!U8*SUM('Cash flows'!B5:L5)+Opportunities!U9*SUM('Cash flows'!B6:L6)+Opportunities!U10*SUM('Cash flows'!B7:L7)+Opportunities!U11*SUM('Cash flows'!B8:L8)+Opportunities!U12*SUM('Cash flows'!B9:L9)+Opportunities!U13*SUM('Cash flows'!B10:L10)+Opportunities!U14*SUM('Cash flows'!B11:L11)+Opportunities!U15*SUM('Cash flows'!B12:L12)</f>
        <v>2296579.577034085</v>
      </c>
    </row>
    <row r="38">
      <c r="A38" t="inlineStr">
        <is>
          <t>Independent analysis • Institutional report format • No affiliation with Vanguard.</t>
        </is>
      </c>
    </row>
  </sheetData>
  <mergeCells count="3">
    <mergeCell ref="A29:I29"/>
    <mergeCell ref="A32:I32"/>
    <mergeCell ref="A26:I26"/>
  </mergeCells>
  <printOptions horizontalCentered="1"/>
  <pageMargins left="0.75" right="0.75" top="1" bottom="1" header="0.5" footer="0.5"/>
  <pageSetup orientation="landscape" paperSize="8" fitToHeight="0" fitToWidth="1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0" customWidth="1" min="2" max="2"/>
    <col width="75" customWidth="1" min="3" max="3"/>
  </cols>
  <sheetData>
    <row r="1" ht="30" customHeight="1">
      <c r="A1" s="1" t="inlineStr">
        <is>
          <t>How to use this workbook</t>
        </is>
      </c>
    </row>
    <row r="2">
      <c r="A2" s="2" t="inlineStr">
        <is>
          <t>Editable blue cells • formula-driven analysis • no macros or external links</t>
        </is>
      </c>
    </row>
    <row r="3">
      <c r="A3" s="3" t="n"/>
      <c r="B3" s="3" t="n"/>
    </row>
    <row r="4" ht="32" customHeight="1">
      <c r="A4" s="6" t="inlineStr">
        <is>
          <t>Step</t>
        </is>
      </c>
      <c r="B4" s="6" t="inlineStr">
        <is>
          <t>Instruction</t>
        </is>
      </c>
    </row>
    <row r="5" ht="42" customHeight="1">
      <c r="A5" s="3" t="inlineStr">
        <is>
          <t>1. Import</t>
        </is>
      </c>
      <c r="B5" s="3" t="inlineStr">
        <is>
          <t>Replace the eight input rows in Opportunities with the supplied spreadsheet. Preserve calculated columns L:U.</t>
        </is>
      </c>
    </row>
    <row r="6" ht="42" customHeight="1">
      <c r="A6" s="3" t="inlineStr">
        <is>
          <t>2. Set assumptions</t>
        </is>
      </c>
      <c r="B6" s="3" t="inlineStr">
        <is>
          <t>Change budget, required return, delay limit and scenario assumptions. The horizon is fixed at ten years.</t>
        </is>
      </c>
    </row>
    <row r="7" ht="42" customHeight="1">
      <c r="A7" s="3" t="inlineStr">
        <is>
          <t>3. Validate compliance</t>
        </is>
      </c>
      <c r="B7" s="3" t="inlineStr">
        <is>
          <t>Replace Demo pass by Verified / Unknown / Fail, and cite actual evidence in each evidence row. Switch Demo mode to NO for real evaluation.</t>
        </is>
      </c>
    </row>
    <row r="8" ht="42" customHeight="1">
      <c r="A8" s="3" t="inlineStr">
        <is>
          <t>4. Review</t>
        </is>
      </c>
      <c r="B8" s="3" t="inlineStr">
        <is>
          <t>Shortlist ranks eligible assets by NPV. Exact enumeration selects the best subset; excluded assets remain in Opportunities.</t>
        </is>
      </c>
    </row>
    <row r="9" ht="42" customHeight="1">
      <c r="A9" s="3" t="inlineStr">
        <is>
          <t>5. Rank</t>
        </is>
      </c>
      <c r="B9" s="3" t="inlineStr">
        <is>
          <t>Rank uses descending base NPV; ties are resolved by input row order. Portfolio selection maximizes aggregate NPV.</t>
        </is>
      </c>
    </row>
    <row r="10" ht="42" customHeight="1">
      <c r="A10" s="3" t="inlineStr">
        <is>
          <t>Method</t>
        </is>
      </c>
      <c r="B10" s="3" t="inlineStr">
        <is>
          <t>Acquisition plus contingency capital is committed immediately. Rent and operating cost inflation use the same rate; operating costs begin at rental readiness.</t>
        </is>
      </c>
    </row>
    <row r="11" ht="42" customHeight="1">
      <c r="A11" s="3" t="inlineStr">
        <is>
          <t>Limitations</t>
        </is>
      </c>
      <c r="B11" s="3" t="inlineStr">
        <is>
          <t>Annual timing is approximate. Add pre-opening carrying costs to Other capital costs. No leverage, tax, capex phasing or replacement capex is modeled.</t>
        </is>
      </c>
    </row>
    <row r="12" ht="42" customHeight="1">
      <c r="A12" s="3" t="inlineStr">
        <is>
          <t>Capacity</t>
        </is>
      </c>
      <c r="B12" s="3" t="inlineStr">
        <is>
          <t>The model supports exactly eight projects; enumeration covers every subset, including retaining all capital.</t>
        </is>
      </c>
    </row>
    <row r="13" ht="42" customHeight="1">
      <c r="A13" s="3" t="inlineStr">
        <is>
          <t>Saving</t>
        </is>
      </c>
      <c r="B13" s="3" t="inlineStr">
        <is>
          <t>Run python3 build_model.py to rebuild the template. This overwrites user edits; retain a copy before rerunning.</t>
        </is>
      </c>
    </row>
    <row r="14" ht="42" customHeight="1">
      <c r="A14" s="3" t="inlineStr">
        <is>
          <t>Source status</t>
        </is>
      </c>
      <c r="B14" s="3" t="inlineStr">
        <is>
          <t>See Sources for 2026 official requirements. Verify every room and shared facility; project-wide Verified means all spaces passed, with linked evidence.</t>
        </is>
      </c>
    </row>
  </sheetData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90" customWidth="1" min="3" max="3"/>
  </cols>
  <sheetData>
    <row r="1" ht="30" customHeight="1">
      <c r="A1" s="1" t="inlineStr">
        <is>
          <t>Investment assumptions</t>
        </is>
      </c>
    </row>
    <row r="2">
      <c r="A2" s="2" t="inlineStr">
        <is>
          <t>Blue cells are editable. Unlevered, pre-tax EUR model; all capital committed at time zero.</t>
        </is>
      </c>
    </row>
    <row r="3">
      <c r="A3" s="3" t="n"/>
      <c r="B3" s="3" t="n"/>
      <c r="C3" s="3" t="n"/>
    </row>
    <row r="4" ht="32" customHeight="1">
      <c r="A4" s="6" t="inlineStr">
        <is>
          <t>Parameter</t>
        </is>
      </c>
      <c r="B4" s="6" t="inlineStr">
        <is>
          <t>Value</t>
        </is>
      </c>
      <c r="C4" s="6" t="inlineStr">
        <is>
          <t>Interpretation</t>
        </is>
      </c>
    </row>
    <row r="5">
      <c r="A5" s="3" t="inlineStr">
        <is>
          <t>Demo mode (YES / NO)</t>
        </is>
      </c>
      <c r="B5" s="8" t="inlineStr">
        <is>
          <t>YES</t>
        </is>
      </c>
      <c r="C5" s="3" t="inlineStr">
        <is>
          <t>YES accepts hypothetical demonstration checks; NO requires Verified evidence.</t>
        </is>
      </c>
    </row>
    <row r="6">
      <c r="A6" s="3" t="inlineStr">
        <is>
          <t>Available capital</t>
        </is>
      </c>
      <c r="B6" s="9" t="n">
        <v>2000000</v>
      </c>
      <c r="C6" s="3" t="inlineStr">
        <is>
          <t>EUR; includes all-in acquisition and construction costs</t>
        </is>
      </c>
    </row>
    <row r="7">
      <c r="A7" s="3" t="inlineStr">
        <is>
          <t>Maximum projects</t>
        </is>
      </c>
      <c r="B7" s="8" t="n">
        <v>3</v>
      </c>
      <c r="C7" s="3" t="inlineStr">
        <is>
          <t>Portfolio cap; eight opportunity slots</t>
        </is>
      </c>
    </row>
    <row r="8">
      <c r="A8" s="3" t="inlineStr">
        <is>
          <t>Discount rate</t>
        </is>
      </c>
      <c r="B8" s="10" t="n">
        <v>0.09</v>
      </c>
      <c r="C8" s="3" t="inlineStr">
        <is>
          <t>Required annual unlevered return</t>
        </is>
      </c>
    </row>
    <row r="9">
      <c r="A9" s="3" t="inlineStr">
        <is>
          <t>Holding period (years)</t>
        </is>
      </c>
      <c r="B9" s="8" t="n">
        <v>10</v>
      </c>
      <c r="C9" s="3" t="inlineStr">
        <is>
          <t>Fixed 10 years; cash flow grid is ten years</t>
        </is>
      </c>
    </row>
    <row r="10">
      <c r="A10" s="3" t="inlineStr">
        <is>
          <t>Annual rent growth</t>
        </is>
      </c>
      <c r="B10" s="10" t="n">
        <v>0.02</v>
      </c>
      <c r="C10" s="3" t="inlineStr">
        <is>
          <t>Applied to base rent from acquisition date</t>
        </is>
      </c>
    </row>
    <row r="11">
      <c r="A11" s="3" t="inlineStr">
        <is>
          <t>Exit capitalization rate</t>
        </is>
      </c>
      <c r="B11" s="10" t="n">
        <v>0.055</v>
      </c>
      <c r="C11" s="3" t="inlineStr">
        <is>
          <t>Year 11 stabilized NOI / cap rate</t>
        </is>
      </c>
    </row>
    <row r="12">
      <c r="A12" s="3" t="inlineStr">
        <is>
          <t>Exit selling costs</t>
        </is>
      </c>
      <c r="B12" s="10" t="n">
        <v>0.03</v>
      </c>
      <c r="C12" s="3" t="inlineStr">
        <is>
          <t>Fraction of exit value</t>
        </is>
      </c>
    </row>
    <row r="13">
      <c r="A13" s="3" t="inlineStr">
        <is>
          <t>Acquisition costs</t>
        </is>
      </c>
      <c r="B13" s="10" t="n">
        <v>0.14</v>
      </c>
      <c r="C13" s="3" t="inlineStr">
        <is>
          <t>Planning estimate; replace with transaction-specific tax/legal fees</t>
        </is>
      </c>
    </row>
    <row r="14">
      <c r="A14" s="3" t="inlineStr">
        <is>
          <t>Construction contingency</t>
        </is>
      </c>
      <c r="B14" s="10" t="n">
        <v>0.15</v>
      </c>
      <c r="C14" s="3" t="inlineStr">
        <is>
          <t>Fraction of base renovation budget</t>
        </is>
      </c>
    </row>
    <row r="15">
      <c r="A15" s="3" t="inlineStr">
        <is>
          <t>Stress rent reduction</t>
        </is>
      </c>
      <c r="B15" s="10" t="n">
        <v>0.1</v>
      </c>
      <c r="C15" s="3" t="inlineStr">
        <is>
          <t>Rent haircut for downside case</t>
        </is>
      </c>
    </row>
    <row r="16">
      <c r="A16" s="3" t="inlineStr">
        <is>
          <t>Stress delay (months)</t>
        </is>
      </c>
      <c r="B16" s="8" t="n">
        <v>6</v>
      </c>
      <c r="C16" s="3" t="inlineStr">
        <is>
          <t>Additional delay in downside case</t>
        </is>
      </c>
    </row>
    <row r="17">
      <c r="A17" s="3" t="inlineStr">
        <is>
          <t>Stress construction uplift</t>
        </is>
      </c>
      <c r="B17" s="10" t="n">
        <v>0.2</v>
      </c>
      <c r="C17" s="3" t="inlineStr">
        <is>
          <t>Applied on top of contingency</t>
        </is>
      </c>
    </row>
    <row r="18">
      <c r="A18" s="3" t="inlineStr">
        <is>
          <t>Maximum acceptable delay</t>
        </is>
      </c>
      <c r="B18" s="8" t="n">
        <v>36</v>
      </c>
      <c r="C18" s="3" t="inlineStr">
        <is>
          <t>Months from acquisition to legal rental readiness</t>
        </is>
      </c>
    </row>
  </sheetData>
  <dataValidations count="1">
    <dataValidation sqref="B5" showDropDown="0" showInputMessage="0" showErrorMessage="0" allowBlank="0" type="list">
      <formula1>"YES,NO"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0" customHeight="1">
      <c r="A1" s="1" t="inlineStr">
        <is>
          <t>Opportunity universe | eight investment slots</t>
        </is>
      </c>
    </row>
    <row r="2">
      <c r="A2" s="2" t="inlineStr">
        <is>
          <t>HYPOTHETICAL EXAMPLES ONLY. Replace with your spreadsheet data; no Brussels properties have been sourced.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ht="32" customHeight="1">
      <c r="A7" s="6" t="inlineStr">
        <is>
          <t>ID</t>
        </is>
      </c>
      <c r="B7" s="6" t="inlineStr">
        <is>
          <t>Project / location</t>
        </is>
      </c>
      <c r="C7" s="6" t="inlineStr">
        <is>
          <t>Rooms</t>
        </is>
      </c>
      <c r="D7" s="6" t="inlineStr">
        <is>
          <t>Monthly rent / room</t>
        </is>
      </c>
      <c r="E7" s="6" t="inlineStr">
        <is>
          <t>Purchase price</t>
        </is>
      </c>
      <c r="F7" s="6" t="inlineStr">
        <is>
          <t>Base construction cost</t>
        </is>
      </c>
      <c r="G7" s="6" t="inlineStr">
        <is>
          <t>Other capital costs</t>
        </is>
      </c>
      <c r="H7" s="6" t="inlineStr">
        <is>
          <t>Months to ready</t>
        </is>
      </c>
      <c r="I7" s="6" t="inlineStr">
        <is>
          <t>Occupancy</t>
        </is>
      </c>
      <c r="J7" s="6" t="inlineStr">
        <is>
          <t>Operating cost / revenue</t>
        </is>
      </c>
      <c r="K7" s="6" t="inlineStr">
        <is>
          <t>Annual fixed costs</t>
        </is>
      </c>
      <c r="L7" s="6" t="inlineStr">
        <is>
          <t>All-in capital</t>
        </is>
      </c>
      <c r="M7" s="6" t="inlineStr">
        <is>
          <t>Compliance gate</t>
        </is>
      </c>
      <c r="N7" s="6" t="inlineStr">
        <is>
          <t>Year 1 NOI</t>
        </is>
      </c>
      <c r="O7" s="6" t="inlineStr">
        <is>
          <t>Year 11 NOI</t>
        </is>
      </c>
      <c r="P7" s="6" t="inlineStr">
        <is>
          <t>Base NPV</t>
        </is>
      </c>
      <c r="Q7" s="6" t="inlineStr">
        <is>
          <t>Base IRR</t>
        </is>
      </c>
      <c r="R7" s="6" t="inlineStr">
        <is>
          <t>Downside NPV</t>
        </is>
      </c>
      <c r="S7" s="6" t="inlineStr">
        <is>
          <t>Decision</t>
        </is>
      </c>
      <c r="T7" s="6" t="inlineStr">
        <is>
          <t>Rank</t>
        </is>
      </c>
      <c r="U7" s="6" t="inlineStr">
        <is>
          <t>Portfolio selected</t>
        </is>
      </c>
    </row>
    <row r="8">
      <c r="A8" s="8" t="inlineStr">
        <is>
          <t>DEMO01</t>
        </is>
      </c>
      <c r="B8" s="8" t="inlineStr">
        <is>
          <t>Illustrative conversion A</t>
        </is>
      </c>
      <c r="C8" s="11" t="n">
        <v>14</v>
      </c>
      <c r="D8" s="11" t="n">
        <v>640</v>
      </c>
      <c r="E8" s="11" t="n">
        <v>500000</v>
      </c>
      <c r="F8" s="11" t="n">
        <v>230000</v>
      </c>
      <c r="G8" s="11" t="n">
        <v>35000</v>
      </c>
      <c r="H8" s="11" t="n">
        <v>12</v>
      </c>
      <c r="I8" s="10" t="n">
        <v>0.95</v>
      </c>
      <c r="J8" s="10" t="n">
        <v>0.24</v>
      </c>
      <c r="K8" s="11" t="n">
        <v>14000</v>
      </c>
      <c r="L8" s="5">
        <f>IF(B8="",0,E8*(1+Assumptions!$B$13)+F8*(1+Assumptions!$B$14)+G8)</f>
        <v>869500.0000000001</v>
      </c>
      <c r="M8" s="5" t="str">
        <f>IF(B8="","EMPTY",IF(COUNTIF(Compliance!D5:D16,"Fail")&gt;0,"FAIL",IF(AND(COUNTIF(Compliance!D5:D16,"Verified")=12,COUNTBLANK(Compliance!E5:E16)=0),"PASS",IF(AND(Assumptions!$B$5="YES",COUNTIF(Compliance!D5:D16,"Demo pass")=12),"DEMO PASS","UNVERIFIED"))))</f>
        <v>DEMO PASS</v>
      </c>
      <c r="N8" s="5">
        <f>'Cash flows'!C5</f>
        <v>0.0</v>
      </c>
      <c r="O8" s="5">
        <f>C8*D8*12*I8*(1-J8)*(1+Assumptions!$B$10)^10-K8*(1+Assumptions!$B$10)^10</f>
        <v>77563.93230739121</v>
      </c>
      <c r="P8" s="5">
        <f>NPV(Assumptions!$B$8,'Cash flows'!C5:L5)+'Cash flows'!B5</f>
        <v>90896.51702244638</v>
      </c>
      <c r="Q8" s="7">
        <f>IFERROR(IRR('Cash flows'!B5:L5),0)</f>
        <v>0.10331943345476102</v>
      </c>
      <c r="R8" s="5">
        <f>NPV(Assumptions!$B$8,'Cash flows'!C18:L18)+'Cash flows'!B18</f>
        <v>-103155.23021785694</v>
      </c>
      <c r="S8" s="5" t="str">
        <f>IF(B8="","EMPTY",IF(AND(OR(M8="PASS",M8="DEMO PASS"),H8&lt;=Assumptions!$B$18,C8&gt;0,D8&gt;0,E8&gt;0,H8&gt;=0,I8&gt;0,I8&lt;=1,J8&gt;=0,J8&lt;1,F8&gt;=0,G8&gt;=0,K8&gt;=0,P8&gt;0),"ELIGIBLE","EXCLUDE"))</f>
        <v>ELIGIBLE</v>
      </c>
      <c r="T8" s="5">
        <f>IF(S8="ELIGIBLE",1+COUNTIFS($S$8:$S$15,"ELIGIBLE",$P$8:$P$15,"&gt;"&amp;P8)+COUNTIFS($S$8:S8,"ELIGIBLE",$P$8:P8,P8)-1,"")</f>
        <v>1</v>
      </c>
      <c r="U8" s="5">
        <f>INDEX(Portfolio!B$5:B$260,Report!$B$7)</f>
        <v>1</v>
      </c>
    </row>
    <row r="9">
      <c r="A9" s="8" t="inlineStr">
        <is>
          <t>DEMO02</t>
        </is>
      </c>
      <c r="B9" s="8" t="inlineStr">
        <is>
          <t>Illustrative renovation B</t>
        </is>
      </c>
      <c r="C9" s="11" t="n">
        <v>10</v>
      </c>
      <c r="D9" s="11" t="n">
        <v>620</v>
      </c>
      <c r="E9" s="11" t="n">
        <v>350000</v>
      </c>
      <c r="F9" s="11" t="n">
        <v>140000</v>
      </c>
      <c r="G9" s="11" t="n">
        <v>25000</v>
      </c>
      <c r="H9" s="11" t="n">
        <v>6</v>
      </c>
      <c r="I9" s="10" t="n">
        <v>0.95</v>
      </c>
      <c r="J9" s="10" t="n">
        <v>0.25</v>
      </c>
      <c r="K9" s="11" t="n">
        <v>10500</v>
      </c>
      <c r="L9" s="5">
        <f>IF(B9="",0,E9*(1+Assumptions!$B$13)+F9*(1+Assumptions!$B$14)+G9)</f>
        <v>585000.0</v>
      </c>
      <c r="M9" s="5" t="str">
        <f>IF(B9="","EMPTY",IF(COUNTIF(Compliance!D17:D28,"Fail")&gt;0,"FAIL",IF(AND(COUNTIF(Compliance!D17:D28,"Verified")=12,COUNTBLANK(Compliance!E17:E28)=0),"PASS",IF(AND(Assumptions!$B$5="YES",COUNTIF(Compliance!D17:D28,"Demo pass")=12),"DEMO PASS","UNVERIFIED"))))</f>
        <v>DEMO PASS</v>
      </c>
      <c r="N9" s="5">
        <f>'Cash flows'!C6</f>
        <v>21255.0</v>
      </c>
      <c r="O9" s="5">
        <f>C9*D9*12*I9*(1-J9)*(1+Assumptions!$B$10)^10-K9*(1+Assumptions!$B$10)^10</f>
        <v>51819.452793977136</v>
      </c>
      <c r="P9" s="5">
        <f>NPV(Assumptions!$B$8,'Cash flows'!C6:L6)+'Cash flows'!B6</f>
        <v>76128.40249142848</v>
      </c>
      <c r="Q9" s="7">
        <f>IFERROR(IRR('Cash flows'!B6:L6),0)</f>
        <v>0.10690124511784671</v>
      </c>
      <c r="R9" s="5">
        <f>NPV(Assumptions!$B$8,'Cash flows'!C19:L19)+'Cash flows'!B19</f>
        <v>-55582.70458001498</v>
      </c>
      <c r="S9" s="5" t="str">
        <f>IF(B9="","EMPTY",IF(AND(OR(M9="PASS",M9="DEMO PASS"),H9&lt;=Assumptions!$B$18,C9&gt;0,D9&gt;0,E9&gt;0,H9&gt;=0,I9&gt;0,I9&lt;=1,J9&gt;=0,J9&lt;1,F9&gt;=0,G9&gt;=0,K9&gt;=0,P9&gt;0),"ELIGIBLE","EXCLUDE"))</f>
        <v>ELIGIBLE</v>
      </c>
      <c r="T9" s="5">
        <f>IF(S9="ELIGIBLE",1+COUNTIFS($S$8:$S$15,"ELIGIBLE",$P$8:$P$15,"&gt;"&amp;P9)+COUNTIFS($S$8:S9,"ELIGIBLE",$P$8:P9,P9)-1,"")</f>
        <v>2</v>
      </c>
      <c r="U9" s="5">
        <f>INDEX(Portfolio!C$5:C$260,Report!$B$7)</f>
        <v>1</v>
      </c>
    </row>
    <row r="10">
      <c r="A10" s="8" t="inlineStr">
        <is>
          <t>DEMO03</t>
        </is>
      </c>
      <c r="B10" s="8" t="inlineStr">
        <is>
          <t>Illustrative new build C</t>
        </is>
      </c>
      <c r="C10" s="11" t="n">
        <v>24</v>
      </c>
      <c r="D10" s="11" t="n">
        <v>680</v>
      </c>
      <c r="E10" s="11" t="n">
        <v>700000</v>
      </c>
      <c r="F10" s="11" t="n">
        <v>620000</v>
      </c>
      <c r="G10" s="11" t="n">
        <v>70000</v>
      </c>
      <c r="H10" s="11" t="n">
        <v>30</v>
      </c>
      <c r="I10" s="10" t="n">
        <v>0.9399999999999999</v>
      </c>
      <c r="J10" s="10" t="n">
        <v>0.23</v>
      </c>
      <c r="K10" s="11" t="n">
        <v>23500</v>
      </c>
      <c r="L10" s="5">
        <f>IF(B10="",0,E10*(1+Assumptions!$B$13)+F10*(1+Assumptions!$B$14)+G10)</f>
        <v>1581000.0</v>
      </c>
      <c r="M10" s="5" t="str">
        <f>IF(B10="","EMPTY",IF(COUNTIF(Compliance!D29:D40,"Fail")&gt;0,"FAIL",IF(AND(COUNTIF(Compliance!D29:D40,"Verified")=12,COUNTBLANK(Compliance!E29:E40)=0),"PASS",IF(AND(Assumptions!$B$5="YES",COUNTIF(Compliance!D29:D40,"Demo pass")=12),"DEMO PASS","UNVERIFIED"))))</f>
        <v>DEMO PASS</v>
      </c>
      <c r="N10" s="5">
        <f>'Cash flows'!C7</f>
        <v>0.0</v>
      </c>
      <c r="O10" s="5">
        <f>C10*D10*12*I10*(1-J10)*(1+Assumptions!$B$10)^10-K10*(1+Assumptions!$B$10)^10</f>
        <v>144144.8614180047</v>
      </c>
      <c r="P10" s="5">
        <f>NPV(Assumptions!$B$8,'Cash flows'!C7:L7)+'Cash flows'!B7</f>
        <v>54783.715172860306</v>
      </c>
      <c r="Q10" s="7">
        <f>IFERROR(IRR('Cash flows'!B7:L7),0)</f>
        <v>0.09424624403957182</v>
      </c>
      <c r="R10" s="5">
        <f>NPV(Assumptions!$B$8,'Cash flows'!C20:L20)+'Cash flows'!B20</f>
        <v>-325708.61511228257</v>
      </c>
      <c r="S10" s="5" t="str">
        <f>IF(B10="","EMPTY",IF(AND(OR(M10="PASS",M10="DEMO PASS"),H10&lt;=Assumptions!$B$18,C10&gt;0,D10&gt;0,E10&gt;0,H10&gt;=0,I10&gt;0,I10&lt;=1,J10&gt;=0,J10&lt;1,F10&gt;=0,G10&gt;=0,K10&gt;=0,P10&gt;0),"ELIGIBLE","EXCLUDE"))</f>
        <v>ELIGIBLE</v>
      </c>
      <c r="T10" s="5">
        <f>IF(S10="ELIGIBLE",1+COUNTIFS($S$8:$S$15,"ELIGIBLE",$P$8:$P$15,"&gt;"&amp;P10)+COUNTIFS($S$8:S10,"ELIGIBLE",$P$8:P10,P10)-1,"")</f>
        <v>3</v>
      </c>
      <c r="U10" s="5">
        <f>INDEX(Portfolio!D$5:D$260,Report!$B$7)</f>
        <v>0</v>
      </c>
    </row>
    <row r="11">
      <c r="A11" s="8" t="inlineStr">
        <is>
          <t>DEMO04</t>
        </is>
      </c>
      <c r="B11" s="8" t="inlineStr">
        <is>
          <t>Illustrative small asset D</t>
        </is>
      </c>
      <c r="C11" s="11" t="n">
        <v>6</v>
      </c>
      <c r="D11" s="11" t="n">
        <v>590</v>
      </c>
      <c r="E11" s="11" t="n">
        <v>200000</v>
      </c>
      <c r="F11" s="11" t="n">
        <v>75000</v>
      </c>
      <c r="G11" s="11" t="n">
        <v>18000</v>
      </c>
      <c r="H11" s="11" t="n">
        <v>4</v>
      </c>
      <c r="I11" s="10" t="n">
        <v>0.9399999999999999</v>
      </c>
      <c r="J11" s="10" t="n">
        <v>0.26</v>
      </c>
      <c r="K11" s="11" t="n">
        <v>7000</v>
      </c>
      <c r="L11" s="5">
        <f>IF(B11="",0,E11*(1+Assumptions!$B$13)+F11*(1+Assumptions!$B$14)+G11)</f>
        <v>332250.0</v>
      </c>
      <c r="M11" s="5" t="str">
        <f>IF(B11="","EMPTY",IF(COUNTIF(Compliance!D41:D52,"Fail")&gt;0,"FAIL",IF(AND(COUNTIF(Compliance!D41:D52,"Verified")=12,COUNTBLANK(Compliance!E41:E52)=0),"PASS",IF(AND(Assumptions!$B$5="YES",COUNTIF(Compliance!D41:D52,"Demo pass")=12),"DEMO PASS","UNVERIFIED"))))</f>
        <v>DEMO PASS</v>
      </c>
      <c r="N11" s="5">
        <f>'Cash flows'!C8</f>
        <v>15032.72533333333</v>
      </c>
      <c r="O11" s="5">
        <f>C11*D11*12*I11*(1-J11)*(1+Assumptions!$B$10)^10-K11*(1+Assumptions!$B$10)^10</f>
        <v>27487.212447970738</v>
      </c>
      <c r="P11" s="5">
        <f>NPV(Assumptions!$B$8,'Cash flows'!C8:L8)+'Cash flows'!B8</f>
        <v>21888.122772962495</v>
      </c>
      <c r="Q11" s="7">
        <f>IFERROR(IRR('Cash flows'!B8:L8),0)</f>
        <v>0.09882353005614519</v>
      </c>
      <c r="R11" s="5">
        <f>NPV(Assumptions!$B$8,'Cash flows'!C21:L21)+'Cash flows'!B21</f>
        <v>-50757.49087210596</v>
      </c>
      <c r="S11" s="5" t="str">
        <f>IF(B11="","EMPTY",IF(AND(OR(M11="PASS",M11="DEMO PASS"),H11&lt;=Assumptions!$B$18,C11&gt;0,D11&gt;0,E11&gt;0,H11&gt;=0,I11&gt;0,I11&lt;=1,J11&gt;=0,J11&lt;1,F11&gt;=0,G11&gt;=0,K11&gt;=0,P11&gt;0),"ELIGIBLE","EXCLUDE"))</f>
        <v>ELIGIBLE</v>
      </c>
      <c r="T11" s="5">
        <f>IF(S11="ELIGIBLE",1+COUNTIFS($S$8:$S$15,"ELIGIBLE",$P$8:$P$15,"&gt;"&amp;P11)+COUNTIFS($S$8:S11,"ELIGIBLE",$P$8:P11,P11)-1,"")</f>
        <v>4</v>
      </c>
      <c r="U11" s="5">
        <f>INDEX(Portfolio!E$5:E$260,Report!$B$7)</f>
        <v>1</v>
      </c>
    </row>
    <row r="12">
      <c r="A12" s="8" t="inlineStr">
        <is>
          <t>DEMO05</t>
        </is>
      </c>
      <c r="B12" s="8" t="inlineStr">
        <is>
          <t>Illustrative delayed asset E</t>
        </is>
      </c>
      <c r="C12" s="11" t="n">
        <v>16</v>
      </c>
      <c r="D12" s="11" t="n">
        <v>650</v>
      </c>
      <c r="E12" s="11" t="n">
        <v>600000</v>
      </c>
      <c r="F12" s="11" t="n">
        <v>360000</v>
      </c>
      <c r="G12" s="11" t="n">
        <v>45000</v>
      </c>
      <c r="H12" s="11" t="n">
        <v>42</v>
      </c>
      <c r="I12" s="10" t="n">
        <v>0.95</v>
      </c>
      <c r="J12" s="10" t="n">
        <v>0.24</v>
      </c>
      <c r="K12" s="11" t="n">
        <v>16000</v>
      </c>
      <c r="L12" s="5">
        <f>IF(B12="",0,E12*(1+Assumptions!$B$13)+F12*(1+Assumptions!$B$14)+G12)</f>
        <v>1143000.0</v>
      </c>
      <c r="M12" s="5" t="str">
        <f>IF(B12="","EMPTY",IF(COUNTIF(Compliance!D53:D64,"Fail")&gt;0,"FAIL",IF(AND(COUNTIF(Compliance!D53:D64,"Verified")=12,COUNTBLANK(Compliance!E53:E64)=0),"PASS",IF(AND(Assumptions!$B$5="YES",COUNTIF(Compliance!D53:D64,"Demo pass")=12),"DEMO PASS","UNVERIFIED"))))</f>
        <v>DEMO PASS</v>
      </c>
      <c r="N12" s="5">
        <f>'Cash flows'!C9</f>
        <v>0.0</v>
      </c>
      <c r="O12" s="5">
        <f>C12*D12*12*I12*(1-J12)*(1+Assumptions!$B$10)^10-K12*(1+Assumptions!$B$10)^10</f>
        <v>90334.3128903635</v>
      </c>
      <c r="P12" s="5">
        <f>NPV(Assumptions!$B$8,'Cash flows'!C9:L9)+'Cash flows'!B9</f>
        <v>-175492.0398370832</v>
      </c>
      <c r="Q12" s="7">
        <f>IFERROR(IRR('Cash flows'!B9:L9),0)</f>
        <v>0.07024132715582765</v>
      </c>
      <c r="R12" s="5">
        <f>NPV(Assumptions!$B$8,'Cash flows'!C22:L22)+'Cash flows'!B22</f>
        <v>-400400.9035042318</v>
      </c>
      <c r="S12" s="5" t="str">
        <f>IF(B12="","EMPTY",IF(AND(OR(M12="PASS",M12="DEMO PASS"),H12&lt;=Assumptions!$B$18,C12&gt;0,D12&gt;0,E12&gt;0,H12&gt;=0,I12&gt;0,I12&lt;=1,J12&gt;=0,J12&lt;1,F12&gt;=0,G12&gt;=0,K12&gt;=0,P12&gt;0),"ELIGIBLE","EXCLUDE"))</f>
        <v>EXCLUDE</v>
      </c>
      <c r="T12" s="5" t="str">
        <f>IF(S12="ELIGIBLE",1+COUNTIFS($S$8:$S$15,"ELIGIBLE",$P$8:$P$15,"&gt;"&amp;P12)+COUNTIFS($S$8:S12,"ELIGIBLE",$P$8:P12,P12)-1,"")</f>
        <v/>
      </c>
      <c r="U12" s="5">
        <f>INDEX(Portfolio!F$5:F$260,Report!$B$7)</f>
        <v>0</v>
      </c>
    </row>
    <row r="13">
      <c r="A13" s="8" t="inlineStr">
        <is>
          <t>DEMO06</t>
        </is>
      </c>
      <c r="B13" s="8" t="inlineStr">
        <is>
          <t>Illustrative compliance failure F</t>
        </is>
      </c>
      <c r="C13" s="11" t="n">
        <v>12</v>
      </c>
      <c r="D13" s="11" t="n">
        <v>660</v>
      </c>
      <c r="E13" s="11" t="n">
        <v>500000</v>
      </c>
      <c r="F13" s="11" t="n">
        <v>175000</v>
      </c>
      <c r="G13" s="11" t="n">
        <v>28000</v>
      </c>
      <c r="H13" s="11" t="n">
        <v>8</v>
      </c>
      <c r="I13" s="10" t="n">
        <v>0.95</v>
      </c>
      <c r="J13" s="10" t="n">
        <v>0.24</v>
      </c>
      <c r="K13" s="11" t="n">
        <v>12000</v>
      </c>
      <c r="L13" s="5">
        <f>IF(B13="",0,E13*(1+Assumptions!$B$13)+F13*(1+Assumptions!$B$14)+G13)</f>
        <v>799250.0000000001</v>
      </c>
      <c r="M13" s="5" t="str">
        <f>IF(B13="","EMPTY",IF(COUNTIF(Compliance!D65:D76,"Fail")&gt;0,"FAIL",IF(AND(COUNTIF(Compliance!D65:D76,"Verified")=12,COUNTBLANK(Compliance!E65:E76)=0),"PASS",IF(AND(Assumptions!$B$5="YES",COUNTIF(Compliance!D65:D76,"Demo pass")=12),"DEMO PASS","UNVERIFIED"))))</f>
        <v>FAIL</v>
      </c>
      <c r="N13" s="5">
        <f>'Cash flows'!C10</f>
        <v>18872.96</v>
      </c>
      <c r="O13" s="5">
        <f>C13*D13*12*I13*(1-J13)*(1+Assumptions!$B$10)^10-K13*(1+Assumptions!$B$10)^10</f>
        <v>69018.09878635277</v>
      </c>
      <c r="P13" s="5">
        <f>NPV(Assumptions!$B$8,'Cash flows'!C10:L10)+'Cash flows'!B10</f>
        <v>72646.65879214031</v>
      </c>
      <c r="Q13" s="7">
        <f>IFERROR(IRR('Cash flows'!B10:L10),0)</f>
        <v>0.10185408565937226</v>
      </c>
      <c r="R13" s="5">
        <f>NPV(Assumptions!$B$8,'Cash flows'!C23:L23)+'Cash flows'!B23</f>
        <v>-95607.9990060564</v>
      </c>
      <c r="S13" s="5" t="str">
        <f>IF(B13="","EMPTY",IF(AND(OR(M13="PASS",M13="DEMO PASS"),H13&lt;=Assumptions!$B$18,C13&gt;0,D13&gt;0,E13&gt;0,H13&gt;=0,I13&gt;0,I13&lt;=1,J13&gt;=0,J13&lt;1,F13&gt;=0,G13&gt;=0,K13&gt;=0,P13&gt;0),"ELIGIBLE","EXCLUDE"))</f>
        <v>EXCLUDE</v>
      </c>
      <c r="T13" s="5" t="str">
        <f>IF(S13="ELIGIBLE",1+COUNTIFS($S$8:$S$15,"ELIGIBLE",$P$8:$P$15,"&gt;"&amp;P13)+COUNTIFS($S$8:S13,"ELIGIBLE",$P$8:P13,P13)-1,"")</f>
        <v/>
      </c>
      <c r="U13" s="5">
        <f>INDEX(Portfolio!G$5:G$260,Report!$B$7)</f>
        <v>0</v>
      </c>
    </row>
    <row r="14">
      <c r="A14" s="8" t="inlineStr">
        <is>
          <t>SLOT7</t>
        </is>
      </c>
      <c r="B14" s="8" t="inlineStr"/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0" t="n">
        <v>0.95</v>
      </c>
      <c r="J14" s="10" t="n">
        <v>0.25</v>
      </c>
      <c r="K14" s="11" t="n">
        <v>0</v>
      </c>
      <c r="L14" s="5">
        <f>IF(B14="",0,E14*(1+Assumptions!$B$13)+F14*(1+Assumptions!$B$14)+G14)</f>
        <v>0</v>
      </c>
      <c r="M14" s="5" t="str">
        <f>IF(B14="","EMPTY",IF(COUNTIF(Compliance!D77:D88,"Fail")&gt;0,"FAIL",IF(AND(COUNTIF(Compliance!D77:D88,"Verified")=12,COUNTBLANK(Compliance!E77:E88)=0),"PASS",IF(AND(Assumptions!$B$5="YES",COUNTIF(Compliance!D77:D88,"Demo pass")=12),"DEMO PASS","UNVERIFIED"))))</f>
        <v>EMPTY</v>
      </c>
      <c r="N14" s="5">
        <f>'Cash flows'!C11</f>
        <v>0.0</v>
      </c>
      <c r="O14" s="5">
        <f>C14*D14*12*I14*(1-J14)*(1+Assumptions!$B$10)^10-K14*(1+Assumptions!$B$10)^10</f>
        <v>0.0</v>
      </c>
      <c r="P14" s="5">
        <f>NPV(Assumptions!$B$8,'Cash flows'!C11:L11)+'Cash flows'!B11</f>
        <v>0.0</v>
      </c>
      <c r="Q14" s="7">
        <f>IFERROR(IRR('Cash flows'!B11:L11),0)</f>
        <v>0</v>
      </c>
      <c r="R14" s="5">
        <f>NPV(Assumptions!$B$8,'Cash flows'!C24:L24)+'Cash flows'!B24</f>
        <v>0.0</v>
      </c>
      <c r="S14" s="5" t="str">
        <f>IF(B14="","EMPTY",IF(AND(OR(M14="PASS",M14="DEMO PASS"),H14&lt;=Assumptions!$B$18,C14&gt;0,D14&gt;0,E14&gt;0,H14&gt;=0,I14&gt;0,I14&lt;=1,J14&gt;=0,J14&lt;1,F14&gt;=0,G14&gt;=0,K14&gt;=0,P14&gt;0),"ELIGIBLE","EXCLUDE"))</f>
        <v>EMPTY</v>
      </c>
      <c r="T14" s="5" t="str">
        <f>IF(S14="ELIGIBLE",1+COUNTIFS($S$8:$S$15,"ELIGIBLE",$P$8:$P$15,"&gt;"&amp;P14)+COUNTIFS($S$8:S14,"ELIGIBLE",$P$8:P14,P14)-1,"")</f>
        <v/>
      </c>
      <c r="U14" s="5">
        <f>INDEX(Portfolio!H$5:H$260,Report!$B$7)</f>
        <v>0</v>
      </c>
    </row>
    <row r="15">
      <c r="A15" s="8" t="inlineStr">
        <is>
          <t>SLOT8</t>
        </is>
      </c>
      <c r="B15" s="8" t="inlineStr"/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0" t="n">
        <v>0.95</v>
      </c>
      <c r="J15" s="10" t="n">
        <v>0.25</v>
      </c>
      <c r="K15" s="11" t="n">
        <v>0</v>
      </c>
      <c r="L15" s="5">
        <f>IF(B15="",0,E15*(1+Assumptions!$B$13)+F15*(1+Assumptions!$B$14)+G15)</f>
        <v>0</v>
      </c>
      <c r="M15" s="5" t="str">
        <f>IF(B15="","EMPTY",IF(COUNTIF(Compliance!D89:D100,"Fail")&gt;0,"FAIL",IF(AND(COUNTIF(Compliance!D89:D100,"Verified")=12,COUNTBLANK(Compliance!E89:E100)=0),"PASS",IF(AND(Assumptions!$B$5="YES",COUNTIF(Compliance!D89:D100,"Demo pass")=12),"DEMO PASS","UNVERIFIED"))))</f>
        <v>EMPTY</v>
      </c>
      <c r="N15" s="5">
        <f>'Cash flows'!C12</f>
        <v>0.0</v>
      </c>
      <c r="O15" s="5">
        <f>C15*D15*12*I15*(1-J15)*(1+Assumptions!$B$10)^10-K15*(1+Assumptions!$B$10)^10</f>
        <v>0.0</v>
      </c>
      <c r="P15" s="5">
        <f>NPV(Assumptions!$B$8,'Cash flows'!C12:L12)+'Cash flows'!B12</f>
        <v>0.0</v>
      </c>
      <c r="Q15" s="7">
        <f>IFERROR(IRR('Cash flows'!B12:L12),0)</f>
        <v>0</v>
      </c>
      <c r="R15" s="5">
        <f>NPV(Assumptions!$B$8,'Cash flows'!C25:L25)+'Cash flows'!B25</f>
        <v>0.0</v>
      </c>
      <c r="S15" s="5" t="str">
        <f>IF(B15="","EMPTY",IF(AND(OR(M15="PASS",M15="DEMO PASS"),H15&lt;=Assumptions!$B$18,C15&gt;0,D15&gt;0,E15&gt;0,H15&gt;=0,I15&gt;0,I15&lt;=1,J15&gt;=0,J15&lt;1,F15&gt;=0,G15&gt;=0,K15&gt;=0,P15&gt;0),"ELIGIBLE","EXCLUDE"))</f>
        <v>EMPTY</v>
      </c>
      <c r="T15" s="5" t="str">
        <f>IF(S15="ELIGIBLE",1+COUNTIFS($S$8:$S$15,"ELIGIBLE",$P$8:$P$15,"&gt;"&amp;P15)+COUNTIFS($S$8:S15,"ELIGIBLE",$P$8:P15,P15)-1,"")</f>
        <v/>
      </c>
      <c r="U15" s="5">
        <f>INDEX(Portfolio!I$5:I$260,Report!$B$7)</f>
        <v>0</v>
      </c>
    </row>
  </sheetData>
  <autoFilter ref="A7:U15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8" customWidth="1" min="2" max="2"/>
    <col width="75" customWidth="1" min="3" max="3"/>
    <col width="20" customWidth="1" min="4" max="4"/>
    <col width="55" customWidth="1" min="5" max="5"/>
  </cols>
  <sheetData>
    <row r="1" ht="30" customHeight="1">
      <c r="A1" s="1" t="inlineStr">
        <is>
          <t>Mandatory requirements | project evidence register</t>
        </is>
      </c>
    </row>
    <row r="2">
      <c r="A2" s="2" t="inlineStr">
        <is>
          <t>Unknown evidence blocks eligibility. Demo pass is permitted only in explicit demonstration mode.</t>
        </is>
      </c>
    </row>
    <row r="3">
      <c r="A3" s="3" t="n"/>
      <c r="B3" s="3" t="n"/>
      <c r="C3" s="3" t="n"/>
      <c r="D3" s="3" t="n"/>
      <c r="E3" s="3" t="n"/>
    </row>
    <row r="4" ht="32" customHeight="1">
      <c r="A4" s="6" t="inlineStr">
        <is>
          <t>ID</t>
        </is>
      </c>
      <c r="B4" s="6" t="inlineStr">
        <is>
          <t>Control</t>
        </is>
      </c>
      <c r="C4" s="6" t="inlineStr">
        <is>
          <t>Minimum / validation needed</t>
        </is>
      </c>
      <c r="D4" s="6" t="inlineStr">
        <is>
          <t>Status</t>
        </is>
      </c>
      <c r="E4" s="6" t="inlineStr">
        <is>
          <t>Evidence / authority / date</t>
        </is>
      </c>
    </row>
    <row r="5" ht="54" customHeight="1">
      <c r="A5" s="3" t="inlineStr">
        <is>
          <t>DEMO01</t>
        </is>
      </c>
      <c r="B5" s="3" t="inlineStr">
        <is>
          <t>Planning use</t>
        </is>
      </c>
      <c r="C5" s="3" t="inlineStr">
        <is>
          <t>Written confirmation that student housing use and works are lawful</t>
        </is>
      </c>
      <c r="D5" s="3" t="inlineStr">
        <is>
          <t>Demo pass</t>
        </is>
      </c>
      <c r="E5" s="3" t="inlineStr">
        <is>
          <t>Illustrative only — no evidence</t>
        </is>
      </c>
    </row>
    <row r="6" ht="54" customHeight="1">
      <c r="A6" s="3" t="inlineStr">
        <is>
          <t>DEMO01</t>
        </is>
      </c>
      <c r="B6" s="3" t="inlineStr">
        <is>
          <t>Rental authorization</t>
        </is>
      </c>
      <c r="C6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6" s="3" t="inlineStr">
        <is>
          <t>Demo pass</t>
        </is>
      </c>
      <c r="E6" s="3" t="inlineStr">
        <is>
          <t>Illustrative only — no evidence</t>
        </is>
      </c>
    </row>
    <row r="7" ht="54" customHeight="1">
      <c r="A7" s="3" t="inlineStr">
        <is>
          <t>DEMO01</t>
        </is>
      </c>
      <c r="B7" s="3" t="inlineStr">
        <is>
          <t>Minimum room area</t>
        </is>
      </c>
      <c r="C7" s="3" t="inlineStr">
        <is>
          <t>Student accommodation: 12 m² for one resident; 18 m² for two. Shared area counted pro rata. Validate legal classification, habitable share and height. Source S2, art. 4.</t>
        </is>
      </c>
      <c r="D7" s="3" t="inlineStr">
        <is>
          <t>Demo pass</t>
        </is>
      </c>
      <c r="E7" s="3" t="inlineStr">
        <is>
          <t>Illustrative only — no evidence</t>
        </is>
      </c>
    </row>
    <row r="8" ht="54" customHeight="1">
      <c r="A8" s="3" t="inlineStr">
        <is>
          <t>DEMO01</t>
        </is>
      </c>
      <c r="B8" s="3" t="inlineStr">
        <is>
          <t>Occupancy limits</t>
        </is>
      </c>
      <c r="C8" s="3" t="inlineStr">
        <is>
          <t>Shared WC and shower: maximum six users each; kitchen sink and four-ring hob: maximum eight users. Use contractual maximum occupancy. Source S2, art. 5.</t>
        </is>
      </c>
      <c r="D8" s="3" t="inlineStr">
        <is>
          <t>Demo pass</t>
        </is>
      </c>
      <c r="E8" s="3" t="inlineStr">
        <is>
          <t>Illustrative only — no evidence</t>
        </is>
      </c>
    </row>
    <row r="9" ht="54" customHeight="1">
      <c r="A9" s="3" t="inlineStr">
        <is>
          <t>DEMO01</t>
        </is>
      </c>
      <c r="B9" s="3" t="inlineStr">
        <is>
          <t>Sanitation</t>
        </is>
      </c>
      <c r="C9" s="3" t="inlineStr">
        <is>
          <t>Bath/shower with hot water and drainage; shared facilities accessible and lockable. Source S2, art. 5.</t>
        </is>
      </c>
      <c r="D9" s="3" t="inlineStr">
        <is>
          <t>Demo pass</t>
        </is>
      </c>
      <c r="E9" s="3" t="inlineStr">
        <is>
          <t>Illustrative only — no evidence</t>
        </is>
      </c>
    </row>
    <row r="10" ht="54" customHeight="1">
      <c r="A10" s="3" t="inlineStr">
        <is>
          <t>DEMO01</t>
        </is>
      </c>
      <c r="B10" s="3" t="inlineStr">
        <is>
          <t>Kitchen / cooking</t>
        </is>
      </c>
      <c r="C10" s="3" t="inlineStr">
        <is>
          <t>Operational cooking equipment in communal kitchen; suitable supply. Source S2, art. 5.</t>
        </is>
      </c>
      <c r="D10" s="3" t="inlineStr">
        <is>
          <t>Demo pass</t>
        </is>
      </c>
      <c r="E10" s="3" t="inlineStr">
        <is>
          <t>Illustrative only — no evidence</t>
        </is>
      </c>
    </row>
    <row r="11" ht="54" customHeight="1">
      <c r="A11" s="3" t="inlineStr">
        <is>
          <t>DEMO01</t>
        </is>
      </c>
      <c r="B11" s="3" t="inlineStr">
        <is>
          <t>Daylight / ventilation</t>
        </is>
      </c>
      <c r="C11" s="3" t="inlineStr">
        <is>
          <t>Daylight and permanent base ventilation; verify windows, airflow and configuration against S2, art. 3.</t>
        </is>
      </c>
      <c r="D11" s="3" t="inlineStr">
        <is>
          <t>Demo pass</t>
        </is>
      </c>
      <c r="E11" s="3" t="inlineStr">
        <is>
          <t>Illustrative only — no evidence</t>
        </is>
      </c>
    </row>
    <row r="12" ht="54" customHeight="1">
      <c r="A12" s="3" t="inlineStr">
        <is>
          <t>DEMO01</t>
        </is>
      </c>
      <c r="B12" s="3" t="inlineStr">
        <is>
          <t>Electrical / gas safety</t>
        </is>
      </c>
      <c r="C12" s="3" t="inlineStr">
        <is>
          <t>Safe electrical/gas installation; no type B gas heater in bedroom. Source S1/S2.</t>
        </is>
      </c>
      <c r="D12" s="3" t="inlineStr">
        <is>
          <t>Demo pass</t>
        </is>
      </c>
      <c r="E12" s="3" t="inlineStr">
        <is>
          <t>Illustrative only — no evidence</t>
        </is>
      </c>
    </row>
    <row r="13" ht="54" customHeight="1">
      <c r="A13" s="3" t="inlineStr">
        <is>
          <t>DEMO01</t>
        </is>
      </c>
      <c r="B13" s="3" t="inlineStr">
        <is>
          <t>Fire safety</t>
        </is>
      </c>
      <c r="C13" s="3" t="inlineStr">
        <is>
          <t>Fire authority requirements, escape routes and detection</t>
        </is>
      </c>
      <c r="D13" s="3" t="inlineStr">
        <is>
          <t>Demo pass</t>
        </is>
      </c>
      <c r="E13" s="3" t="inlineStr">
        <is>
          <t>Illustrative only — no evidence</t>
        </is>
      </c>
    </row>
    <row r="14" ht="54" customHeight="1">
      <c r="A14" s="3" t="inlineStr">
        <is>
          <t>DEMO01</t>
        </is>
      </c>
      <c r="B14" s="3" t="inlineStr">
        <is>
          <t>Water / heating / moisture</t>
        </is>
      </c>
      <c r="C14" s="3" t="inlineStr">
        <is>
          <t>Water, installed heating, dry structure, sound drainage and no harmful infestation; source S2, arts. 2–5.</t>
        </is>
      </c>
      <c r="D14" s="3" t="inlineStr">
        <is>
          <t>Demo pass</t>
        </is>
      </c>
      <c r="E14" s="3" t="inlineStr">
        <is>
          <t>Illustrative only — no evidence</t>
        </is>
      </c>
    </row>
    <row r="15" ht="54" customHeight="1">
      <c r="A15" s="3" t="inlineStr">
        <is>
          <t>DEMO01</t>
        </is>
      </c>
      <c r="B15" s="3" t="inlineStr">
        <is>
          <t>Energy certification</t>
        </is>
      </c>
      <c r="C15" s="3" t="inlineStr">
        <is>
          <t>Applicable PEB certificate and required disclosures</t>
        </is>
      </c>
      <c r="D15" s="3" t="inlineStr">
        <is>
          <t>Demo pass</t>
        </is>
      </c>
      <c r="E15" s="3" t="inlineStr">
        <is>
          <t>Illustrative only — no evidence</t>
        </is>
      </c>
    </row>
    <row r="16" ht="54" customHeight="1">
      <c r="A16" s="3" t="inlineStr">
        <is>
          <t>DEMO01</t>
        </is>
      </c>
      <c r="B16" s="3" t="inlineStr">
        <is>
          <t>Accessibility / other rules</t>
        </is>
      </c>
      <c r="C16" s="3" t="inlineStr">
        <is>
          <t>Verify access, ceiling heights, structure, mailbox and doorbell, and all case-specific rules. Source S2; confirm municipal requirements.</t>
        </is>
      </c>
      <c r="D16" s="3" t="inlineStr">
        <is>
          <t>Demo pass</t>
        </is>
      </c>
      <c r="E16" s="3" t="inlineStr">
        <is>
          <t>Illustrative only — no evidence</t>
        </is>
      </c>
    </row>
    <row r="17" ht="54" customHeight="1">
      <c r="A17" s="3" t="inlineStr">
        <is>
          <t>DEMO02</t>
        </is>
      </c>
      <c r="B17" s="3" t="inlineStr">
        <is>
          <t>Planning use</t>
        </is>
      </c>
      <c r="C17" s="3" t="inlineStr">
        <is>
          <t>Written confirmation that student housing use and works are lawful</t>
        </is>
      </c>
      <c r="D17" s="3" t="inlineStr">
        <is>
          <t>Demo pass</t>
        </is>
      </c>
      <c r="E17" s="3" t="inlineStr">
        <is>
          <t>Illustrative only — no evidence</t>
        </is>
      </c>
    </row>
    <row r="18" ht="54" customHeight="1">
      <c r="A18" s="3" t="inlineStr">
        <is>
          <t>DEMO02</t>
        </is>
      </c>
      <c r="B18" s="3" t="inlineStr">
        <is>
          <t>Rental authorization</t>
        </is>
      </c>
      <c r="C18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18" s="3" t="inlineStr">
        <is>
          <t>Demo pass</t>
        </is>
      </c>
      <c r="E18" s="3" t="inlineStr">
        <is>
          <t>Illustrative only — no evidence</t>
        </is>
      </c>
    </row>
    <row r="19" ht="54" customHeight="1">
      <c r="A19" s="3" t="inlineStr">
        <is>
          <t>DEMO02</t>
        </is>
      </c>
      <c r="B19" s="3" t="inlineStr">
        <is>
          <t>Minimum room area</t>
        </is>
      </c>
      <c r="C19" s="3" t="inlineStr">
        <is>
          <t>Student accommodation: 12 m² for one resident; 18 m² for two. Shared area counted pro rata. Validate legal classification, habitable share and height. Source S2, art. 4.</t>
        </is>
      </c>
      <c r="D19" s="3" t="inlineStr">
        <is>
          <t>Demo pass</t>
        </is>
      </c>
      <c r="E19" s="3" t="inlineStr">
        <is>
          <t>Illustrative only — no evidence</t>
        </is>
      </c>
    </row>
    <row r="20" ht="54" customHeight="1">
      <c r="A20" s="3" t="inlineStr">
        <is>
          <t>DEMO02</t>
        </is>
      </c>
      <c r="B20" s="3" t="inlineStr">
        <is>
          <t>Occupancy limits</t>
        </is>
      </c>
      <c r="C20" s="3" t="inlineStr">
        <is>
          <t>Shared WC and shower: maximum six users each; kitchen sink and four-ring hob: maximum eight users. Use contractual maximum occupancy. Source S2, art. 5.</t>
        </is>
      </c>
      <c r="D20" s="3" t="inlineStr">
        <is>
          <t>Demo pass</t>
        </is>
      </c>
      <c r="E20" s="3" t="inlineStr">
        <is>
          <t>Illustrative only — no evidence</t>
        </is>
      </c>
    </row>
    <row r="21" ht="54" customHeight="1">
      <c r="A21" s="3" t="inlineStr">
        <is>
          <t>DEMO02</t>
        </is>
      </c>
      <c r="B21" s="3" t="inlineStr">
        <is>
          <t>Sanitation</t>
        </is>
      </c>
      <c r="C21" s="3" t="inlineStr">
        <is>
          <t>Bath/shower with hot water and drainage; shared facilities accessible and lockable. Source S2, art. 5.</t>
        </is>
      </c>
      <c r="D21" s="3" t="inlineStr">
        <is>
          <t>Demo pass</t>
        </is>
      </c>
      <c r="E21" s="3" t="inlineStr">
        <is>
          <t>Illustrative only — no evidence</t>
        </is>
      </c>
    </row>
    <row r="22" ht="54" customHeight="1">
      <c r="A22" s="3" t="inlineStr">
        <is>
          <t>DEMO02</t>
        </is>
      </c>
      <c r="B22" s="3" t="inlineStr">
        <is>
          <t>Kitchen / cooking</t>
        </is>
      </c>
      <c r="C22" s="3" t="inlineStr">
        <is>
          <t>Operational cooking equipment in communal kitchen; suitable supply. Source S2, art. 5.</t>
        </is>
      </c>
      <c r="D22" s="3" t="inlineStr">
        <is>
          <t>Demo pass</t>
        </is>
      </c>
      <c r="E22" s="3" t="inlineStr">
        <is>
          <t>Illustrative only — no evidence</t>
        </is>
      </c>
    </row>
    <row r="23" ht="54" customHeight="1">
      <c r="A23" s="3" t="inlineStr">
        <is>
          <t>DEMO02</t>
        </is>
      </c>
      <c r="B23" s="3" t="inlineStr">
        <is>
          <t>Daylight / ventilation</t>
        </is>
      </c>
      <c r="C23" s="3" t="inlineStr">
        <is>
          <t>Daylight and permanent base ventilation; verify windows, airflow and configuration against S2, art. 3.</t>
        </is>
      </c>
      <c r="D23" s="3" t="inlineStr">
        <is>
          <t>Demo pass</t>
        </is>
      </c>
      <c r="E23" s="3" t="inlineStr">
        <is>
          <t>Illustrative only — no evidence</t>
        </is>
      </c>
    </row>
    <row r="24" ht="54" customHeight="1">
      <c r="A24" s="3" t="inlineStr">
        <is>
          <t>DEMO02</t>
        </is>
      </c>
      <c r="B24" s="3" t="inlineStr">
        <is>
          <t>Electrical / gas safety</t>
        </is>
      </c>
      <c r="C24" s="3" t="inlineStr">
        <is>
          <t>Safe electrical/gas installation; no type B gas heater in bedroom. Source S1/S2.</t>
        </is>
      </c>
      <c r="D24" s="3" t="inlineStr">
        <is>
          <t>Demo pass</t>
        </is>
      </c>
      <c r="E24" s="3" t="inlineStr">
        <is>
          <t>Illustrative only — no evidence</t>
        </is>
      </c>
    </row>
    <row r="25" ht="54" customHeight="1">
      <c r="A25" s="3" t="inlineStr">
        <is>
          <t>DEMO02</t>
        </is>
      </c>
      <c r="B25" s="3" t="inlineStr">
        <is>
          <t>Fire safety</t>
        </is>
      </c>
      <c r="C25" s="3" t="inlineStr">
        <is>
          <t>Fire authority requirements, escape routes and detection</t>
        </is>
      </c>
      <c r="D25" s="3" t="inlineStr">
        <is>
          <t>Demo pass</t>
        </is>
      </c>
      <c r="E25" s="3" t="inlineStr">
        <is>
          <t>Illustrative only — no evidence</t>
        </is>
      </c>
    </row>
    <row r="26" ht="54" customHeight="1">
      <c r="A26" s="3" t="inlineStr">
        <is>
          <t>DEMO02</t>
        </is>
      </c>
      <c r="B26" s="3" t="inlineStr">
        <is>
          <t>Water / heating / moisture</t>
        </is>
      </c>
      <c r="C26" s="3" t="inlineStr">
        <is>
          <t>Water, installed heating, dry structure, sound drainage and no harmful infestation; source S2, arts. 2–5.</t>
        </is>
      </c>
      <c r="D26" s="3" t="inlineStr">
        <is>
          <t>Demo pass</t>
        </is>
      </c>
      <c r="E26" s="3" t="inlineStr">
        <is>
          <t>Illustrative only — no evidence</t>
        </is>
      </c>
    </row>
    <row r="27" ht="54" customHeight="1">
      <c r="A27" s="3" t="inlineStr">
        <is>
          <t>DEMO02</t>
        </is>
      </c>
      <c r="B27" s="3" t="inlineStr">
        <is>
          <t>Energy certification</t>
        </is>
      </c>
      <c r="C27" s="3" t="inlineStr">
        <is>
          <t>Applicable PEB certificate and required disclosures</t>
        </is>
      </c>
      <c r="D27" s="3" t="inlineStr">
        <is>
          <t>Demo pass</t>
        </is>
      </c>
      <c r="E27" s="3" t="inlineStr">
        <is>
          <t>Illustrative only — no evidence</t>
        </is>
      </c>
    </row>
    <row r="28" ht="54" customHeight="1">
      <c r="A28" s="3" t="inlineStr">
        <is>
          <t>DEMO02</t>
        </is>
      </c>
      <c r="B28" s="3" t="inlineStr">
        <is>
          <t>Accessibility / other rules</t>
        </is>
      </c>
      <c r="C28" s="3" t="inlineStr">
        <is>
          <t>Verify access, ceiling heights, structure, mailbox and doorbell, and all case-specific rules. Source S2; confirm municipal requirements.</t>
        </is>
      </c>
      <c r="D28" s="3" t="inlineStr">
        <is>
          <t>Demo pass</t>
        </is>
      </c>
      <c r="E28" s="3" t="inlineStr">
        <is>
          <t>Illustrative only — no evidence</t>
        </is>
      </c>
    </row>
    <row r="29" ht="54" customHeight="1">
      <c r="A29" s="3" t="inlineStr">
        <is>
          <t>DEMO03</t>
        </is>
      </c>
      <c r="B29" s="3" t="inlineStr">
        <is>
          <t>Planning use</t>
        </is>
      </c>
      <c r="C29" s="3" t="inlineStr">
        <is>
          <t>Written confirmation that student housing use and works are lawful</t>
        </is>
      </c>
      <c r="D29" s="3" t="inlineStr">
        <is>
          <t>Demo pass</t>
        </is>
      </c>
      <c r="E29" s="3" t="inlineStr">
        <is>
          <t>Illustrative only — no evidence</t>
        </is>
      </c>
    </row>
    <row r="30" ht="54" customHeight="1">
      <c r="A30" s="3" t="inlineStr">
        <is>
          <t>DEMO03</t>
        </is>
      </c>
      <c r="B30" s="3" t="inlineStr">
        <is>
          <t>Rental authorization</t>
        </is>
      </c>
      <c r="C30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30" s="3" t="inlineStr">
        <is>
          <t>Demo pass</t>
        </is>
      </c>
      <c r="E30" s="3" t="inlineStr">
        <is>
          <t>Illustrative only — no evidence</t>
        </is>
      </c>
    </row>
    <row r="31" ht="54" customHeight="1">
      <c r="A31" s="3" t="inlineStr">
        <is>
          <t>DEMO03</t>
        </is>
      </c>
      <c r="B31" s="3" t="inlineStr">
        <is>
          <t>Minimum room area</t>
        </is>
      </c>
      <c r="C31" s="3" t="inlineStr">
        <is>
          <t>Student accommodation: 12 m² for one resident; 18 m² for two. Shared area counted pro rata. Validate legal classification, habitable share and height. Source S2, art. 4.</t>
        </is>
      </c>
      <c r="D31" s="3" t="inlineStr">
        <is>
          <t>Demo pass</t>
        </is>
      </c>
      <c r="E31" s="3" t="inlineStr">
        <is>
          <t>Illustrative only — no evidence</t>
        </is>
      </c>
    </row>
    <row r="32" ht="54" customHeight="1">
      <c r="A32" s="3" t="inlineStr">
        <is>
          <t>DEMO03</t>
        </is>
      </c>
      <c r="B32" s="3" t="inlineStr">
        <is>
          <t>Occupancy limits</t>
        </is>
      </c>
      <c r="C32" s="3" t="inlineStr">
        <is>
          <t>Shared WC and shower: maximum six users each; kitchen sink and four-ring hob: maximum eight users. Use contractual maximum occupancy. Source S2, art. 5.</t>
        </is>
      </c>
      <c r="D32" s="3" t="inlineStr">
        <is>
          <t>Demo pass</t>
        </is>
      </c>
      <c r="E32" s="3" t="inlineStr">
        <is>
          <t>Illustrative only — no evidence</t>
        </is>
      </c>
    </row>
    <row r="33" ht="54" customHeight="1">
      <c r="A33" s="3" t="inlineStr">
        <is>
          <t>DEMO03</t>
        </is>
      </c>
      <c r="B33" s="3" t="inlineStr">
        <is>
          <t>Sanitation</t>
        </is>
      </c>
      <c r="C33" s="3" t="inlineStr">
        <is>
          <t>Bath/shower with hot water and drainage; shared facilities accessible and lockable. Source S2, art. 5.</t>
        </is>
      </c>
      <c r="D33" s="3" t="inlineStr">
        <is>
          <t>Demo pass</t>
        </is>
      </c>
      <c r="E33" s="3" t="inlineStr">
        <is>
          <t>Illustrative only — no evidence</t>
        </is>
      </c>
    </row>
    <row r="34" ht="54" customHeight="1">
      <c r="A34" s="3" t="inlineStr">
        <is>
          <t>DEMO03</t>
        </is>
      </c>
      <c r="B34" s="3" t="inlineStr">
        <is>
          <t>Kitchen / cooking</t>
        </is>
      </c>
      <c r="C34" s="3" t="inlineStr">
        <is>
          <t>Operational cooking equipment in communal kitchen; suitable supply. Source S2, art. 5.</t>
        </is>
      </c>
      <c r="D34" s="3" t="inlineStr">
        <is>
          <t>Demo pass</t>
        </is>
      </c>
      <c r="E34" s="3" t="inlineStr">
        <is>
          <t>Illustrative only — no evidence</t>
        </is>
      </c>
    </row>
    <row r="35" ht="54" customHeight="1">
      <c r="A35" s="3" t="inlineStr">
        <is>
          <t>DEMO03</t>
        </is>
      </c>
      <c r="B35" s="3" t="inlineStr">
        <is>
          <t>Daylight / ventilation</t>
        </is>
      </c>
      <c r="C35" s="3" t="inlineStr">
        <is>
          <t>Daylight and permanent base ventilation; verify windows, airflow and configuration against S2, art. 3.</t>
        </is>
      </c>
      <c r="D35" s="3" t="inlineStr">
        <is>
          <t>Demo pass</t>
        </is>
      </c>
      <c r="E35" s="3" t="inlineStr">
        <is>
          <t>Illustrative only — no evidence</t>
        </is>
      </c>
    </row>
    <row r="36" ht="54" customHeight="1">
      <c r="A36" s="3" t="inlineStr">
        <is>
          <t>DEMO03</t>
        </is>
      </c>
      <c r="B36" s="3" t="inlineStr">
        <is>
          <t>Electrical / gas safety</t>
        </is>
      </c>
      <c r="C36" s="3" t="inlineStr">
        <is>
          <t>Safe electrical/gas installation; no type B gas heater in bedroom. Source S1/S2.</t>
        </is>
      </c>
      <c r="D36" s="3" t="inlineStr">
        <is>
          <t>Demo pass</t>
        </is>
      </c>
      <c r="E36" s="3" t="inlineStr">
        <is>
          <t>Illustrative only — no evidence</t>
        </is>
      </c>
    </row>
    <row r="37" ht="54" customHeight="1">
      <c r="A37" s="3" t="inlineStr">
        <is>
          <t>DEMO03</t>
        </is>
      </c>
      <c r="B37" s="3" t="inlineStr">
        <is>
          <t>Fire safety</t>
        </is>
      </c>
      <c r="C37" s="3" t="inlineStr">
        <is>
          <t>Fire authority requirements, escape routes and detection</t>
        </is>
      </c>
      <c r="D37" s="3" t="inlineStr">
        <is>
          <t>Demo pass</t>
        </is>
      </c>
      <c r="E37" s="3" t="inlineStr">
        <is>
          <t>Illustrative only — no evidence</t>
        </is>
      </c>
    </row>
    <row r="38" ht="54" customHeight="1">
      <c r="A38" s="3" t="inlineStr">
        <is>
          <t>DEMO03</t>
        </is>
      </c>
      <c r="B38" s="3" t="inlineStr">
        <is>
          <t>Water / heating / moisture</t>
        </is>
      </c>
      <c r="C38" s="3" t="inlineStr">
        <is>
          <t>Water, installed heating, dry structure, sound drainage and no harmful infestation; source S2, arts. 2–5.</t>
        </is>
      </c>
      <c r="D38" s="3" t="inlineStr">
        <is>
          <t>Demo pass</t>
        </is>
      </c>
      <c r="E38" s="3" t="inlineStr">
        <is>
          <t>Illustrative only — no evidence</t>
        </is>
      </c>
    </row>
    <row r="39" ht="54" customHeight="1">
      <c r="A39" s="3" t="inlineStr">
        <is>
          <t>DEMO03</t>
        </is>
      </c>
      <c r="B39" s="3" t="inlineStr">
        <is>
          <t>Energy certification</t>
        </is>
      </c>
      <c r="C39" s="3" t="inlineStr">
        <is>
          <t>Applicable PEB certificate and required disclosures</t>
        </is>
      </c>
      <c r="D39" s="3" t="inlineStr">
        <is>
          <t>Demo pass</t>
        </is>
      </c>
      <c r="E39" s="3" t="inlineStr">
        <is>
          <t>Illustrative only — no evidence</t>
        </is>
      </c>
    </row>
    <row r="40" ht="54" customHeight="1">
      <c r="A40" s="3" t="inlineStr">
        <is>
          <t>DEMO03</t>
        </is>
      </c>
      <c r="B40" s="3" t="inlineStr">
        <is>
          <t>Accessibility / other rules</t>
        </is>
      </c>
      <c r="C40" s="3" t="inlineStr">
        <is>
          <t>Verify access, ceiling heights, structure, mailbox and doorbell, and all case-specific rules. Source S2; confirm municipal requirements.</t>
        </is>
      </c>
      <c r="D40" s="3" t="inlineStr">
        <is>
          <t>Demo pass</t>
        </is>
      </c>
      <c r="E40" s="3" t="inlineStr">
        <is>
          <t>Illustrative only — no evidence</t>
        </is>
      </c>
    </row>
    <row r="41" ht="54" customHeight="1">
      <c r="A41" s="3" t="inlineStr">
        <is>
          <t>DEMO04</t>
        </is>
      </c>
      <c r="B41" s="3" t="inlineStr">
        <is>
          <t>Planning use</t>
        </is>
      </c>
      <c r="C41" s="3" t="inlineStr">
        <is>
          <t>Written confirmation that student housing use and works are lawful</t>
        </is>
      </c>
      <c r="D41" s="3" t="inlineStr">
        <is>
          <t>Demo pass</t>
        </is>
      </c>
      <c r="E41" s="3" t="inlineStr">
        <is>
          <t>Illustrative only — no evidence</t>
        </is>
      </c>
    </row>
    <row r="42" ht="54" customHeight="1">
      <c r="A42" s="3" t="inlineStr">
        <is>
          <t>DEMO04</t>
        </is>
      </c>
      <c r="B42" s="3" t="inlineStr">
        <is>
          <t>Rental authorization</t>
        </is>
      </c>
      <c r="C42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42" s="3" t="inlineStr">
        <is>
          <t>Demo pass</t>
        </is>
      </c>
      <c r="E42" s="3" t="inlineStr">
        <is>
          <t>Illustrative only — no evidence</t>
        </is>
      </c>
    </row>
    <row r="43" ht="54" customHeight="1">
      <c r="A43" s="3" t="inlineStr">
        <is>
          <t>DEMO04</t>
        </is>
      </c>
      <c r="B43" s="3" t="inlineStr">
        <is>
          <t>Minimum room area</t>
        </is>
      </c>
      <c r="C43" s="3" t="inlineStr">
        <is>
          <t>Student accommodation: 12 m² for one resident; 18 m² for two. Shared area counted pro rata. Validate legal classification, habitable share and height. Source S2, art. 4.</t>
        </is>
      </c>
      <c r="D43" s="3" t="inlineStr">
        <is>
          <t>Demo pass</t>
        </is>
      </c>
      <c r="E43" s="3" t="inlineStr">
        <is>
          <t>Illustrative only — no evidence</t>
        </is>
      </c>
    </row>
    <row r="44" ht="54" customHeight="1">
      <c r="A44" s="3" t="inlineStr">
        <is>
          <t>DEMO04</t>
        </is>
      </c>
      <c r="B44" s="3" t="inlineStr">
        <is>
          <t>Occupancy limits</t>
        </is>
      </c>
      <c r="C44" s="3" t="inlineStr">
        <is>
          <t>Shared WC and shower: maximum six users each; kitchen sink and four-ring hob: maximum eight users. Use contractual maximum occupancy. Source S2, art. 5.</t>
        </is>
      </c>
      <c r="D44" s="3" t="inlineStr">
        <is>
          <t>Demo pass</t>
        </is>
      </c>
      <c r="E44" s="3" t="inlineStr">
        <is>
          <t>Illustrative only — no evidence</t>
        </is>
      </c>
    </row>
    <row r="45" ht="54" customHeight="1">
      <c r="A45" s="3" t="inlineStr">
        <is>
          <t>DEMO04</t>
        </is>
      </c>
      <c r="B45" s="3" t="inlineStr">
        <is>
          <t>Sanitation</t>
        </is>
      </c>
      <c r="C45" s="3" t="inlineStr">
        <is>
          <t>Bath/shower with hot water and drainage; shared facilities accessible and lockable. Source S2, art. 5.</t>
        </is>
      </c>
      <c r="D45" s="3" t="inlineStr">
        <is>
          <t>Demo pass</t>
        </is>
      </c>
      <c r="E45" s="3" t="inlineStr">
        <is>
          <t>Illustrative only — no evidence</t>
        </is>
      </c>
    </row>
    <row r="46" ht="54" customHeight="1">
      <c r="A46" s="3" t="inlineStr">
        <is>
          <t>DEMO04</t>
        </is>
      </c>
      <c r="B46" s="3" t="inlineStr">
        <is>
          <t>Kitchen / cooking</t>
        </is>
      </c>
      <c r="C46" s="3" t="inlineStr">
        <is>
          <t>Operational cooking equipment in communal kitchen; suitable supply. Source S2, art. 5.</t>
        </is>
      </c>
      <c r="D46" s="3" t="inlineStr">
        <is>
          <t>Demo pass</t>
        </is>
      </c>
      <c r="E46" s="3" t="inlineStr">
        <is>
          <t>Illustrative only — no evidence</t>
        </is>
      </c>
    </row>
    <row r="47" ht="54" customHeight="1">
      <c r="A47" s="3" t="inlineStr">
        <is>
          <t>DEMO04</t>
        </is>
      </c>
      <c r="B47" s="3" t="inlineStr">
        <is>
          <t>Daylight / ventilation</t>
        </is>
      </c>
      <c r="C47" s="3" t="inlineStr">
        <is>
          <t>Daylight and permanent base ventilation; verify windows, airflow and configuration against S2, art. 3.</t>
        </is>
      </c>
      <c r="D47" s="3" t="inlineStr">
        <is>
          <t>Demo pass</t>
        </is>
      </c>
      <c r="E47" s="3" t="inlineStr">
        <is>
          <t>Illustrative only — no evidence</t>
        </is>
      </c>
    </row>
    <row r="48" ht="54" customHeight="1">
      <c r="A48" s="3" t="inlineStr">
        <is>
          <t>DEMO04</t>
        </is>
      </c>
      <c r="B48" s="3" t="inlineStr">
        <is>
          <t>Electrical / gas safety</t>
        </is>
      </c>
      <c r="C48" s="3" t="inlineStr">
        <is>
          <t>Safe electrical/gas installation; no type B gas heater in bedroom. Source S1/S2.</t>
        </is>
      </c>
      <c r="D48" s="3" t="inlineStr">
        <is>
          <t>Demo pass</t>
        </is>
      </c>
      <c r="E48" s="3" t="inlineStr">
        <is>
          <t>Illustrative only — no evidence</t>
        </is>
      </c>
    </row>
    <row r="49" ht="54" customHeight="1">
      <c r="A49" s="3" t="inlineStr">
        <is>
          <t>DEMO04</t>
        </is>
      </c>
      <c r="B49" s="3" t="inlineStr">
        <is>
          <t>Fire safety</t>
        </is>
      </c>
      <c r="C49" s="3" t="inlineStr">
        <is>
          <t>Fire authority requirements, escape routes and detection</t>
        </is>
      </c>
      <c r="D49" s="3" t="inlineStr">
        <is>
          <t>Demo pass</t>
        </is>
      </c>
      <c r="E49" s="3" t="inlineStr">
        <is>
          <t>Illustrative only — no evidence</t>
        </is>
      </c>
    </row>
    <row r="50" ht="54" customHeight="1">
      <c r="A50" s="3" t="inlineStr">
        <is>
          <t>DEMO04</t>
        </is>
      </c>
      <c r="B50" s="3" t="inlineStr">
        <is>
          <t>Water / heating / moisture</t>
        </is>
      </c>
      <c r="C50" s="3" t="inlineStr">
        <is>
          <t>Water, installed heating, dry structure, sound drainage and no harmful infestation; source S2, arts. 2–5.</t>
        </is>
      </c>
      <c r="D50" s="3" t="inlineStr">
        <is>
          <t>Demo pass</t>
        </is>
      </c>
      <c r="E50" s="3" t="inlineStr">
        <is>
          <t>Illustrative only — no evidence</t>
        </is>
      </c>
    </row>
    <row r="51" ht="54" customHeight="1">
      <c r="A51" s="3" t="inlineStr">
        <is>
          <t>DEMO04</t>
        </is>
      </c>
      <c r="B51" s="3" t="inlineStr">
        <is>
          <t>Energy certification</t>
        </is>
      </c>
      <c r="C51" s="3" t="inlineStr">
        <is>
          <t>Applicable PEB certificate and required disclosures</t>
        </is>
      </c>
      <c r="D51" s="3" t="inlineStr">
        <is>
          <t>Demo pass</t>
        </is>
      </c>
      <c r="E51" s="3" t="inlineStr">
        <is>
          <t>Illustrative only — no evidence</t>
        </is>
      </c>
    </row>
    <row r="52" ht="54" customHeight="1">
      <c r="A52" s="3" t="inlineStr">
        <is>
          <t>DEMO04</t>
        </is>
      </c>
      <c r="B52" s="3" t="inlineStr">
        <is>
          <t>Accessibility / other rules</t>
        </is>
      </c>
      <c r="C52" s="3" t="inlineStr">
        <is>
          <t>Verify access, ceiling heights, structure, mailbox and doorbell, and all case-specific rules. Source S2; confirm municipal requirements.</t>
        </is>
      </c>
      <c r="D52" s="3" t="inlineStr">
        <is>
          <t>Demo pass</t>
        </is>
      </c>
      <c r="E52" s="3" t="inlineStr">
        <is>
          <t>Illustrative only — no evidence</t>
        </is>
      </c>
    </row>
    <row r="53" ht="54" customHeight="1">
      <c r="A53" s="3" t="inlineStr">
        <is>
          <t>DEMO05</t>
        </is>
      </c>
      <c r="B53" s="3" t="inlineStr">
        <is>
          <t>Planning use</t>
        </is>
      </c>
      <c r="C53" s="3" t="inlineStr">
        <is>
          <t>Written confirmation that student housing use and works are lawful</t>
        </is>
      </c>
      <c r="D53" s="3" t="inlineStr">
        <is>
          <t>Demo pass</t>
        </is>
      </c>
      <c r="E53" s="3" t="inlineStr">
        <is>
          <t>Illustrative only — no evidence</t>
        </is>
      </c>
    </row>
    <row r="54" ht="54" customHeight="1">
      <c r="A54" s="3" t="inlineStr">
        <is>
          <t>DEMO05</t>
        </is>
      </c>
      <c r="B54" s="3" t="inlineStr">
        <is>
          <t>Rental authorization</t>
        </is>
      </c>
      <c r="C54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54" s="3" t="inlineStr">
        <is>
          <t>Demo pass</t>
        </is>
      </c>
      <c r="E54" s="3" t="inlineStr">
        <is>
          <t>Illustrative only — no evidence</t>
        </is>
      </c>
    </row>
    <row r="55" ht="54" customHeight="1">
      <c r="A55" s="3" t="inlineStr">
        <is>
          <t>DEMO05</t>
        </is>
      </c>
      <c r="B55" s="3" t="inlineStr">
        <is>
          <t>Minimum room area</t>
        </is>
      </c>
      <c r="C55" s="3" t="inlineStr">
        <is>
          <t>Student accommodation: 12 m² for one resident; 18 m² for two. Shared area counted pro rata. Validate legal classification, habitable share and height. Source S2, art. 4.</t>
        </is>
      </c>
      <c r="D55" s="3" t="inlineStr">
        <is>
          <t>Demo pass</t>
        </is>
      </c>
      <c r="E55" s="3" t="inlineStr">
        <is>
          <t>Illustrative only — no evidence</t>
        </is>
      </c>
    </row>
    <row r="56" ht="54" customHeight="1">
      <c r="A56" s="3" t="inlineStr">
        <is>
          <t>DEMO05</t>
        </is>
      </c>
      <c r="B56" s="3" t="inlineStr">
        <is>
          <t>Occupancy limits</t>
        </is>
      </c>
      <c r="C56" s="3" t="inlineStr">
        <is>
          <t>Shared WC and shower: maximum six users each; kitchen sink and four-ring hob: maximum eight users. Use contractual maximum occupancy. Source S2, art. 5.</t>
        </is>
      </c>
      <c r="D56" s="3" t="inlineStr">
        <is>
          <t>Demo pass</t>
        </is>
      </c>
      <c r="E56" s="3" t="inlineStr">
        <is>
          <t>Illustrative only — no evidence</t>
        </is>
      </c>
    </row>
    <row r="57" ht="54" customHeight="1">
      <c r="A57" s="3" t="inlineStr">
        <is>
          <t>DEMO05</t>
        </is>
      </c>
      <c r="B57" s="3" t="inlineStr">
        <is>
          <t>Sanitation</t>
        </is>
      </c>
      <c r="C57" s="3" t="inlineStr">
        <is>
          <t>Bath/shower with hot water and drainage; shared facilities accessible and lockable. Source S2, art. 5.</t>
        </is>
      </c>
      <c r="D57" s="3" t="inlineStr">
        <is>
          <t>Demo pass</t>
        </is>
      </c>
      <c r="E57" s="3" t="inlineStr">
        <is>
          <t>Illustrative only — no evidence</t>
        </is>
      </c>
    </row>
    <row r="58" ht="54" customHeight="1">
      <c r="A58" s="3" t="inlineStr">
        <is>
          <t>DEMO05</t>
        </is>
      </c>
      <c r="B58" s="3" t="inlineStr">
        <is>
          <t>Kitchen / cooking</t>
        </is>
      </c>
      <c r="C58" s="3" t="inlineStr">
        <is>
          <t>Operational cooking equipment in communal kitchen; suitable supply. Source S2, art. 5.</t>
        </is>
      </c>
      <c r="D58" s="3" t="inlineStr">
        <is>
          <t>Demo pass</t>
        </is>
      </c>
      <c r="E58" s="3" t="inlineStr">
        <is>
          <t>Illustrative only — no evidence</t>
        </is>
      </c>
    </row>
    <row r="59" ht="54" customHeight="1">
      <c r="A59" s="3" t="inlineStr">
        <is>
          <t>DEMO05</t>
        </is>
      </c>
      <c r="B59" s="3" t="inlineStr">
        <is>
          <t>Daylight / ventilation</t>
        </is>
      </c>
      <c r="C59" s="3" t="inlineStr">
        <is>
          <t>Daylight and permanent base ventilation; verify windows, airflow and configuration against S2, art. 3.</t>
        </is>
      </c>
      <c r="D59" s="3" t="inlineStr">
        <is>
          <t>Demo pass</t>
        </is>
      </c>
      <c r="E59" s="3" t="inlineStr">
        <is>
          <t>Illustrative only — no evidence</t>
        </is>
      </c>
    </row>
    <row r="60" ht="54" customHeight="1">
      <c r="A60" s="3" t="inlineStr">
        <is>
          <t>DEMO05</t>
        </is>
      </c>
      <c r="B60" s="3" t="inlineStr">
        <is>
          <t>Electrical / gas safety</t>
        </is>
      </c>
      <c r="C60" s="3" t="inlineStr">
        <is>
          <t>Safe electrical/gas installation; no type B gas heater in bedroom. Source S1/S2.</t>
        </is>
      </c>
      <c r="D60" s="3" t="inlineStr">
        <is>
          <t>Demo pass</t>
        </is>
      </c>
      <c r="E60" s="3" t="inlineStr">
        <is>
          <t>Illustrative only — no evidence</t>
        </is>
      </c>
    </row>
    <row r="61" ht="54" customHeight="1">
      <c r="A61" s="3" t="inlineStr">
        <is>
          <t>DEMO05</t>
        </is>
      </c>
      <c r="B61" s="3" t="inlineStr">
        <is>
          <t>Fire safety</t>
        </is>
      </c>
      <c r="C61" s="3" t="inlineStr">
        <is>
          <t>Fire authority requirements, escape routes and detection</t>
        </is>
      </c>
      <c r="D61" s="3" t="inlineStr">
        <is>
          <t>Demo pass</t>
        </is>
      </c>
      <c r="E61" s="3" t="inlineStr">
        <is>
          <t>Illustrative only — no evidence</t>
        </is>
      </c>
    </row>
    <row r="62" ht="54" customHeight="1">
      <c r="A62" s="3" t="inlineStr">
        <is>
          <t>DEMO05</t>
        </is>
      </c>
      <c r="B62" s="3" t="inlineStr">
        <is>
          <t>Water / heating / moisture</t>
        </is>
      </c>
      <c r="C62" s="3" t="inlineStr">
        <is>
          <t>Water, installed heating, dry structure, sound drainage and no harmful infestation; source S2, arts. 2–5.</t>
        </is>
      </c>
      <c r="D62" s="3" t="inlineStr">
        <is>
          <t>Demo pass</t>
        </is>
      </c>
      <c r="E62" s="3" t="inlineStr">
        <is>
          <t>Illustrative only — no evidence</t>
        </is>
      </c>
    </row>
    <row r="63" ht="54" customHeight="1">
      <c r="A63" s="3" t="inlineStr">
        <is>
          <t>DEMO05</t>
        </is>
      </c>
      <c r="B63" s="3" t="inlineStr">
        <is>
          <t>Energy certification</t>
        </is>
      </c>
      <c r="C63" s="3" t="inlineStr">
        <is>
          <t>Applicable PEB certificate and required disclosures</t>
        </is>
      </c>
      <c r="D63" s="3" t="inlineStr">
        <is>
          <t>Demo pass</t>
        </is>
      </c>
      <c r="E63" s="3" t="inlineStr">
        <is>
          <t>Illustrative only — no evidence</t>
        </is>
      </c>
    </row>
    <row r="64" ht="54" customHeight="1">
      <c r="A64" s="3" t="inlineStr">
        <is>
          <t>DEMO05</t>
        </is>
      </c>
      <c r="B64" s="3" t="inlineStr">
        <is>
          <t>Accessibility / other rules</t>
        </is>
      </c>
      <c r="C64" s="3" t="inlineStr">
        <is>
          <t>Verify access, ceiling heights, structure, mailbox and doorbell, and all case-specific rules. Source S2; confirm municipal requirements.</t>
        </is>
      </c>
      <c r="D64" s="3" t="inlineStr">
        <is>
          <t>Demo pass</t>
        </is>
      </c>
      <c r="E64" s="3" t="inlineStr">
        <is>
          <t>Illustrative only — no evidence</t>
        </is>
      </c>
    </row>
    <row r="65" ht="54" customHeight="1">
      <c r="A65" s="3" t="inlineStr">
        <is>
          <t>DEMO06</t>
        </is>
      </c>
      <c r="B65" s="3" t="inlineStr">
        <is>
          <t>Planning use</t>
        </is>
      </c>
      <c r="C65" s="3" t="inlineStr">
        <is>
          <t>Written confirmation that student housing use and works are lawful</t>
        </is>
      </c>
      <c r="D65" s="3" t="inlineStr">
        <is>
          <t>Fail</t>
        </is>
      </c>
      <c r="E65" s="3" t="inlineStr">
        <is>
          <t>Illustrative only — no evidence</t>
        </is>
      </c>
    </row>
    <row r="66" ht="54" customHeight="1">
      <c r="A66" s="3" t="inlineStr">
        <is>
          <t>DEMO06</t>
        </is>
      </c>
      <c r="B66" s="3" t="inlineStr">
        <is>
          <t>Rental authorization</t>
        </is>
      </c>
      <c r="C66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66" s="3" t="inlineStr">
        <is>
          <t>Unknown</t>
        </is>
      </c>
      <c r="E66" s="3" t="inlineStr">
        <is>
          <t>Illustrative only — no evidence</t>
        </is>
      </c>
    </row>
    <row r="67" ht="54" customHeight="1">
      <c r="A67" s="3" t="inlineStr">
        <is>
          <t>DEMO06</t>
        </is>
      </c>
      <c r="B67" s="3" t="inlineStr">
        <is>
          <t>Minimum room area</t>
        </is>
      </c>
      <c r="C67" s="3" t="inlineStr">
        <is>
          <t>Student accommodation: 12 m² for one resident; 18 m² for two. Shared area counted pro rata. Validate legal classification, habitable share and height. Source S2, art. 4.</t>
        </is>
      </c>
      <c r="D67" s="3" t="inlineStr">
        <is>
          <t>Unknown</t>
        </is>
      </c>
      <c r="E67" s="3" t="inlineStr">
        <is>
          <t>Illustrative only — no evidence</t>
        </is>
      </c>
    </row>
    <row r="68" ht="54" customHeight="1">
      <c r="A68" s="3" t="inlineStr">
        <is>
          <t>DEMO06</t>
        </is>
      </c>
      <c r="B68" s="3" t="inlineStr">
        <is>
          <t>Occupancy limits</t>
        </is>
      </c>
      <c r="C68" s="3" t="inlineStr">
        <is>
          <t>Shared WC and shower: maximum six users each; kitchen sink and four-ring hob: maximum eight users. Use contractual maximum occupancy. Source S2, art. 5.</t>
        </is>
      </c>
      <c r="D68" s="3" t="inlineStr">
        <is>
          <t>Unknown</t>
        </is>
      </c>
      <c r="E68" s="3" t="inlineStr">
        <is>
          <t>Illustrative only — no evidence</t>
        </is>
      </c>
    </row>
    <row r="69" ht="54" customHeight="1">
      <c r="A69" s="3" t="inlineStr">
        <is>
          <t>DEMO06</t>
        </is>
      </c>
      <c r="B69" s="3" t="inlineStr">
        <is>
          <t>Sanitation</t>
        </is>
      </c>
      <c r="C69" s="3" t="inlineStr">
        <is>
          <t>Bath/shower with hot water and drainage; shared facilities accessible and lockable. Source S2, art. 5.</t>
        </is>
      </c>
      <c r="D69" s="3" t="inlineStr">
        <is>
          <t>Unknown</t>
        </is>
      </c>
      <c r="E69" s="3" t="inlineStr">
        <is>
          <t>Illustrative only — no evidence</t>
        </is>
      </c>
    </row>
    <row r="70" ht="54" customHeight="1">
      <c r="A70" s="3" t="inlineStr">
        <is>
          <t>DEMO06</t>
        </is>
      </c>
      <c r="B70" s="3" t="inlineStr">
        <is>
          <t>Kitchen / cooking</t>
        </is>
      </c>
      <c r="C70" s="3" t="inlineStr">
        <is>
          <t>Operational cooking equipment in communal kitchen; suitable supply. Source S2, art. 5.</t>
        </is>
      </c>
      <c r="D70" s="3" t="inlineStr">
        <is>
          <t>Unknown</t>
        </is>
      </c>
      <c r="E70" s="3" t="inlineStr">
        <is>
          <t>Illustrative only — no evidence</t>
        </is>
      </c>
    </row>
    <row r="71" ht="54" customHeight="1">
      <c r="A71" s="3" t="inlineStr">
        <is>
          <t>DEMO06</t>
        </is>
      </c>
      <c r="B71" s="3" t="inlineStr">
        <is>
          <t>Daylight / ventilation</t>
        </is>
      </c>
      <c r="C71" s="3" t="inlineStr">
        <is>
          <t>Daylight and permanent base ventilation; verify windows, airflow and configuration against S2, art. 3.</t>
        </is>
      </c>
      <c r="D71" s="3" t="inlineStr">
        <is>
          <t>Unknown</t>
        </is>
      </c>
      <c r="E71" s="3" t="inlineStr">
        <is>
          <t>Illustrative only — no evidence</t>
        </is>
      </c>
    </row>
    <row r="72" ht="54" customHeight="1">
      <c r="A72" s="3" t="inlineStr">
        <is>
          <t>DEMO06</t>
        </is>
      </c>
      <c r="B72" s="3" t="inlineStr">
        <is>
          <t>Electrical / gas safety</t>
        </is>
      </c>
      <c r="C72" s="3" t="inlineStr">
        <is>
          <t>Safe electrical/gas installation; no type B gas heater in bedroom. Source S1/S2.</t>
        </is>
      </c>
      <c r="D72" s="3" t="inlineStr">
        <is>
          <t>Unknown</t>
        </is>
      </c>
      <c r="E72" s="3" t="inlineStr">
        <is>
          <t>Illustrative only — no evidence</t>
        </is>
      </c>
    </row>
    <row r="73" ht="54" customHeight="1">
      <c r="A73" s="3" t="inlineStr">
        <is>
          <t>DEMO06</t>
        </is>
      </c>
      <c r="B73" s="3" t="inlineStr">
        <is>
          <t>Fire safety</t>
        </is>
      </c>
      <c r="C73" s="3" t="inlineStr">
        <is>
          <t>Fire authority requirements, escape routes and detection</t>
        </is>
      </c>
      <c r="D73" s="3" t="inlineStr">
        <is>
          <t>Unknown</t>
        </is>
      </c>
      <c r="E73" s="3" t="inlineStr">
        <is>
          <t>Illustrative only — no evidence</t>
        </is>
      </c>
    </row>
    <row r="74" ht="54" customHeight="1">
      <c r="A74" s="3" t="inlineStr">
        <is>
          <t>DEMO06</t>
        </is>
      </c>
      <c r="B74" s="3" t="inlineStr">
        <is>
          <t>Water / heating / moisture</t>
        </is>
      </c>
      <c r="C74" s="3" t="inlineStr">
        <is>
          <t>Water, installed heating, dry structure, sound drainage and no harmful infestation; source S2, arts. 2–5.</t>
        </is>
      </c>
      <c r="D74" s="3" t="inlineStr">
        <is>
          <t>Unknown</t>
        </is>
      </c>
      <c r="E74" s="3" t="inlineStr">
        <is>
          <t>Illustrative only — no evidence</t>
        </is>
      </c>
    </row>
    <row r="75" ht="54" customHeight="1">
      <c r="A75" s="3" t="inlineStr">
        <is>
          <t>DEMO06</t>
        </is>
      </c>
      <c r="B75" s="3" t="inlineStr">
        <is>
          <t>Energy certification</t>
        </is>
      </c>
      <c r="C75" s="3" t="inlineStr">
        <is>
          <t>Applicable PEB certificate and required disclosures</t>
        </is>
      </c>
      <c r="D75" s="3" t="inlineStr">
        <is>
          <t>Unknown</t>
        </is>
      </c>
      <c r="E75" s="3" t="inlineStr">
        <is>
          <t>Illustrative only — no evidence</t>
        </is>
      </c>
    </row>
    <row r="76" ht="54" customHeight="1">
      <c r="A76" s="3" t="inlineStr">
        <is>
          <t>DEMO06</t>
        </is>
      </c>
      <c r="B76" s="3" t="inlineStr">
        <is>
          <t>Accessibility / other rules</t>
        </is>
      </c>
      <c r="C76" s="3" t="inlineStr">
        <is>
          <t>Verify access, ceiling heights, structure, mailbox and doorbell, and all case-specific rules. Source S2; confirm municipal requirements.</t>
        </is>
      </c>
      <c r="D76" s="3" t="inlineStr">
        <is>
          <t>Unknown</t>
        </is>
      </c>
      <c r="E76" s="3" t="inlineStr">
        <is>
          <t>Illustrative only — no evidence</t>
        </is>
      </c>
    </row>
    <row r="77" ht="54" customHeight="1">
      <c r="A77" s="3" t="inlineStr">
        <is>
          <t>SLOT7</t>
        </is>
      </c>
      <c r="B77" s="3" t="inlineStr">
        <is>
          <t>Planning use</t>
        </is>
      </c>
      <c r="C77" s="3" t="inlineStr">
        <is>
          <t>Written confirmation that student housing use and works are lawful</t>
        </is>
      </c>
      <c r="D77" s="3" t="inlineStr">
        <is>
          <t>Unknown</t>
        </is>
      </c>
      <c r="E77" s="3" t="inlineStr"/>
    </row>
    <row r="78" ht="54" customHeight="1">
      <c r="A78" s="3" t="inlineStr">
        <is>
          <t>SLOT7</t>
        </is>
      </c>
      <c r="B78" s="3" t="inlineStr">
        <is>
          <t>Rental authorization</t>
        </is>
      </c>
      <c r="C78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78" s="3" t="inlineStr">
        <is>
          <t>Unknown</t>
        </is>
      </c>
      <c r="E78" s="3" t="inlineStr"/>
    </row>
    <row r="79" ht="54" customHeight="1">
      <c r="A79" s="3" t="inlineStr">
        <is>
          <t>SLOT7</t>
        </is>
      </c>
      <c r="B79" s="3" t="inlineStr">
        <is>
          <t>Minimum room area</t>
        </is>
      </c>
      <c r="C79" s="3" t="inlineStr">
        <is>
          <t>Student accommodation: 12 m² for one resident; 18 m² for two. Shared area counted pro rata. Validate legal classification, habitable share and height. Source S2, art. 4.</t>
        </is>
      </c>
      <c r="D79" s="3" t="inlineStr">
        <is>
          <t>Unknown</t>
        </is>
      </c>
      <c r="E79" s="3" t="inlineStr"/>
    </row>
    <row r="80" ht="54" customHeight="1">
      <c r="A80" s="3" t="inlineStr">
        <is>
          <t>SLOT7</t>
        </is>
      </c>
      <c r="B80" s="3" t="inlineStr">
        <is>
          <t>Occupancy limits</t>
        </is>
      </c>
      <c r="C80" s="3" t="inlineStr">
        <is>
          <t>Shared WC and shower: maximum six users each; kitchen sink and four-ring hob: maximum eight users. Use contractual maximum occupancy. Source S2, art. 5.</t>
        </is>
      </c>
      <c r="D80" s="3" t="inlineStr">
        <is>
          <t>Unknown</t>
        </is>
      </c>
      <c r="E80" s="3" t="inlineStr"/>
    </row>
    <row r="81" ht="54" customHeight="1">
      <c r="A81" s="3" t="inlineStr">
        <is>
          <t>SLOT7</t>
        </is>
      </c>
      <c r="B81" s="3" t="inlineStr">
        <is>
          <t>Sanitation</t>
        </is>
      </c>
      <c r="C81" s="3" t="inlineStr">
        <is>
          <t>Bath/shower with hot water and drainage; shared facilities accessible and lockable. Source S2, art. 5.</t>
        </is>
      </c>
      <c r="D81" s="3" t="inlineStr">
        <is>
          <t>Unknown</t>
        </is>
      </c>
      <c r="E81" s="3" t="inlineStr"/>
    </row>
    <row r="82" ht="54" customHeight="1">
      <c r="A82" s="3" t="inlineStr">
        <is>
          <t>SLOT7</t>
        </is>
      </c>
      <c r="B82" s="3" t="inlineStr">
        <is>
          <t>Kitchen / cooking</t>
        </is>
      </c>
      <c r="C82" s="3" t="inlineStr">
        <is>
          <t>Operational cooking equipment in communal kitchen; suitable supply. Source S2, art. 5.</t>
        </is>
      </c>
      <c r="D82" s="3" t="inlineStr">
        <is>
          <t>Unknown</t>
        </is>
      </c>
      <c r="E82" s="3" t="inlineStr"/>
    </row>
    <row r="83" ht="54" customHeight="1">
      <c r="A83" s="3" t="inlineStr">
        <is>
          <t>SLOT7</t>
        </is>
      </c>
      <c r="B83" s="3" t="inlineStr">
        <is>
          <t>Daylight / ventilation</t>
        </is>
      </c>
      <c r="C83" s="3" t="inlineStr">
        <is>
          <t>Daylight and permanent base ventilation; verify windows, airflow and configuration against S2, art. 3.</t>
        </is>
      </c>
      <c r="D83" s="3" t="inlineStr">
        <is>
          <t>Unknown</t>
        </is>
      </c>
      <c r="E83" s="3" t="inlineStr"/>
    </row>
    <row r="84" ht="54" customHeight="1">
      <c r="A84" s="3" t="inlineStr">
        <is>
          <t>SLOT7</t>
        </is>
      </c>
      <c r="B84" s="3" t="inlineStr">
        <is>
          <t>Electrical / gas safety</t>
        </is>
      </c>
      <c r="C84" s="3" t="inlineStr">
        <is>
          <t>Safe electrical/gas installation; no type B gas heater in bedroom. Source S1/S2.</t>
        </is>
      </c>
      <c r="D84" s="3" t="inlineStr">
        <is>
          <t>Unknown</t>
        </is>
      </c>
      <c r="E84" s="3" t="inlineStr"/>
    </row>
    <row r="85" ht="54" customHeight="1">
      <c r="A85" s="3" t="inlineStr">
        <is>
          <t>SLOT7</t>
        </is>
      </c>
      <c r="B85" s="3" t="inlineStr">
        <is>
          <t>Fire safety</t>
        </is>
      </c>
      <c r="C85" s="3" t="inlineStr">
        <is>
          <t>Fire authority requirements, escape routes and detection</t>
        </is>
      </c>
      <c r="D85" s="3" t="inlineStr">
        <is>
          <t>Unknown</t>
        </is>
      </c>
      <c r="E85" s="3" t="inlineStr"/>
    </row>
    <row r="86" ht="54" customHeight="1">
      <c r="A86" s="3" t="inlineStr">
        <is>
          <t>SLOT7</t>
        </is>
      </c>
      <c r="B86" s="3" t="inlineStr">
        <is>
          <t>Water / heating / moisture</t>
        </is>
      </c>
      <c r="C86" s="3" t="inlineStr">
        <is>
          <t>Water, installed heating, dry structure, sound drainage and no harmful infestation; source S2, arts. 2–5.</t>
        </is>
      </c>
      <c r="D86" s="3" t="inlineStr">
        <is>
          <t>Unknown</t>
        </is>
      </c>
      <c r="E86" s="3" t="inlineStr"/>
    </row>
    <row r="87" ht="54" customHeight="1">
      <c r="A87" s="3" t="inlineStr">
        <is>
          <t>SLOT7</t>
        </is>
      </c>
      <c r="B87" s="3" t="inlineStr">
        <is>
          <t>Energy certification</t>
        </is>
      </c>
      <c r="C87" s="3" t="inlineStr">
        <is>
          <t>Applicable PEB certificate and required disclosures</t>
        </is>
      </c>
      <c r="D87" s="3" t="inlineStr">
        <is>
          <t>Unknown</t>
        </is>
      </c>
      <c r="E87" s="3" t="inlineStr"/>
    </row>
    <row r="88" ht="54" customHeight="1">
      <c r="A88" s="3" t="inlineStr">
        <is>
          <t>SLOT7</t>
        </is>
      </c>
      <c r="B88" s="3" t="inlineStr">
        <is>
          <t>Accessibility / other rules</t>
        </is>
      </c>
      <c r="C88" s="3" t="inlineStr">
        <is>
          <t>Verify access, ceiling heights, structure, mailbox and doorbell, and all case-specific rules. Source S2; confirm municipal requirements.</t>
        </is>
      </c>
      <c r="D88" s="3" t="inlineStr">
        <is>
          <t>Unknown</t>
        </is>
      </c>
      <c r="E88" s="3" t="inlineStr"/>
    </row>
    <row r="89" ht="54" customHeight="1">
      <c r="A89" s="3" t="inlineStr">
        <is>
          <t>SLOT8</t>
        </is>
      </c>
      <c r="B89" s="3" t="inlineStr">
        <is>
          <t>Planning use</t>
        </is>
      </c>
      <c r="C89" s="3" t="inlineStr">
        <is>
          <t>Written confirmation that student housing use and works are lawful</t>
        </is>
      </c>
      <c r="D89" s="3" t="inlineStr">
        <is>
          <t>Unknown</t>
        </is>
      </c>
      <c r="E89" s="3" t="inlineStr"/>
    </row>
    <row r="90" ht="54" customHeight="1">
      <c r="A90" s="3" t="inlineStr">
        <is>
          <t>SLOT8</t>
        </is>
      </c>
      <c r="B90" s="3" t="inlineStr">
        <is>
          <t>Rental authorization</t>
        </is>
      </c>
      <c r="C90" s="3" t="inlineStr">
        <is>
          <t>Check required planning/letting approvals; DIRL clearance required after a letting prohibition. Ordinary voluntary conformity certificate and quality label are not universal prerequisites. Source S3/S4.</t>
        </is>
      </c>
      <c r="D90" s="3" t="inlineStr">
        <is>
          <t>Unknown</t>
        </is>
      </c>
      <c r="E90" s="3" t="inlineStr"/>
    </row>
    <row r="91" ht="54" customHeight="1">
      <c r="A91" s="3" t="inlineStr">
        <is>
          <t>SLOT8</t>
        </is>
      </c>
      <c r="B91" s="3" t="inlineStr">
        <is>
          <t>Minimum room area</t>
        </is>
      </c>
      <c r="C91" s="3" t="inlineStr">
        <is>
          <t>Student accommodation: 12 m² for one resident; 18 m² for two. Shared area counted pro rata. Validate legal classification, habitable share and height. Source S2, art. 4.</t>
        </is>
      </c>
      <c r="D91" s="3" t="inlineStr">
        <is>
          <t>Unknown</t>
        </is>
      </c>
      <c r="E91" s="3" t="inlineStr"/>
    </row>
    <row r="92" ht="54" customHeight="1">
      <c r="A92" s="3" t="inlineStr">
        <is>
          <t>SLOT8</t>
        </is>
      </c>
      <c r="B92" s="3" t="inlineStr">
        <is>
          <t>Occupancy limits</t>
        </is>
      </c>
      <c r="C92" s="3" t="inlineStr">
        <is>
          <t>Shared WC and shower: maximum six users each; kitchen sink and four-ring hob: maximum eight users. Use contractual maximum occupancy. Source S2, art. 5.</t>
        </is>
      </c>
      <c r="D92" s="3" t="inlineStr">
        <is>
          <t>Unknown</t>
        </is>
      </c>
      <c r="E92" s="3" t="inlineStr"/>
    </row>
    <row r="93" ht="54" customHeight="1">
      <c r="A93" s="3" t="inlineStr">
        <is>
          <t>SLOT8</t>
        </is>
      </c>
      <c r="B93" s="3" t="inlineStr">
        <is>
          <t>Sanitation</t>
        </is>
      </c>
      <c r="C93" s="3" t="inlineStr">
        <is>
          <t>Bath/shower with hot water and drainage; shared facilities accessible and lockable. Source S2, art. 5.</t>
        </is>
      </c>
      <c r="D93" s="3" t="inlineStr">
        <is>
          <t>Unknown</t>
        </is>
      </c>
      <c r="E93" s="3" t="inlineStr"/>
    </row>
    <row r="94" ht="54" customHeight="1">
      <c r="A94" s="3" t="inlineStr">
        <is>
          <t>SLOT8</t>
        </is>
      </c>
      <c r="B94" s="3" t="inlineStr">
        <is>
          <t>Kitchen / cooking</t>
        </is>
      </c>
      <c r="C94" s="3" t="inlineStr">
        <is>
          <t>Operational cooking equipment in communal kitchen; suitable supply. Source S2, art. 5.</t>
        </is>
      </c>
      <c r="D94" s="3" t="inlineStr">
        <is>
          <t>Unknown</t>
        </is>
      </c>
      <c r="E94" s="3" t="inlineStr"/>
    </row>
    <row r="95" ht="54" customHeight="1">
      <c r="A95" s="3" t="inlineStr">
        <is>
          <t>SLOT8</t>
        </is>
      </c>
      <c r="B95" s="3" t="inlineStr">
        <is>
          <t>Daylight / ventilation</t>
        </is>
      </c>
      <c r="C95" s="3" t="inlineStr">
        <is>
          <t>Daylight and permanent base ventilation; verify windows, airflow and configuration against S2, art. 3.</t>
        </is>
      </c>
      <c r="D95" s="3" t="inlineStr">
        <is>
          <t>Unknown</t>
        </is>
      </c>
      <c r="E95" s="3" t="inlineStr"/>
    </row>
    <row r="96" ht="54" customHeight="1">
      <c r="A96" s="3" t="inlineStr">
        <is>
          <t>SLOT8</t>
        </is>
      </c>
      <c r="B96" s="3" t="inlineStr">
        <is>
          <t>Electrical / gas safety</t>
        </is>
      </c>
      <c r="C96" s="3" t="inlineStr">
        <is>
          <t>Safe electrical/gas installation; no type B gas heater in bedroom. Source S1/S2.</t>
        </is>
      </c>
      <c r="D96" s="3" t="inlineStr">
        <is>
          <t>Unknown</t>
        </is>
      </c>
      <c r="E96" s="3" t="inlineStr"/>
    </row>
    <row r="97" ht="54" customHeight="1">
      <c r="A97" s="3" t="inlineStr">
        <is>
          <t>SLOT8</t>
        </is>
      </c>
      <c r="B97" s="3" t="inlineStr">
        <is>
          <t>Fire safety</t>
        </is>
      </c>
      <c r="C97" s="3" t="inlineStr">
        <is>
          <t>Fire authority requirements, escape routes and detection</t>
        </is>
      </c>
      <c r="D97" s="3" t="inlineStr">
        <is>
          <t>Unknown</t>
        </is>
      </c>
      <c r="E97" s="3" t="inlineStr"/>
    </row>
    <row r="98" ht="54" customHeight="1">
      <c r="A98" s="3" t="inlineStr">
        <is>
          <t>SLOT8</t>
        </is>
      </c>
      <c r="B98" s="3" t="inlineStr">
        <is>
          <t>Water / heating / moisture</t>
        </is>
      </c>
      <c r="C98" s="3" t="inlineStr">
        <is>
          <t>Water, installed heating, dry structure, sound drainage and no harmful infestation; source S2, arts. 2–5.</t>
        </is>
      </c>
      <c r="D98" s="3" t="inlineStr">
        <is>
          <t>Unknown</t>
        </is>
      </c>
      <c r="E98" s="3" t="inlineStr"/>
    </row>
    <row r="99" ht="54" customHeight="1">
      <c r="A99" s="3" t="inlineStr">
        <is>
          <t>SLOT8</t>
        </is>
      </c>
      <c r="B99" s="3" t="inlineStr">
        <is>
          <t>Energy certification</t>
        </is>
      </c>
      <c r="C99" s="3" t="inlineStr">
        <is>
          <t>Applicable PEB certificate and required disclosures</t>
        </is>
      </c>
      <c r="D99" s="3" t="inlineStr">
        <is>
          <t>Unknown</t>
        </is>
      </c>
      <c r="E99" s="3" t="inlineStr"/>
    </row>
    <row r="100" ht="54" customHeight="1">
      <c r="A100" s="3" t="inlineStr">
        <is>
          <t>SLOT8</t>
        </is>
      </c>
      <c r="B100" s="3" t="inlineStr">
        <is>
          <t>Accessibility / other rules</t>
        </is>
      </c>
      <c r="C100" s="3" t="inlineStr">
        <is>
          <t>Verify access, ceiling heights, structure, mailbox and doorbell, and all case-specific rules. Source S2; confirm municipal requirements.</t>
        </is>
      </c>
      <c r="D100" s="3" t="inlineStr">
        <is>
          <t>Unknown</t>
        </is>
      </c>
      <c r="E100" s="3" t="inlineStr"/>
    </row>
  </sheetData>
  <autoFilter ref="A4:E100"/>
  <dataValidations count="1">
    <dataValidation sqref="D5:D100" showDropDown="0" showInputMessage="0" showErrorMessage="0" allowBlank="0" type="list">
      <formula1>"Unknown,Verified,Fail,Demo pass"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0" customHeight="1">
      <c r="A1" s="1" t="inlineStr">
        <is>
          <t>Ten-year cash flows | base and downside</t>
        </is>
      </c>
    </row>
    <row r="2">
      <c r="A2" s="2" t="inlineStr">
        <is>
          <t>Annual approximation: delay reduces operating months. Capital paid at acquisition; terminal sale at year 10.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2" customHeight="1">
      <c r="A4" s="6" t="inlineStr">
        <is>
          <t>Project</t>
        </is>
      </c>
      <c r="B4" s="6" t="inlineStr">
        <is>
          <t>Year 0</t>
        </is>
      </c>
      <c r="C4" s="6" t="inlineStr">
        <is>
          <t>Year 1</t>
        </is>
      </c>
      <c r="D4" s="6" t="inlineStr">
        <is>
          <t>Year 2</t>
        </is>
      </c>
      <c r="E4" s="6" t="inlineStr">
        <is>
          <t>Year 3</t>
        </is>
      </c>
      <c r="F4" s="6" t="inlineStr">
        <is>
          <t>Year 4</t>
        </is>
      </c>
      <c r="G4" s="6" t="inlineStr">
        <is>
          <t>Year 5</t>
        </is>
      </c>
      <c r="H4" s="6" t="inlineStr">
        <is>
          <t>Year 6</t>
        </is>
      </c>
      <c r="I4" s="6" t="inlineStr">
        <is>
          <t>Year 7</t>
        </is>
      </c>
      <c r="J4" s="6" t="inlineStr">
        <is>
          <t>Year 8</t>
        </is>
      </c>
      <c r="K4" s="6" t="inlineStr">
        <is>
          <t>Year 9</t>
        </is>
      </c>
      <c r="L4" s="6" t="inlineStr">
        <is>
          <t>Year 10</t>
        </is>
      </c>
    </row>
    <row r="5">
      <c r="A5" s="5" t="str">
        <f>Opportunities!B8</f>
        <v>Illustrative conversion A</v>
      </c>
      <c r="B5" s="5">
        <f>-Opportunities!L8</f>
        <v>-869500.0000000001</v>
      </c>
      <c r="C5" s="5">
        <f>(Opportunities!C8*Opportunities!D8*12*Opportunities!I8*(1-Opportunities!J8)-Opportunities!K8)*(1+Assumptions!$B$10)^0*MAX(0,MIN(1,(1*12-(Opportunities!H8))/12))</f>
        <v>0.0</v>
      </c>
      <c r="D5" s="5">
        <f>(Opportunities!C8*Opportunities!D8*12*Opportunities!I8*(1-Opportunities!J8)-Opportunities!K8)*(1+Assumptions!$B$10)^1*MAX(0,MIN(1,(2*12-(Opportunities!H8))/12))</f>
        <v>64902.0288</v>
      </c>
      <c r="E5" s="5">
        <f>(Opportunities!C8*Opportunities!D8*12*Opportunities!I8*(1-Opportunities!J8)-Opportunities!K8)*(1+Assumptions!$B$10)^2*MAX(0,MIN(1,(3*12-(Opportunities!H8))/12))</f>
        <v>66200.069376</v>
      </c>
      <c r="F5" s="5">
        <f>(Opportunities!C8*Opportunities!D8*12*Opportunities!I8*(1-Opportunities!J8)-Opportunities!K8)*(1+Assumptions!$B$10)^3*MAX(0,MIN(1,(4*12-(Opportunities!H8))/12))</f>
        <v>67524.07076352001</v>
      </c>
      <c r="G5" s="5">
        <f>(Opportunities!C8*Opportunities!D8*12*Opportunities!I8*(1-Opportunities!J8)-Opportunities!K8)*(1+Assumptions!$B$10)^4*MAX(0,MIN(1,(5*12-(Opportunities!H8))/12))</f>
        <v>68874.5521787904</v>
      </c>
      <c r="H5" s="5">
        <f>(Opportunities!C8*Opportunities!D8*12*Opportunities!I8*(1-Opportunities!J8)-Opportunities!K8)*(1+Assumptions!$B$10)^5*MAX(0,MIN(1,(6*12-(Opportunities!H8))/12))</f>
        <v>70252.0432223662</v>
      </c>
      <c r="I5" s="5">
        <f>(Opportunities!C8*Opportunities!D8*12*Opportunities!I8*(1-Opportunities!J8)-Opportunities!K8)*(1+Assumptions!$B$10)^6*MAX(0,MIN(1,(7*12-(Opportunities!H8))/12))</f>
        <v>71657.08408681354</v>
      </c>
      <c r="J5" s="5">
        <f>(Opportunities!C8*Opportunities!D8*12*Opportunities!I8*(1-Opportunities!J8)-Opportunities!K8)*(1+Assumptions!$B$10)^7*MAX(0,MIN(1,(8*12-(Opportunities!H8))/12))</f>
        <v>73090.2257685498</v>
      </c>
      <c r="K5" s="5">
        <f>(Opportunities!C8*Opportunities!D8*12*Opportunities!I8*(1-Opportunities!J8)-Opportunities!K8)*(1+Assumptions!$B$10)^8*MAX(0,MIN(1,(9*12-(Opportunities!H8))/12))</f>
        <v>74552.03028392082</v>
      </c>
      <c r="L5" s="5">
        <f>(Opportunities!C8*Opportunities!D8*12*Opportunities!I8*(1-Opportunities!J8)-Opportunities!K8)*(1+Assumptions!$B$10)^9*MAX(0,MIN(1,(10*12-(Opportunities!H8))/12))+MAX(0,(Opportunities!O8)/Assumptions!$B$11)*(1-Assumptions!$B$12)</f>
        <v>1443988.7861290441</v>
      </c>
    </row>
    <row r="6">
      <c r="A6" s="5" t="str">
        <f>Opportunities!B9</f>
        <v>Illustrative renovation B</v>
      </c>
      <c r="B6" s="5">
        <f>-Opportunities!L9</f>
        <v>-585000.0</v>
      </c>
      <c r="C6" s="5">
        <f>(Opportunities!C9*Opportunities!D9*12*Opportunities!I9*(1-Opportunities!J9)-Opportunities!K9)*(1+Assumptions!$B$10)^0*MAX(0,MIN(1,(1*12-(Opportunities!H9))/12))</f>
        <v>21255.0</v>
      </c>
      <c r="D6" s="5">
        <f>(Opportunities!C9*Opportunities!D9*12*Opportunities!I9*(1-Opportunities!J9)-Opportunities!K9)*(1+Assumptions!$B$10)^1*MAX(0,MIN(1,(2*12-(Opportunities!H9))/12))</f>
        <v>43360.200000000004</v>
      </c>
      <c r="E6" s="5">
        <f>(Opportunities!C9*Opportunities!D9*12*Opportunities!I9*(1-Opportunities!J9)-Opportunities!K9)*(1+Assumptions!$B$10)^2*MAX(0,MIN(1,(3*12-(Opportunities!H9))/12))</f>
        <v>44227.404</v>
      </c>
      <c r="F6" s="5">
        <f>(Opportunities!C9*Opportunities!D9*12*Opportunities!I9*(1-Opportunities!J9)-Opportunities!K9)*(1+Assumptions!$B$10)^3*MAX(0,MIN(1,(4*12-(Opportunities!H9))/12))</f>
        <v>45111.95208000001</v>
      </c>
      <c r="G6" s="5">
        <f>(Opportunities!C9*Opportunities!D9*12*Opportunities!I9*(1-Opportunities!J9)-Opportunities!K9)*(1+Assumptions!$B$10)^4*MAX(0,MIN(1,(5*12-(Opportunities!H9))/12))</f>
        <v>46014.1911216</v>
      </c>
      <c r="H6" s="5">
        <f>(Opportunities!C9*Opportunities!D9*12*Opportunities!I9*(1-Opportunities!J9)-Opportunities!K9)*(1+Assumptions!$B$10)^5*MAX(0,MIN(1,(6*12-(Opportunities!H9))/12))</f>
        <v>46934.474944032</v>
      </c>
      <c r="I6" s="5">
        <f>(Opportunities!C9*Opportunities!D9*12*Opportunities!I9*(1-Opportunities!J9)-Opportunities!K9)*(1+Assumptions!$B$10)^6*MAX(0,MIN(1,(7*12-(Opportunities!H9))/12))</f>
        <v>47873.164442912646</v>
      </c>
      <c r="J6" s="5">
        <f>(Opportunities!C9*Opportunities!D9*12*Opportunities!I9*(1-Opportunities!J9)-Opportunities!K9)*(1+Assumptions!$B$10)^7*MAX(0,MIN(1,(8*12-(Opportunities!H9))/12))</f>
        <v>48830.627731770895</v>
      </c>
      <c r="K6" s="5">
        <f>(Opportunities!C9*Opportunities!D9*12*Opportunities!I9*(1-Opportunities!J9)-Opportunities!K9)*(1+Assumptions!$B$10)^8*MAX(0,MIN(1,(9*12-(Opportunities!H9))/12))</f>
        <v>49807.24028640632</v>
      </c>
      <c r="L6" s="5">
        <f>(Opportunities!C9*Opportunities!D9*12*Opportunities!I9*(1-Opportunities!J9)-Opportunities!K9)*(1+Assumptions!$B$10)^9*MAX(0,MIN(1,(10*12-(Opportunities!H9))/12))+MAX(0,(Opportunities!O9)/Assumptions!$B$11)*(1-Assumptions!$B$12)</f>
        <v>964710.0980040949</v>
      </c>
    </row>
    <row r="7">
      <c r="A7" s="5" t="str">
        <f>Opportunities!B10</f>
        <v>Illustrative new build C</v>
      </c>
      <c r="B7" s="5">
        <f>-Opportunities!L10</f>
        <v>-1581000.0</v>
      </c>
      <c r="C7" s="5">
        <f>(Opportunities!C10*Opportunities!D10*12*Opportunities!I10*(1-Opportunities!J10)-Opportunities!K10)*(1+Assumptions!$B$10)^0*MAX(0,MIN(1,(1*12-(Opportunities!H10))/12))</f>
        <v>0.0</v>
      </c>
      <c r="D7" s="5">
        <f>(Opportunities!C10*Opportunities!D10*12*Opportunities!I10*(1-Opportunities!J10)-Opportunities!K10)*(1+Assumptions!$B$10)^1*MAX(0,MIN(1,(2*12-(Opportunities!H10))/12))</f>
        <v>0.0</v>
      </c>
      <c r="E7" s="5">
        <f>(Opportunities!C10*Opportunities!D10*12*Opportunities!I10*(1-Opportunities!J10)-Opportunities!K10)*(1+Assumptions!$B$10)^2*MAX(0,MIN(1,(3*12-(Opportunities!H10))/12))</f>
        <v>61513.1256384</v>
      </c>
      <c r="F7" s="5">
        <f>(Opportunities!C10*Opportunities!D10*12*Opportunities!I10*(1-Opportunities!J10)-Opportunities!K10)*(1+Assumptions!$B$10)^3*MAX(0,MIN(1,(4*12-(Opportunities!H10))/12))</f>
        <v>125486.77630233602</v>
      </c>
      <c r="G7" s="5">
        <f>(Opportunities!C10*Opportunities!D10*12*Opportunities!I10*(1-Opportunities!J10)-Opportunities!K10)*(1+Assumptions!$B$10)^4*MAX(0,MIN(1,(5*12-(Opportunities!H10))/12))</f>
        <v>127996.51182838272</v>
      </c>
      <c r="H7" s="5">
        <f>(Opportunities!C10*Opportunities!D10*12*Opportunities!I10*(1-Opportunities!J10)-Opportunities!K10)*(1+Assumptions!$B$10)^5*MAX(0,MIN(1,(6*12-(Opportunities!H10))/12))</f>
        <v>130556.44206495037</v>
      </c>
      <c r="I7" s="5">
        <f>(Opportunities!C10*Opportunities!D10*12*Opportunities!I10*(1-Opportunities!J10)-Opportunities!K10)*(1+Assumptions!$B$10)^6*MAX(0,MIN(1,(7*12-(Opportunities!H10))/12))</f>
        <v>133167.5709062494</v>
      </c>
      <c r="J7" s="5">
        <f>(Opportunities!C10*Opportunities!D10*12*Opportunities!I10*(1-Opportunities!J10)-Opportunities!K10)*(1+Assumptions!$B$10)^7*MAX(0,MIN(1,(8*12-(Opportunities!H10))/12))</f>
        <v>135830.92232437438</v>
      </c>
      <c r="K7" s="5">
        <f>(Opportunities!C10*Opportunities!D10*12*Opportunities!I10*(1-Opportunities!J10)-Opportunities!K10)*(1+Assumptions!$B$10)^8*MAX(0,MIN(1,(9*12-(Opportunities!H10))/12))</f>
        <v>138547.54077086187</v>
      </c>
      <c r="L7" s="5">
        <f>(Opportunities!C10*Opportunities!D10*12*Opportunities!I10*(1-Opportunities!J10)-Opportunities!K10)*(1+Assumptions!$B$10)^9*MAX(0,MIN(1,(10*12-(Opportunities!H10))/12))+MAX(0,(Opportunities!O10)/Assumptions!$B$11)*(1-Assumptions!$B$12)</f>
        <v>2683509.683867453</v>
      </c>
    </row>
    <row r="8">
      <c r="A8" s="5" t="str">
        <f>Opportunities!B11</f>
        <v>Illustrative small asset D</v>
      </c>
      <c r="B8" s="5">
        <f>-Opportunities!L11</f>
        <v>-332250.0</v>
      </c>
      <c r="C8" s="5">
        <f>(Opportunities!C11*Opportunities!D11*12*Opportunities!I11*(1-Opportunities!J11)-Opportunities!K11)*(1+Assumptions!$B$10)^0*MAX(0,MIN(1,(1*12-(Opportunities!H11))/12))</f>
        <v>15032.72533333333</v>
      </c>
      <c r="D8" s="5">
        <f>(Opportunities!C11*Opportunities!D11*12*Opportunities!I11*(1-Opportunities!J11)-Opportunities!K11)*(1+Assumptions!$B$10)^1*MAX(0,MIN(1,(2*12-(Opportunities!H11))/12))</f>
        <v>23000.069759999995</v>
      </c>
      <c r="E8" s="5">
        <f>(Opportunities!C11*Opportunities!D11*12*Opportunities!I11*(1-Opportunities!J11)-Opportunities!K11)*(1+Assumptions!$B$10)^2*MAX(0,MIN(1,(3*12-(Opportunities!H11))/12))</f>
        <v>23460.071155199996</v>
      </c>
      <c r="F8" s="5">
        <f>(Opportunities!C11*Opportunities!D11*12*Opportunities!I11*(1-Opportunities!J11)-Opportunities!K11)*(1+Assumptions!$B$10)^3*MAX(0,MIN(1,(4*12-(Opportunities!H11))/12))</f>
        <v>23929.272578304</v>
      </c>
      <c r="G8" s="5">
        <f>(Opportunities!C11*Opportunities!D11*12*Opportunities!I11*(1-Opportunities!J11)-Opportunities!K11)*(1+Assumptions!$B$10)^4*MAX(0,MIN(1,(5*12-(Opportunities!H11))/12))</f>
        <v>24407.858029870076</v>
      </c>
      <c r="H8" s="5">
        <f>(Opportunities!C11*Opportunities!D11*12*Opportunities!I11*(1-Opportunities!J11)-Opportunities!K11)*(1+Assumptions!$B$10)^5*MAX(0,MIN(1,(6*12-(Opportunities!H11))/12))</f>
        <v>24896.01519046748</v>
      </c>
      <c r="I8" s="5">
        <f>(Opportunities!C11*Opportunities!D11*12*Opportunities!I11*(1-Opportunities!J11)-Opportunities!K11)*(1+Assumptions!$B$10)^6*MAX(0,MIN(1,(7*12-(Opportunities!H11))/12))</f>
        <v>25393.93549427683</v>
      </c>
      <c r="J8" s="5">
        <f>(Opportunities!C11*Opportunities!D11*12*Opportunities!I11*(1-Opportunities!J11)-Opportunities!K11)*(1+Assumptions!$B$10)^7*MAX(0,MIN(1,(8*12-(Opportunities!H11))/12))</f>
        <v>25901.814204162365</v>
      </c>
      <c r="K8" s="5">
        <f>(Opportunities!C11*Opportunities!D11*12*Opportunities!I11*(1-Opportunities!J11)-Opportunities!K11)*(1+Assumptions!$B$10)^8*MAX(0,MIN(1,(9*12-(Opportunities!H11))/12))</f>
        <v>26419.850488245615</v>
      </c>
      <c r="L8" s="5">
        <f>(Opportunities!C11*Opportunities!D11*12*Opportunities!I11*(1-Opportunities!J11)-Opportunities!K11)*(1+Assumptions!$B$10)^9*MAX(0,MIN(1,(10*12-(Opportunities!H11))/12))+MAX(0,(Opportunities!O11)/Assumptions!$B$11)*(1-Assumptions!$B$12)</f>
        <v>511722.7215804035</v>
      </c>
    </row>
    <row r="9">
      <c r="A9" s="5" t="str">
        <f>Opportunities!B12</f>
        <v>Illustrative delayed asset E</v>
      </c>
      <c r="B9" s="5">
        <f>-Opportunities!L12</f>
        <v>-1143000.0</v>
      </c>
      <c r="C9" s="5">
        <f>(Opportunities!C12*Opportunities!D12*12*Opportunities!I12*(1-Opportunities!J12)-Opportunities!K12)*(1+Assumptions!$B$10)^0*MAX(0,MIN(1,(1*12-(Opportunities!H12))/12))</f>
        <v>0.0</v>
      </c>
      <c r="D9" s="5">
        <f>(Opportunities!C12*Opportunities!D12*12*Opportunities!I12*(1-Opportunities!J12)-Opportunities!K12)*(1+Assumptions!$B$10)^1*MAX(0,MIN(1,(2*12-(Opportunities!H12))/12))</f>
        <v>0.0</v>
      </c>
      <c r="E9" s="5">
        <f>(Opportunities!C12*Opportunities!D12*12*Opportunities!I12*(1-Opportunities!J12)-Opportunities!K12)*(1+Assumptions!$B$10)^2*MAX(0,MIN(1,(3*12-(Opportunities!H12))/12))</f>
        <v>0.0</v>
      </c>
      <c r="F9" s="5">
        <f>(Opportunities!C12*Opportunities!D12*12*Opportunities!I12*(1-Opportunities!J12)-Opportunities!K12)*(1+Assumptions!$B$10)^3*MAX(0,MIN(1,(4*12-(Opportunities!H12))/12))</f>
        <v>39320.72778240001</v>
      </c>
      <c r="G9" s="5">
        <f>(Opportunities!C12*Opportunities!D12*12*Opportunities!I12*(1-Opportunities!J12)-Opportunities!K12)*(1+Assumptions!$B$10)^4*MAX(0,MIN(1,(5*12-(Opportunities!H12))/12))</f>
        <v>80214.28467609601</v>
      </c>
      <c r="H9" s="5">
        <f>(Opportunities!C12*Opportunities!D12*12*Opportunities!I12*(1-Opportunities!J12)-Opportunities!K12)*(1+Assumptions!$B$10)^5*MAX(0,MIN(1,(6*12-(Opportunities!H12))/12))</f>
        <v>81818.57036961793</v>
      </c>
      <c r="I9" s="5">
        <f>(Opportunities!C12*Opportunities!D12*12*Opportunities!I12*(1-Opportunities!J12)-Opportunities!K12)*(1+Assumptions!$B$10)^6*MAX(0,MIN(1,(7*12-(Opportunities!H12))/12))</f>
        <v>83454.94177701029</v>
      </c>
      <c r="J9" s="5">
        <f>(Opportunities!C12*Opportunities!D12*12*Opportunities!I12*(1-Opportunities!J12)-Opportunities!K12)*(1+Assumptions!$B$10)^7*MAX(0,MIN(1,(8*12-(Opportunities!H12))/12))</f>
        <v>85124.0406125505</v>
      </c>
      <c r="K9" s="5">
        <f>(Opportunities!C12*Opportunities!D12*12*Opportunities!I12*(1-Opportunities!J12)-Opportunities!K12)*(1+Assumptions!$B$10)^8*MAX(0,MIN(1,(9*12-(Opportunities!H12))/12))</f>
        <v>86826.52142480151</v>
      </c>
      <c r="L9" s="5">
        <f>(Opportunities!C12*Opportunities!D12*12*Opportunities!I12*(1-Opportunities!J12)-Opportunities!K12)*(1+Assumptions!$B$10)^9*MAX(0,MIN(1,(10*12-(Opportunities!H12))/12))+MAX(0,(Opportunities!O12)/Assumptions!$B$11)*(1-Assumptions!$B$12)</f>
        <v>1681731.842828799</v>
      </c>
    </row>
    <row r="10">
      <c r="A10" s="5" t="str">
        <f>Opportunities!B13</f>
        <v>Illustrative compliance failure F</v>
      </c>
      <c r="B10" s="5">
        <f>-Opportunities!L13</f>
        <v>-799250.0000000001</v>
      </c>
      <c r="C10" s="5">
        <f>(Opportunities!C13*Opportunities!D13*12*Opportunities!I13*(1-Opportunities!J13)-Opportunities!K13)*(1+Assumptions!$B$10)^0*MAX(0,MIN(1,(1*12-(Opportunities!H13))/12))</f>
        <v>18872.96</v>
      </c>
      <c r="D10" s="5">
        <f>(Opportunities!C13*Opportunities!D13*12*Opportunities!I13*(1-Opportunities!J13)-Opportunities!K13)*(1+Assumptions!$B$10)^1*MAX(0,MIN(1,(2*12-(Opportunities!H13))/12))</f>
        <v>57751.257600000004</v>
      </c>
      <c r="E10" s="5">
        <f>(Opportunities!C13*Opportunities!D13*12*Opportunities!I13*(1-Opportunities!J13)-Opportunities!K13)*(1+Assumptions!$B$10)^2*MAX(0,MIN(1,(3*12-(Opportunities!H13))/12))</f>
        <v>58906.28275200001</v>
      </c>
      <c r="F10" s="5">
        <f>(Opportunities!C13*Opportunities!D13*12*Opportunities!I13*(1-Opportunities!J13)-Opportunities!K13)*(1+Assumptions!$B$10)^3*MAX(0,MIN(1,(4*12-(Opportunities!H13))/12))</f>
        <v>60084.40840704001</v>
      </c>
      <c r="G10" s="5">
        <f>(Opportunities!C13*Opportunities!D13*12*Opportunities!I13*(1-Opportunities!J13)-Opportunities!K13)*(1+Assumptions!$B$10)^4*MAX(0,MIN(1,(5*12-(Opportunities!H13))/12))</f>
        <v>61286.0965751808</v>
      </c>
      <c r="H10" s="5">
        <f>(Opportunities!C13*Opportunities!D13*12*Opportunities!I13*(1-Opportunities!J13)-Opportunities!K13)*(1+Assumptions!$B$10)^5*MAX(0,MIN(1,(6*12-(Opportunities!H13))/12))</f>
        <v>62511.81850668442</v>
      </c>
      <c r="I10" s="5">
        <f>(Opportunities!C13*Opportunities!D13*12*Opportunities!I13*(1-Opportunities!J13)-Opportunities!K13)*(1+Assumptions!$B$10)^6*MAX(0,MIN(1,(7*12-(Opportunities!H13))/12))</f>
        <v>63762.05487681811</v>
      </c>
      <c r="J10" s="5">
        <f>(Opportunities!C13*Opportunities!D13*12*Opportunities!I13*(1-Opportunities!J13)-Opportunities!K13)*(1+Assumptions!$B$10)^7*MAX(0,MIN(1,(8*12-(Opportunities!H13))/12))</f>
        <v>65037.29597435447</v>
      </c>
      <c r="K10" s="5">
        <f>(Opportunities!C13*Opportunities!D13*12*Opportunities!I13*(1-Opportunities!J13)-Opportunities!K13)*(1+Assumptions!$B$10)^8*MAX(0,MIN(1,(9*12-(Opportunities!H13))/12))</f>
        <v>66338.04189384157</v>
      </c>
      <c r="L10" s="5">
        <f>(Opportunities!C13*Opportunities!D13*12*Opportunities!I13*(1-Opportunities!J13)-Opportunities!K13)*(1+Assumptions!$B$10)^9*MAX(0,MIN(1,(10*12-(Opportunities!H13))/12))+MAX(0,(Opportunities!O13)/Assumptions!$B$11)*(1-Assumptions!$B$12)</f>
        <v>1284893.0904183036</v>
      </c>
    </row>
    <row r="11">
      <c r="A11" s="5" t="str">
        <f>Opportunities!B14</f>
        <v/>
      </c>
      <c r="B11" s="5">
        <f>-Opportunities!L14</f>
        <v>0</v>
      </c>
      <c r="C11" s="5">
        <f>(Opportunities!C14*Opportunities!D14*12*Opportunities!I14*(1-Opportunities!J14)-Opportunities!K14)*(1+Assumptions!$B$10)^0*MAX(0,MIN(1,(1*12-(Opportunities!H14))/12))</f>
        <v>0.0</v>
      </c>
      <c r="D11" s="5">
        <f>(Opportunities!C14*Opportunities!D14*12*Opportunities!I14*(1-Opportunities!J14)-Opportunities!K14)*(1+Assumptions!$B$10)^1*MAX(0,MIN(1,(2*12-(Opportunities!H14))/12))</f>
        <v>0.0</v>
      </c>
      <c r="E11" s="5">
        <f>(Opportunities!C14*Opportunities!D14*12*Opportunities!I14*(1-Opportunities!J14)-Opportunities!K14)*(1+Assumptions!$B$10)^2*MAX(0,MIN(1,(3*12-(Opportunities!H14))/12))</f>
        <v>0.0</v>
      </c>
      <c r="F11" s="5">
        <f>(Opportunities!C14*Opportunities!D14*12*Opportunities!I14*(1-Opportunities!J14)-Opportunities!K14)*(1+Assumptions!$B$10)^3*MAX(0,MIN(1,(4*12-(Opportunities!H14))/12))</f>
        <v>0.0</v>
      </c>
      <c r="G11" s="5">
        <f>(Opportunities!C14*Opportunities!D14*12*Opportunities!I14*(1-Opportunities!J14)-Opportunities!K14)*(1+Assumptions!$B$10)^4*MAX(0,MIN(1,(5*12-(Opportunities!H14))/12))</f>
        <v>0.0</v>
      </c>
      <c r="H11" s="5">
        <f>(Opportunities!C14*Opportunities!D14*12*Opportunities!I14*(1-Opportunities!J14)-Opportunities!K14)*(1+Assumptions!$B$10)^5*MAX(0,MIN(1,(6*12-(Opportunities!H14))/12))</f>
        <v>0.0</v>
      </c>
      <c r="I11" s="5">
        <f>(Opportunities!C14*Opportunities!D14*12*Opportunities!I14*(1-Opportunities!J14)-Opportunities!K14)*(1+Assumptions!$B$10)^6*MAX(0,MIN(1,(7*12-(Opportunities!H14))/12))</f>
        <v>0.0</v>
      </c>
      <c r="J11" s="5">
        <f>(Opportunities!C14*Opportunities!D14*12*Opportunities!I14*(1-Opportunities!J14)-Opportunities!K14)*(1+Assumptions!$B$10)^7*MAX(0,MIN(1,(8*12-(Opportunities!H14))/12))</f>
        <v>0.0</v>
      </c>
      <c r="K11" s="5">
        <f>(Opportunities!C14*Opportunities!D14*12*Opportunities!I14*(1-Opportunities!J14)-Opportunities!K14)*(1+Assumptions!$B$10)^8*MAX(0,MIN(1,(9*12-(Opportunities!H14))/12))</f>
        <v>0.0</v>
      </c>
      <c r="L11" s="5">
        <f>(Opportunities!C14*Opportunities!D14*12*Opportunities!I14*(1-Opportunities!J14)-Opportunities!K14)*(1+Assumptions!$B$10)^9*MAX(0,MIN(1,(10*12-(Opportunities!H14))/12))+MAX(0,(Opportunities!O14)/Assumptions!$B$11)*(1-Assumptions!$B$12)</f>
        <v>0.0</v>
      </c>
    </row>
    <row r="12">
      <c r="A12" s="5" t="str">
        <f>Opportunities!B15</f>
        <v/>
      </c>
      <c r="B12" s="5">
        <f>-Opportunities!L15</f>
        <v>0</v>
      </c>
      <c r="C12" s="5">
        <f>(Opportunities!C15*Opportunities!D15*12*Opportunities!I15*(1-Opportunities!J15)-Opportunities!K15)*(1+Assumptions!$B$10)^0*MAX(0,MIN(1,(1*12-(Opportunities!H15))/12))</f>
        <v>0.0</v>
      </c>
      <c r="D12" s="5">
        <f>(Opportunities!C15*Opportunities!D15*12*Opportunities!I15*(1-Opportunities!J15)-Opportunities!K15)*(1+Assumptions!$B$10)^1*MAX(0,MIN(1,(2*12-(Opportunities!H15))/12))</f>
        <v>0.0</v>
      </c>
      <c r="E12" s="5">
        <f>(Opportunities!C15*Opportunities!D15*12*Opportunities!I15*(1-Opportunities!J15)-Opportunities!K15)*(1+Assumptions!$B$10)^2*MAX(0,MIN(1,(3*12-(Opportunities!H15))/12))</f>
        <v>0.0</v>
      </c>
      <c r="F12" s="5">
        <f>(Opportunities!C15*Opportunities!D15*12*Opportunities!I15*(1-Opportunities!J15)-Opportunities!K15)*(1+Assumptions!$B$10)^3*MAX(0,MIN(1,(4*12-(Opportunities!H15))/12))</f>
        <v>0.0</v>
      </c>
      <c r="G12" s="5">
        <f>(Opportunities!C15*Opportunities!D15*12*Opportunities!I15*(1-Opportunities!J15)-Opportunities!K15)*(1+Assumptions!$B$10)^4*MAX(0,MIN(1,(5*12-(Opportunities!H15))/12))</f>
        <v>0.0</v>
      </c>
      <c r="H12" s="5">
        <f>(Opportunities!C15*Opportunities!D15*12*Opportunities!I15*(1-Opportunities!J15)-Opportunities!K15)*(1+Assumptions!$B$10)^5*MAX(0,MIN(1,(6*12-(Opportunities!H15))/12))</f>
        <v>0.0</v>
      </c>
      <c r="I12" s="5">
        <f>(Opportunities!C15*Opportunities!D15*12*Opportunities!I15*(1-Opportunities!J15)-Opportunities!K15)*(1+Assumptions!$B$10)^6*MAX(0,MIN(1,(7*12-(Opportunities!H15))/12))</f>
        <v>0.0</v>
      </c>
      <c r="J12" s="5">
        <f>(Opportunities!C15*Opportunities!D15*12*Opportunities!I15*(1-Opportunities!J15)-Opportunities!K15)*(1+Assumptions!$B$10)^7*MAX(0,MIN(1,(8*12-(Opportunities!H15))/12))</f>
        <v>0.0</v>
      </c>
      <c r="K12" s="5">
        <f>(Opportunities!C15*Opportunities!D15*12*Opportunities!I15*(1-Opportunities!J15)-Opportunities!K15)*(1+Assumptions!$B$10)^8*MAX(0,MIN(1,(9*12-(Opportunities!H15))/12))</f>
        <v>0.0</v>
      </c>
      <c r="L12" s="5">
        <f>(Opportunities!C15*Opportunities!D15*12*Opportunities!I15*(1-Opportunities!J15)-Opportunities!K15)*(1+Assumptions!$B$10)^9*MAX(0,MIN(1,(10*12-(Opportunities!H15))/12))+MAX(0,(Opportunities!O15)/Assumptions!$B$11)*(1-Assumptions!$B$12)</f>
        <v>0.0</v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32" customHeight="1">
      <c r="A17" s="6" t="inlineStr">
        <is>
          <t>Downside</t>
        </is>
      </c>
      <c r="B17" s="6" t="inlineStr">
        <is>
          <t>Year 0</t>
        </is>
      </c>
      <c r="C17" s="6" t="inlineStr">
        <is>
          <t>Year 1</t>
        </is>
      </c>
      <c r="D17" s="6" t="inlineStr">
        <is>
          <t>Year 2</t>
        </is>
      </c>
      <c r="E17" s="6" t="inlineStr">
        <is>
          <t>Year 3</t>
        </is>
      </c>
      <c r="F17" s="6" t="inlineStr">
        <is>
          <t>Year 4</t>
        </is>
      </c>
      <c r="G17" s="6" t="inlineStr">
        <is>
          <t>Year 5</t>
        </is>
      </c>
      <c r="H17" s="6" t="inlineStr">
        <is>
          <t>Year 6</t>
        </is>
      </c>
      <c r="I17" s="6" t="inlineStr">
        <is>
          <t>Year 7</t>
        </is>
      </c>
      <c r="J17" s="6" t="inlineStr">
        <is>
          <t>Year 8</t>
        </is>
      </c>
      <c r="K17" s="6" t="inlineStr">
        <is>
          <t>Year 9</t>
        </is>
      </c>
      <c r="L17" s="6" t="inlineStr">
        <is>
          <t>Year 10</t>
        </is>
      </c>
    </row>
    <row r="18">
      <c r="A18" s="5" t="str">
        <f>Opportunities!B8</f>
        <v>Illustrative conversion A</v>
      </c>
      <c r="B18" s="5">
        <f>-Opportunities!L8-Opportunities!F8*(1+Assumptions!$B$14)*Assumptions!$B$17</f>
        <v>-922400.0000000001</v>
      </c>
      <c r="C18" s="5">
        <f>(Opportunities!C8*Opportunities!D8*12*Opportunities!I8*(1-Opportunities!J8)*(1-Assumptions!$B$15)-Opportunities!K8)*(1+Assumptions!$B$10)^0*MAX(0,MIN(1,(1*12-(Opportunities!H8+Assumptions!$B$16))/12))</f>
        <v>0.0</v>
      </c>
      <c r="D18" s="5">
        <f>(Opportunities!C8*Opportunities!D8*12*Opportunities!I8*(1-Opportunities!J8)*(1-Assumptions!$B$15)-Opportunities!K8)*(1+Assumptions!$B$10)^1*MAX(0,MIN(1,(2*12-(Opportunities!H8+Assumptions!$B$16))/12))</f>
        <v>28491.91296</v>
      </c>
      <c r="E18" s="5">
        <f>(Opportunities!C8*Opportunities!D8*12*Opportunities!I8*(1-Opportunities!J8)*(1-Assumptions!$B$15)-Opportunities!K8)*(1+Assumptions!$B$10)^2*MAX(0,MIN(1,(3*12-(Opportunities!H8+Assumptions!$B$16))/12))</f>
        <v>58123.5024384</v>
      </c>
      <c r="F18" s="5">
        <f>(Opportunities!C8*Opportunities!D8*12*Opportunities!I8*(1-Opportunities!J8)*(1-Assumptions!$B$15)-Opportunities!K8)*(1+Assumptions!$B$10)^3*MAX(0,MIN(1,(4*12-(Opportunities!H8+Assumptions!$B$16))/12))</f>
        <v>59285.97248716801</v>
      </c>
      <c r="G18" s="5">
        <f>(Opportunities!C8*Opportunities!D8*12*Opportunities!I8*(1-Opportunities!J8)*(1-Assumptions!$B$15)-Opportunities!K8)*(1+Assumptions!$B$10)^4*MAX(0,MIN(1,(5*12-(Opportunities!H8+Assumptions!$B$16))/12))</f>
        <v>60471.69193691136</v>
      </c>
      <c r="H18" s="5">
        <f>(Opportunities!C8*Opportunities!D8*12*Opportunities!I8*(1-Opportunities!J8)*(1-Assumptions!$B$15)-Opportunities!K8)*(1+Assumptions!$B$10)^5*MAX(0,MIN(1,(6*12-(Opportunities!H8+Assumptions!$B$16))/12))</f>
        <v>61681.12577564959</v>
      </c>
      <c r="I18" s="5">
        <f>(Opportunities!C8*Opportunities!D8*12*Opportunities!I8*(1-Opportunities!J8)*(1-Assumptions!$B$15)-Opportunities!K8)*(1+Assumptions!$B$10)^6*MAX(0,MIN(1,(7*12-(Opportunities!H8+Assumptions!$B$16))/12))</f>
        <v>62914.748291162585</v>
      </c>
      <c r="J18" s="5">
        <f>(Opportunities!C8*Opportunities!D8*12*Opportunities!I8*(1-Opportunities!J8)*(1-Assumptions!$B$15)-Opportunities!K8)*(1+Assumptions!$B$10)^7*MAX(0,MIN(1,(8*12-(Opportunities!H8+Assumptions!$B$16))/12))</f>
        <v>64173.04325698583</v>
      </c>
      <c r="K18" s="5">
        <f>(Opportunities!C8*Opportunities!D8*12*Opportunities!I8*(1-Opportunities!J8)*(1-Assumptions!$B$15)-Opportunities!K8)*(1+Assumptions!$B$10)^8*MAX(0,MIN(1,(9*12-(Opportunities!H8+Assumptions!$B$16))/12))</f>
        <v>65456.50412212555</v>
      </c>
      <c r="L18" s="5">
        <f>(Opportunities!C8*Opportunities!D8*12*Opportunities!I8*(1-Opportunities!J8)*(1-Assumptions!$B$15)-Opportunities!K8)*(1+Assumptions!$B$10)^9*MAX(0,MIN(1,(10*12-(Opportunities!H8+Assumptions!$B$16))/12))+MAX(0,((Opportunities!C8*Opportunities!D8*12*Opportunities!I8*(1-Opportunities!J8)*(1-Assumptions!$B$15)-Opportunities!K8)*(1+Assumptions!$B$10)^10)/Assumptions!$B$11)*(1-Assumptions!$B$12)</f>
        <v>1267818.6975136523</v>
      </c>
    </row>
    <row r="19">
      <c r="A19" s="5" t="str">
        <f>Opportunities!B9</f>
        <v>Illustrative renovation B</v>
      </c>
      <c r="B19" s="5">
        <f>-Opportunities!L9-Opportunities!F9*(1+Assumptions!$B$14)*Assumptions!$B$17</f>
        <v>-617200.0</v>
      </c>
      <c r="C19" s="5">
        <f>(Opportunities!C9*Opportunities!D9*12*Opportunities!I9*(1-Opportunities!J9)*(1-Assumptions!$B$15)-Opportunities!K9)*(1+Assumptions!$B$10)^0*MAX(0,MIN(1,(1*12-(Opportunities!H9+Assumptions!$B$16))/12))</f>
        <v>0.0</v>
      </c>
      <c r="D19" s="5">
        <f>(Opportunities!C9*Opportunities!D9*12*Opportunities!I9*(1-Opportunities!J9)*(1-Assumptions!$B$15)-Opportunities!K9)*(1+Assumptions!$B$10)^1*MAX(0,MIN(1,(2*12-(Opportunities!H9+Assumptions!$B$16))/12))</f>
        <v>37953.18</v>
      </c>
      <c r="E19" s="5">
        <f>(Opportunities!C9*Opportunities!D9*12*Opportunities!I9*(1-Opportunities!J9)*(1-Assumptions!$B$15)-Opportunities!K9)*(1+Assumptions!$B$10)^2*MAX(0,MIN(1,(3*12-(Opportunities!H9+Assumptions!$B$16))/12))</f>
        <v>38712.2436</v>
      </c>
      <c r="F19" s="5">
        <f>(Opportunities!C9*Opportunities!D9*12*Opportunities!I9*(1-Opportunities!J9)*(1-Assumptions!$B$15)-Opportunities!K9)*(1+Assumptions!$B$10)^3*MAX(0,MIN(1,(4*12-(Opportunities!H9+Assumptions!$B$16))/12))</f>
        <v>39486.488472000005</v>
      </c>
      <c r="G19" s="5">
        <f>(Opportunities!C9*Opportunities!D9*12*Opportunities!I9*(1-Opportunities!J9)*(1-Assumptions!$B$15)-Opportunities!K9)*(1+Assumptions!$B$10)^4*MAX(0,MIN(1,(5*12-(Opportunities!H9+Assumptions!$B$16))/12))</f>
        <v>40276.21824144</v>
      </c>
      <c r="H19" s="5">
        <f>(Opportunities!C9*Opportunities!D9*12*Opportunities!I9*(1-Opportunities!J9)*(1-Assumptions!$B$15)-Opportunities!K9)*(1+Assumptions!$B$10)^5*MAX(0,MIN(1,(6*12-(Opportunities!H9+Assumptions!$B$16))/12))</f>
        <v>41081.7426062688</v>
      </c>
      <c r="I19" s="5">
        <f>(Opportunities!C9*Opportunities!D9*12*Opportunities!I9*(1-Opportunities!J9)*(1-Assumptions!$B$15)-Opportunities!K9)*(1+Assumptions!$B$10)^6*MAX(0,MIN(1,(7*12-(Opportunities!H9+Assumptions!$B$16))/12))</f>
        <v>41903.37745839418</v>
      </c>
      <c r="J19" s="5">
        <f>(Opportunities!C9*Opportunities!D9*12*Opportunities!I9*(1-Opportunities!J9)*(1-Assumptions!$B$15)-Opportunities!K9)*(1+Assumptions!$B$10)^7*MAX(0,MIN(1,(8*12-(Opportunities!H9+Assumptions!$B$16))/12))</f>
        <v>42741.44500756206</v>
      </c>
      <c r="K19" s="5">
        <f>(Opportunities!C9*Opportunities!D9*12*Opportunities!I9*(1-Opportunities!J9)*(1-Assumptions!$B$15)-Opportunities!K9)*(1+Assumptions!$B$10)^8*MAX(0,MIN(1,(9*12-(Opportunities!H9+Assumptions!$B$16))/12))</f>
        <v>43596.27390771331</v>
      </c>
      <c r="L19" s="5">
        <f>(Opportunities!C9*Opportunities!D9*12*Opportunities!I9*(1-Opportunities!J9)*(1-Assumptions!$B$15)-Opportunities!K9)*(1+Assumptions!$B$10)^9*MAX(0,MIN(1,(10*12-(Opportunities!H9+Assumptions!$B$16))/12))+MAX(0,((Opportunities!C9*Opportunities!D9*12*Opportunities!I9*(1-Opportunities!J9)*(1-Assumptions!$B$15)-Opportunities!K9)*(1+Assumptions!$B$10)^10)/Assumptions!$B$11)*(1-Assumptions!$B$12)</f>
        <v>844410.68070182</v>
      </c>
    </row>
    <row r="20">
      <c r="A20" s="5" t="str">
        <f>Opportunities!B10</f>
        <v>Illustrative new build C</v>
      </c>
      <c r="B20" s="5">
        <f>-Opportunities!L10-Opportunities!F10*(1+Assumptions!$B$14)*Assumptions!$B$17</f>
        <v>-1723600.0</v>
      </c>
      <c r="C20" s="5">
        <f>(Opportunities!C10*Opportunities!D10*12*Opportunities!I10*(1-Opportunities!J10)*(1-Assumptions!$B$15)-Opportunities!K10)*(1+Assumptions!$B$10)^0*MAX(0,MIN(1,(1*12-(Opportunities!H10+Assumptions!$B$16))/12))</f>
        <v>0.0</v>
      </c>
      <c r="D20" s="5">
        <f>(Opportunities!C10*Opportunities!D10*12*Opportunities!I10*(1-Opportunities!J10)*(1-Assumptions!$B$15)-Opportunities!K10)*(1+Assumptions!$B$10)^1*MAX(0,MIN(1,(2*12-(Opportunities!H10+Assumptions!$B$16))/12))</f>
        <v>0.0</v>
      </c>
      <c r="E20" s="5">
        <f>(Opportunities!C10*Opportunities!D10*12*Opportunities!I10*(1-Opportunities!J10)*(1-Assumptions!$B$15)-Opportunities!K10)*(1+Assumptions!$B$10)^2*MAX(0,MIN(1,(3*12-(Opportunities!H10+Assumptions!$B$16))/12))</f>
        <v>0.0</v>
      </c>
      <c r="F20" s="5">
        <f>(Opportunities!C10*Opportunities!D10*12*Opportunities!I10*(1-Opportunities!J10)*(1-Assumptions!$B$15)-Opportunities!K10)*(1+Assumptions!$B$10)^3*MAX(0,MIN(1,(4*12-(Opportunities!H10+Assumptions!$B$16))/12))</f>
        <v>110444.25987210241</v>
      </c>
      <c r="G20" s="5">
        <f>(Opportunities!C10*Opportunities!D10*12*Opportunities!I10*(1-Opportunities!J10)*(1-Assumptions!$B$15)-Opportunities!K10)*(1+Assumptions!$B$10)^4*MAX(0,MIN(1,(5*12-(Opportunities!H10+Assumptions!$B$16))/12))</f>
        <v>112653.14506954445</v>
      </c>
      <c r="H20" s="5">
        <f>(Opportunities!C10*Opportunities!D10*12*Opportunities!I10*(1-Opportunities!J10)*(1-Assumptions!$B$15)-Opportunities!K10)*(1+Assumptions!$B$10)^5*MAX(0,MIN(1,(6*12-(Opportunities!H10+Assumptions!$B$16))/12))</f>
        <v>114906.20797093534</v>
      </c>
      <c r="I20" s="5">
        <f>(Opportunities!C10*Opportunities!D10*12*Opportunities!I10*(1-Opportunities!J10)*(1-Assumptions!$B$15)-Opportunities!K10)*(1+Assumptions!$B$10)^6*MAX(0,MIN(1,(7*12-(Opportunities!H10+Assumptions!$B$16))/12))</f>
        <v>117204.33213035404</v>
      </c>
      <c r="J20" s="5">
        <f>(Opportunities!C10*Opportunities!D10*12*Opportunities!I10*(1-Opportunities!J10)*(1-Assumptions!$B$15)-Opportunities!K10)*(1+Assumptions!$B$10)^7*MAX(0,MIN(1,(8*12-(Opportunities!H10+Assumptions!$B$16))/12))</f>
        <v>119548.41877296113</v>
      </c>
      <c r="K20" s="5">
        <f>(Opportunities!C10*Opportunities!D10*12*Opportunities!I10*(1-Opportunities!J10)*(1-Assumptions!$B$15)-Opportunities!K10)*(1+Assumptions!$B$10)^8*MAX(0,MIN(1,(9*12-(Opportunities!H10+Assumptions!$B$16))/12))</f>
        <v>121939.38714842036</v>
      </c>
      <c r="L20" s="5">
        <f>(Opportunities!C10*Opportunities!D10*12*Opportunities!I10*(1-Opportunities!J10)*(1-Assumptions!$B$15)-Opportunities!K10)*(1+Assumptions!$B$10)^9*MAX(0,MIN(1,(10*12-(Opportunities!H10+Assumptions!$B$16))/12))+MAX(0,((Opportunities!C10*Opportunities!D10*12*Opportunities!I10*(1-Opportunities!J10)*(1-Assumptions!$B$15)-Opportunities!K10)*(1+Assumptions!$B$10)^10)/Assumptions!$B$11)*(1-Assumptions!$B$12)</f>
        <v>2361828.47011939</v>
      </c>
    </row>
    <row r="21">
      <c r="A21" s="5" t="str">
        <f>Opportunities!B11</f>
        <v>Illustrative small asset D</v>
      </c>
      <c r="B21" s="5">
        <f>-Opportunities!L11-Opportunities!F11*(1+Assumptions!$B$14)*Assumptions!$B$17</f>
        <v>-349500.0</v>
      </c>
      <c r="C21" s="5">
        <f>(Opportunities!C11*Opportunities!D11*12*Opportunities!I11*(1-Opportunities!J11)*(1-Assumptions!$B$15)-Opportunities!K11)*(1+Assumptions!$B$10)^0*MAX(0,MIN(1,(1*12-(Opportunities!H11+Assumptions!$B$16))/12))</f>
        <v>3265.696533333333</v>
      </c>
      <c r="D21" s="5">
        <f>(Opportunities!C11*Opportunities!D11*12*Opportunities!I11*(1-Opportunities!J11)*(1-Assumptions!$B$15)-Opportunities!K11)*(1+Assumptions!$B$10)^1*MAX(0,MIN(1,(2*12-(Opportunities!H11+Assumptions!$B$16))/12))</f>
        <v>19986.062783999998</v>
      </c>
      <c r="E21" s="5">
        <f>(Opportunities!C11*Opportunities!D11*12*Opportunities!I11*(1-Opportunities!J11)*(1-Assumptions!$B$15)-Opportunities!K11)*(1+Assumptions!$B$10)^2*MAX(0,MIN(1,(3*12-(Opportunities!H11+Assumptions!$B$16))/12))</f>
        <v>20385.78403968</v>
      </c>
      <c r="F21" s="5">
        <f>(Opportunities!C11*Opportunities!D11*12*Opportunities!I11*(1-Opportunities!J11)*(1-Assumptions!$B$15)-Opportunities!K11)*(1+Assumptions!$B$10)^3*MAX(0,MIN(1,(4*12-(Opportunities!H11+Assumptions!$B$16))/12))</f>
        <v>20793.499720473603</v>
      </c>
      <c r="G21" s="5">
        <f>(Opportunities!C11*Opportunities!D11*12*Opportunities!I11*(1-Opportunities!J11)*(1-Assumptions!$B$15)-Opportunities!K11)*(1+Assumptions!$B$10)^4*MAX(0,MIN(1,(5*12-(Opportunities!H11+Assumptions!$B$16))/12))</f>
        <v>21209.36971488307</v>
      </c>
      <c r="H21" s="5">
        <f>(Opportunities!C11*Opportunities!D11*12*Opportunities!I11*(1-Opportunities!J11)*(1-Assumptions!$B$15)-Opportunities!K11)*(1+Assumptions!$B$10)^5*MAX(0,MIN(1,(6*12-(Opportunities!H11+Assumptions!$B$16))/12))</f>
        <v>21633.557109180732</v>
      </c>
      <c r="I21" s="5">
        <f>(Opportunities!C11*Opportunities!D11*12*Opportunities!I11*(1-Opportunities!J11)*(1-Assumptions!$B$15)-Opportunities!K11)*(1+Assumptions!$B$10)^6*MAX(0,MIN(1,(7*12-(Opportunities!H11+Assumptions!$B$16))/12))</f>
        <v>22066.228251364348</v>
      </c>
      <c r="J21" s="5">
        <f>(Opportunities!C11*Opportunities!D11*12*Opportunities!I11*(1-Opportunities!J11)*(1-Assumptions!$B$15)-Opportunities!K11)*(1+Assumptions!$B$10)^7*MAX(0,MIN(1,(8*12-(Opportunities!H11+Assumptions!$B$16))/12))</f>
        <v>22507.552816391635</v>
      </c>
      <c r="K21" s="5">
        <f>(Opportunities!C11*Opportunities!D11*12*Opportunities!I11*(1-Opportunities!J11)*(1-Assumptions!$B$15)-Opportunities!K11)*(1+Assumptions!$B$10)^8*MAX(0,MIN(1,(9*12-(Opportunities!H11+Assumptions!$B$16))/12))</f>
        <v>22957.70387271947</v>
      </c>
      <c r="L21" s="5">
        <f>(Opportunities!C11*Opportunities!D11*12*Opportunities!I11*(1-Opportunities!J11)*(1-Assumptions!$B$15)-Opportunities!K11)*(1+Assumptions!$B$10)^9*MAX(0,MIN(1,(10*12-(Opportunities!H11+Assumptions!$B$16))/12))+MAX(0,((Opportunities!C11*Opportunities!D11*12*Opportunities!I11*(1-Opportunities!J11)*(1-Assumptions!$B$15)-Opportunities!K11)*(1+Assumptions!$B$10)^10)/Assumptions!$B$11)*(1-Assumptions!$B$12)</f>
        <v>444664.8444211196</v>
      </c>
    </row>
    <row r="22">
      <c r="A22" s="5" t="str">
        <f>Opportunities!B12</f>
        <v>Illustrative delayed asset E</v>
      </c>
      <c r="B22" s="5">
        <f>-Opportunities!L12-Opportunities!F12*(1+Assumptions!$B$14)*Assumptions!$B$17</f>
        <v>-1225800.0</v>
      </c>
      <c r="C22" s="5">
        <f>(Opportunities!C12*Opportunities!D12*12*Opportunities!I12*(1-Opportunities!J12)*(1-Assumptions!$B$15)-Opportunities!K12)*(1+Assumptions!$B$10)^0*MAX(0,MIN(1,(1*12-(Opportunities!H12+Assumptions!$B$16))/12))</f>
        <v>0.0</v>
      </c>
      <c r="D22" s="5">
        <f>(Opportunities!C12*Opportunities!D12*12*Opportunities!I12*(1-Opportunities!J12)*(1-Assumptions!$B$15)-Opportunities!K12)*(1+Assumptions!$B$10)^1*MAX(0,MIN(1,(2*12-(Opportunities!H12+Assumptions!$B$16))/12))</f>
        <v>0.0</v>
      </c>
      <c r="E22" s="5">
        <f>(Opportunities!C12*Opportunities!D12*12*Opportunities!I12*(1-Opportunities!J12)*(1-Assumptions!$B$15)-Opportunities!K12)*(1+Assumptions!$B$10)^2*MAX(0,MIN(1,(3*12-(Opportunities!H12+Assumptions!$B$16))/12))</f>
        <v>0.0</v>
      </c>
      <c r="F22" s="5">
        <f>(Opportunities!C12*Opportunities!D12*12*Opportunities!I12*(1-Opportunities!J12)*(1-Assumptions!$B$15)-Opportunities!K12)*(1+Assumptions!$B$10)^3*MAX(0,MIN(1,(4*12-(Opportunities!H12+Assumptions!$B$16))/12))</f>
        <v>0.0</v>
      </c>
      <c r="G22" s="5">
        <f>(Opportunities!C12*Opportunities!D12*12*Opportunities!I12*(1-Opportunities!J12)*(1-Assumptions!$B$15)-Opportunities!K12)*(1+Assumptions!$B$10)^4*MAX(0,MIN(1,(5*12-(Opportunities!H12+Assumptions!$B$16))/12))</f>
        <v>70460.96475248641</v>
      </c>
      <c r="H22" s="5">
        <f>(Opportunities!C12*Opportunities!D12*12*Opportunities!I12*(1-Opportunities!J12)*(1-Assumptions!$B$15)-Opportunities!K12)*(1+Assumptions!$B$10)^5*MAX(0,MIN(1,(6*12-(Opportunities!H12+Assumptions!$B$16))/12))</f>
        <v>71870.18404753614</v>
      </c>
      <c r="I22" s="5">
        <f>(Opportunities!C12*Opportunities!D12*12*Opportunities!I12*(1-Opportunities!J12)*(1-Assumptions!$B$15)-Opportunities!K12)*(1+Assumptions!$B$10)^6*MAX(0,MIN(1,(7*12-(Opportunities!H12+Assumptions!$B$16))/12))</f>
        <v>73307.58772848686</v>
      </c>
      <c r="J22" s="5">
        <f>(Opportunities!C12*Opportunities!D12*12*Opportunities!I12*(1-Opportunities!J12)*(1-Assumptions!$B$15)-Opportunities!K12)*(1+Assumptions!$B$10)^7*MAX(0,MIN(1,(8*12-(Opportunities!H12+Assumptions!$B$16))/12))</f>
        <v>74773.7394830566</v>
      </c>
      <c r="K22" s="5">
        <f>(Opportunities!C12*Opportunities!D12*12*Opportunities!I12*(1-Opportunities!J12)*(1-Assumptions!$B$15)-Opportunities!K12)*(1+Assumptions!$B$10)^8*MAX(0,MIN(1,(9*12-(Opportunities!H12+Assumptions!$B$16))/12))</f>
        <v>76269.21427271774</v>
      </c>
      <c r="L22" s="5">
        <f>(Opportunities!C12*Opportunities!D12*12*Opportunities!I12*(1-Opportunities!J12)*(1-Assumptions!$B$15)-Opportunities!K12)*(1+Assumptions!$B$10)^9*MAX(0,MIN(1,(10*12-(Opportunities!H12+Assumptions!$B$16))/12))+MAX(0,((Opportunities!C12*Opportunities!D12*12*Opportunities!I12*(1-Opportunities!J12)*(1-Assumptions!$B$15)-Opportunities!K12)*(1+Assumptions!$B$10)^10)/Assumptions!$B$11)*(1-Assumptions!$B$12)</f>
        <v>1477248.7042573625</v>
      </c>
    </row>
    <row r="23">
      <c r="A23" s="5" t="str">
        <f>Opportunities!B13</f>
        <v>Illustrative compliance failure F</v>
      </c>
      <c r="B23" s="5">
        <f>-Opportunities!L13-Opportunities!F13*(1+Assumptions!$B$14)*Assumptions!$B$17</f>
        <v>-839500.0000000001</v>
      </c>
      <c r="C23" s="5">
        <f>(Opportunities!C13*Opportunities!D13*12*Opportunities!I13*(1-Opportunities!J13)*(1-Assumptions!$B$15)-Opportunities!K13)*(1+Assumptions!$B$10)^0*MAX(0,MIN(1,(1*12-(Opportunities!H13+Assumptions!$B$16))/12))</f>
        <v>0.0</v>
      </c>
      <c r="D23" s="5">
        <f>(Opportunities!C13*Opportunities!D13*12*Opportunities!I13*(1-Opportunities!J13)*(1-Assumptions!$B$15)-Opportunities!K13)*(1+Assumptions!$B$10)^1*MAX(0,MIN(1,(2*12-(Opportunities!H13+Assumptions!$B$16))/12))</f>
        <v>42293.44320000001</v>
      </c>
      <c r="E23" s="5">
        <f>(Opportunities!C13*Opportunities!D13*12*Opportunities!I13*(1-Opportunities!J13)*(1-Assumptions!$B$15)-Opportunities!K13)*(1+Assumptions!$B$10)^2*MAX(0,MIN(1,(3*12-(Opportunities!H13+Assumptions!$B$16))/12))</f>
        <v>51767.174476800006</v>
      </c>
      <c r="F23" s="5">
        <f>(Opportunities!C13*Opportunities!D13*12*Opportunities!I13*(1-Opportunities!J13)*(1-Assumptions!$B$15)-Opportunities!K13)*(1+Assumptions!$B$10)^3*MAX(0,MIN(1,(4*12-(Opportunities!H13+Assumptions!$B$16))/12))</f>
        <v>52802.51796633601</v>
      </c>
      <c r="G23" s="5">
        <f>(Opportunities!C13*Opportunities!D13*12*Opportunities!I13*(1-Opportunities!J13)*(1-Assumptions!$B$15)-Opportunities!K13)*(1+Assumptions!$B$10)^4*MAX(0,MIN(1,(5*12-(Opportunities!H13+Assumptions!$B$16))/12))</f>
        <v>53858.56832566272</v>
      </c>
      <c r="H23" s="5">
        <f>(Opportunities!C13*Opportunities!D13*12*Opportunities!I13*(1-Opportunities!J13)*(1-Assumptions!$B$15)-Opportunities!K13)*(1+Assumptions!$B$10)^5*MAX(0,MIN(1,(6*12-(Opportunities!H13+Assumptions!$B$16))/12))</f>
        <v>54935.73969217598</v>
      </c>
      <c r="I23" s="5">
        <f>(Opportunities!C13*Opportunities!D13*12*Opportunities!I13*(1-Opportunities!J13)*(1-Assumptions!$B$15)-Opportunities!K13)*(1+Assumptions!$B$10)^6*MAX(0,MIN(1,(7*12-(Opportunities!H13+Assumptions!$B$16))/12))</f>
        <v>56034.4544860195</v>
      </c>
      <c r="J23" s="5">
        <f>(Opportunities!C13*Opportunities!D13*12*Opportunities!I13*(1-Opportunities!J13)*(1-Assumptions!$B$15)-Opportunities!K13)*(1+Assumptions!$B$10)^7*MAX(0,MIN(1,(8*12-(Opportunities!H13+Assumptions!$B$16))/12))</f>
        <v>57155.143575739894</v>
      </c>
      <c r="K23" s="5">
        <f>(Opportunities!C13*Opportunities!D13*12*Opportunities!I13*(1-Opportunities!J13)*(1-Assumptions!$B$15)-Opportunities!K13)*(1+Assumptions!$B$10)^8*MAX(0,MIN(1,(9*12-(Opportunities!H13+Assumptions!$B$16))/12))</f>
        <v>58298.24644725469</v>
      </c>
      <c r="L23" s="5">
        <f>(Opportunities!C13*Opportunities!D13*12*Opportunities!I13*(1-Opportunities!J13)*(1-Assumptions!$B$15)-Opportunities!K13)*(1+Assumptions!$B$10)^9*MAX(0,MIN(1,(10*12-(Opportunities!H13+Assumptions!$B$16))/12))+MAX(0,((Opportunities!C13*Opportunities!D13*12*Opportunities!I13*(1-Opportunities!J13)*(1-Assumptions!$B$15)-Opportunities!K13)*(1+Assumptions!$B$10)^10)/Assumptions!$B$11)*(1-Assumptions!$B$12)</f>
        <v>1129171.3156600557</v>
      </c>
    </row>
    <row r="24">
      <c r="A24" s="5" t="str">
        <f>Opportunities!B14</f>
        <v/>
      </c>
      <c r="B24" s="5">
        <f>-Opportunities!L14-Opportunities!F14*(1+Assumptions!$B$14)*Assumptions!$B$17</f>
        <v>0.0</v>
      </c>
      <c r="C24" s="5">
        <f>(Opportunities!C14*Opportunities!D14*12*Opportunities!I14*(1-Opportunities!J14)*(1-Assumptions!$B$15)-Opportunities!K14)*(1+Assumptions!$B$10)^0*MAX(0,MIN(1,(1*12-(Opportunities!H14+Assumptions!$B$16))/12))</f>
        <v>0.0</v>
      </c>
      <c r="D24" s="5">
        <f>(Opportunities!C14*Opportunities!D14*12*Opportunities!I14*(1-Opportunities!J14)*(1-Assumptions!$B$15)-Opportunities!K14)*(1+Assumptions!$B$10)^1*MAX(0,MIN(1,(2*12-(Opportunities!H14+Assumptions!$B$16))/12))</f>
        <v>0.0</v>
      </c>
      <c r="E24" s="5">
        <f>(Opportunities!C14*Opportunities!D14*12*Opportunities!I14*(1-Opportunities!J14)*(1-Assumptions!$B$15)-Opportunities!K14)*(1+Assumptions!$B$10)^2*MAX(0,MIN(1,(3*12-(Opportunities!H14+Assumptions!$B$16))/12))</f>
        <v>0.0</v>
      </c>
      <c r="F24" s="5">
        <f>(Opportunities!C14*Opportunities!D14*12*Opportunities!I14*(1-Opportunities!J14)*(1-Assumptions!$B$15)-Opportunities!K14)*(1+Assumptions!$B$10)^3*MAX(0,MIN(1,(4*12-(Opportunities!H14+Assumptions!$B$16))/12))</f>
        <v>0.0</v>
      </c>
      <c r="G24" s="5">
        <f>(Opportunities!C14*Opportunities!D14*12*Opportunities!I14*(1-Opportunities!J14)*(1-Assumptions!$B$15)-Opportunities!K14)*(1+Assumptions!$B$10)^4*MAX(0,MIN(1,(5*12-(Opportunities!H14+Assumptions!$B$16))/12))</f>
        <v>0.0</v>
      </c>
      <c r="H24" s="5">
        <f>(Opportunities!C14*Opportunities!D14*12*Opportunities!I14*(1-Opportunities!J14)*(1-Assumptions!$B$15)-Opportunities!K14)*(1+Assumptions!$B$10)^5*MAX(0,MIN(1,(6*12-(Opportunities!H14+Assumptions!$B$16))/12))</f>
        <v>0.0</v>
      </c>
      <c r="I24" s="5">
        <f>(Opportunities!C14*Opportunities!D14*12*Opportunities!I14*(1-Opportunities!J14)*(1-Assumptions!$B$15)-Opportunities!K14)*(1+Assumptions!$B$10)^6*MAX(0,MIN(1,(7*12-(Opportunities!H14+Assumptions!$B$16))/12))</f>
        <v>0.0</v>
      </c>
      <c r="J24" s="5">
        <f>(Opportunities!C14*Opportunities!D14*12*Opportunities!I14*(1-Opportunities!J14)*(1-Assumptions!$B$15)-Opportunities!K14)*(1+Assumptions!$B$10)^7*MAX(0,MIN(1,(8*12-(Opportunities!H14+Assumptions!$B$16))/12))</f>
        <v>0.0</v>
      </c>
      <c r="K24" s="5">
        <f>(Opportunities!C14*Opportunities!D14*12*Opportunities!I14*(1-Opportunities!J14)*(1-Assumptions!$B$15)-Opportunities!K14)*(1+Assumptions!$B$10)^8*MAX(0,MIN(1,(9*12-(Opportunities!H14+Assumptions!$B$16))/12))</f>
        <v>0.0</v>
      </c>
      <c r="L24" s="5">
        <f>(Opportunities!C14*Opportunities!D14*12*Opportunities!I14*(1-Opportunities!J14)*(1-Assumptions!$B$15)-Opportunities!K14)*(1+Assumptions!$B$10)^9*MAX(0,MIN(1,(10*12-(Opportunities!H14+Assumptions!$B$16))/12))+MAX(0,((Opportunities!C14*Opportunities!D14*12*Opportunities!I14*(1-Opportunities!J14)*(1-Assumptions!$B$15)-Opportunities!K14)*(1+Assumptions!$B$10)^10)/Assumptions!$B$11)*(1-Assumptions!$B$12)</f>
        <v>0.0</v>
      </c>
    </row>
    <row r="25">
      <c r="A25" s="5" t="str">
        <f>Opportunities!B15</f>
        <v/>
      </c>
      <c r="B25" s="5">
        <f>-Opportunities!L15-Opportunities!F15*(1+Assumptions!$B$14)*Assumptions!$B$17</f>
        <v>0.0</v>
      </c>
      <c r="C25" s="5">
        <f>(Opportunities!C15*Opportunities!D15*12*Opportunities!I15*(1-Opportunities!J15)*(1-Assumptions!$B$15)-Opportunities!K15)*(1+Assumptions!$B$10)^0*MAX(0,MIN(1,(1*12-(Opportunities!H15+Assumptions!$B$16))/12))</f>
        <v>0.0</v>
      </c>
      <c r="D25" s="5">
        <f>(Opportunities!C15*Opportunities!D15*12*Opportunities!I15*(1-Opportunities!J15)*(1-Assumptions!$B$15)-Opportunities!K15)*(1+Assumptions!$B$10)^1*MAX(0,MIN(1,(2*12-(Opportunities!H15+Assumptions!$B$16))/12))</f>
        <v>0.0</v>
      </c>
      <c r="E25" s="5">
        <f>(Opportunities!C15*Opportunities!D15*12*Opportunities!I15*(1-Opportunities!J15)*(1-Assumptions!$B$15)-Opportunities!K15)*(1+Assumptions!$B$10)^2*MAX(0,MIN(1,(3*12-(Opportunities!H15+Assumptions!$B$16))/12))</f>
        <v>0.0</v>
      </c>
      <c r="F25" s="5">
        <f>(Opportunities!C15*Opportunities!D15*12*Opportunities!I15*(1-Opportunities!J15)*(1-Assumptions!$B$15)-Opportunities!K15)*(1+Assumptions!$B$10)^3*MAX(0,MIN(1,(4*12-(Opportunities!H15+Assumptions!$B$16))/12))</f>
        <v>0.0</v>
      </c>
      <c r="G25" s="5">
        <f>(Opportunities!C15*Opportunities!D15*12*Opportunities!I15*(1-Opportunities!J15)*(1-Assumptions!$B$15)-Opportunities!K15)*(1+Assumptions!$B$10)^4*MAX(0,MIN(1,(5*12-(Opportunities!H15+Assumptions!$B$16))/12))</f>
        <v>0.0</v>
      </c>
      <c r="H25" s="5">
        <f>(Opportunities!C15*Opportunities!D15*12*Opportunities!I15*(1-Opportunities!J15)*(1-Assumptions!$B$15)-Opportunities!K15)*(1+Assumptions!$B$10)^5*MAX(0,MIN(1,(6*12-(Opportunities!H15+Assumptions!$B$16))/12))</f>
        <v>0.0</v>
      </c>
      <c r="I25" s="5">
        <f>(Opportunities!C15*Opportunities!D15*12*Opportunities!I15*(1-Opportunities!J15)*(1-Assumptions!$B$15)-Opportunities!K15)*(1+Assumptions!$B$10)^6*MAX(0,MIN(1,(7*12-(Opportunities!H15+Assumptions!$B$16))/12))</f>
        <v>0.0</v>
      </c>
      <c r="J25" s="5">
        <f>(Opportunities!C15*Opportunities!D15*12*Opportunities!I15*(1-Opportunities!J15)*(1-Assumptions!$B$15)-Opportunities!K15)*(1+Assumptions!$B$10)^7*MAX(0,MIN(1,(8*12-(Opportunities!H15+Assumptions!$B$16))/12))</f>
        <v>0.0</v>
      </c>
      <c r="K25" s="5">
        <f>(Opportunities!C15*Opportunities!D15*12*Opportunities!I15*(1-Opportunities!J15)*(1-Assumptions!$B$15)-Opportunities!K15)*(1+Assumptions!$B$10)^8*MAX(0,MIN(1,(9*12-(Opportunities!H15+Assumptions!$B$16))/12))</f>
        <v>0.0</v>
      </c>
      <c r="L25" s="5">
        <f>(Opportunities!C15*Opportunities!D15*12*Opportunities!I15*(1-Opportunities!J15)*(1-Assumptions!$B$15)-Opportunities!K15)*(1+Assumptions!$B$10)^9*MAX(0,MIN(1,(10*12-(Opportunities!H15+Assumptions!$B$16))/12))+MAX(0,((Opportunities!C15*Opportunities!D15*12*Opportunities!I15*(1-Opportunities!J15)*(1-Assumptions!$B$15)-Opportunities!K15)*(1+Assumptions!$B$10)^10)/Assumptions!$B$11)*(1-Assumptions!$B$12)</f>
        <v>0.0</v>
      </c>
    </row>
  </sheetData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1" t="inlineStr">
        <is>
          <t>Portfolio optimization | exact enumeration</t>
        </is>
      </c>
    </row>
    <row r="2">
      <c r="A2" s="2" t="inlineStr">
        <is>
          <t>256 subsets of eight projects. Maximize aggregate NPV subject to capital, project count and compliance.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32" customHeight="1">
      <c r="A4" s="6" t="inlineStr">
        <is>
          <t>Subset</t>
        </is>
      </c>
      <c r="B4" s="6" t="inlineStr">
        <is>
          <t>Select 1</t>
        </is>
      </c>
      <c r="C4" s="6" t="inlineStr">
        <is>
          <t>Select 2</t>
        </is>
      </c>
      <c r="D4" s="6" t="inlineStr">
        <is>
          <t>Select 3</t>
        </is>
      </c>
      <c r="E4" s="6" t="inlineStr">
        <is>
          <t>Select 4</t>
        </is>
      </c>
      <c r="F4" s="6" t="inlineStr">
        <is>
          <t>Select 5</t>
        </is>
      </c>
      <c r="G4" s="6" t="inlineStr">
        <is>
          <t>Select 6</t>
        </is>
      </c>
      <c r="H4" s="6" t="inlineStr">
        <is>
          <t>Select 7</t>
        </is>
      </c>
      <c r="I4" s="6" t="inlineStr">
        <is>
          <t>Select 8</t>
        </is>
      </c>
      <c r="J4" s="6" t="inlineStr">
        <is>
          <t>Capital</t>
        </is>
      </c>
      <c r="K4" s="6" t="inlineStr">
        <is>
          <t>Projects</t>
        </is>
      </c>
      <c r="L4" s="6" t="inlineStr">
        <is>
          <t>NPV</t>
        </is>
      </c>
      <c r="M4" s="6" t="inlineStr">
        <is>
          <t>Feasible</t>
        </is>
      </c>
      <c r="N4" s="6" t="inlineStr">
        <is>
          <t>Objective</t>
        </is>
      </c>
    </row>
    <row r="5">
      <c r="A5" s="12" t="n">
        <v>0</v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5">
        <f>B5*Opportunities!L8+C5*Opportunities!L9+D5*Opportunities!L10+E5*Opportunities!L11+F5*Opportunities!L12+G5*Opportunities!L13+H5*Opportunities!L14+I5*Opportunities!L15</f>
        <v>0</v>
      </c>
      <c r="K5" s="5">
        <f>SUM(B5:I5)</f>
        <v>0</v>
      </c>
      <c r="L5" s="5">
        <f>B5*Opportunities!P8+C5*Opportunities!P9+D5*Opportunities!P10+E5*Opportunities!P11+F5*Opportunities!P12+G5*Opportunities!P13+H5*Opportunities!P14+I5*Opportunities!P15</f>
        <v>0</v>
      </c>
      <c r="M5" s="5">
        <f>IF(AND(J5&lt;=Assumptions!$B$6,K5&lt;=Assumptions!$B$7,B5*IF(Opportunities!S8="ELIGIBLE",0,1)+C5*IF(Opportunities!S9="ELIGIBLE",0,1)+D5*IF(Opportunities!S10="ELIGIBLE",0,1)+E5*IF(Opportunities!S11="ELIGIBLE",0,1)+F5*IF(Opportunities!S12="ELIGIBLE",0,1)+G5*IF(Opportunities!S13="ELIGIBLE",0,1)+H5*IF(Opportunities!S14="ELIGIBLE",0,1)+I5*IF(Opportunities!S15="ELIGIBLE",0,1)=0),1,0)</f>
        <v>1</v>
      </c>
      <c r="N5" s="5">
        <f>IF(M5=1,L5,-1E99)</f>
        <v>0</v>
      </c>
    </row>
    <row r="6">
      <c r="A6" s="12" t="n">
        <v>1</v>
      </c>
      <c r="B6" s="12" t="n">
        <v>1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5">
        <f>B6*Opportunities!L8+C6*Opportunities!L9+D6*Opportunities!L10+E6*Opportunities!L11+F6*Opportunities!L12+G6*Opportunities!L13+H6*Opportunities!L14+I6*Opportunities!L15</f>
        <v>869500.0000000001</v>
      </c>
      <c r="K6" s="5">
        <f>SUM(B6:I6)</f>
        <v>1</v>
      </c>
      <c r="L6" s="5">
        <f>B6*Opportunities!P8+C6*Opportunities!P9+D6*Opportunities!P10+E6*Opportunities!P11+F6*Opportunities!P12+G6*Opportunities!P13+H6*Opportunities!P14+I6*Opportunities!P15</f>
        <v>90896.51702244638</v>
      </c>
      <c r="M6" s="5">
        <f>IF(AND(J6&lt;=Assumptions!$B$6,K6&lt;=Assumptions!$B$7,B6*IF(Opportunities!S8="ELIGIBLE",0,1)+C6*IF(Opportunities!S9="ELIGIBLE",0,1)+D6*IF(Opportunities!S10="ELIGIBLE",0,1)+E6*IF(Opportunities!S11="ELIGIBLE",0,1)+F6*IF(Opportunities!S12="ELIGIBLE",0,1)+G6*IF(Opportunities!S13="ELIGIBLE",0,1)+H6*IF(Opportunities!S14="ELIGIBLE",0,1)+I6*IF(Opportunities!S15="ELIGIBLE",0,1)=0),1,0)</f>
        <v>1</v>
      </c>
      <c r="N6" s="5">
        <f>IF(M6=1,L6,-1E99)</f>
        <v>90896.51702244638</v>
      </c>
    </row>
    <row r="7">
      <c r="A7" s="12" t="n">
        <v>2</v>
      </c>
      <c r="B7" s="12" t="n">
        <v>0</v>
      </c>
      <c r="C7" s="12" t="n">
        <v>1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5">
        <f>B7*Opportunities!L8+C7*Opportunities!L9+D7*Opportunities!L10+E7*Opportunities!L11+F7*Opportunities!L12+G7*Opportunities!L13+H7*Opportunities!L14+I7*Opportunities!L15</f>
        <v>585000.0</v>
      </c>
      <c r="K7" s="5">
        <f>SUM(B7:I7)</f>
        <v>1</v>
      </c>
      <c r="L7" s="5">
        <f>B7*Opportunities!P8+C7*Opportunities!P9+D7*Opportunities!P10+E7*Opportunities!P11+F7*Opportunities!P12+G7*Opportunities!P13+H7*Opportunities!P14+I7*Opportunities!P15</f>
        <v>76128.40249142848</v>
      </c>
      <c r="M7" s="5">
        <f>IF(AND(J7&lt;=Assumptions!$B$6,K7&lt;=Assumptions!$B$7,B7*IF(Opportunities!S8="ELIGIBLE",0,1)+C7*IF(Opportunities!S9="ELIGIBLE",0,1)+D7*IF(Opportunities!S10="ELIGIBLE",0,1)+E7*IF(Opportunities!S11="ELIGIBLE",0,1)+F7*IF(Opportunities!S12="ELIGIBLE",0,1)+G7*IF(Opportunities!S13="ELIGIBLE",0,1)+H7*IF(Opportunities!S14="ELIGIBLE",0,1)+I7*IF(Opportunities!S15="ELIGIBLE",0,1)=0),1,0)</f>
        <v>1</v>
      </c>
      <c r="N7" s="5">
        <f>IF(M7=1,L7,-1E99)</f>
        <v>76128.40249142848</v>
      </c>
    </row>
    <row r="8">
      <c r="A8" s="12" t="n">
        <v>3</v>
      </c>
      <c r="B8" s="12" t="n">
        <v>1</v>
      </c>
      <c r="C8" s="12" t="n">
        <v>1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5">
        <f>B8*Opportunities!L8+C8*Opportunities!L9+D8*Opportunities!L10+E8*Opportunities!L11+F8*Opportunities!L12+G8*Opportunities!L13+H8*Opportunities!L14+I8*Opportunities!L15</f>
        <v>1454500.0</v>
      </c>
      <c r="K8" s="5">
        <f>SUM(B8:I8)</f>
        <v>2</v>
      </c>
      <c r="L8" s="5">
        <f>B8*Opportunities!P8+C8*Opportunities!P9+D8*Opportunities!P10+E8*Opportunities!P11+F8*Opportunities!P12+G8*Opportunities!P13+H8*Opportunities!P14+I8*Opportunities!P15</f>
        <v>167024.91951387486</v>
      </c>
      <c r="M8" s="5">
        <f>IF(AND(J8&lt;=Assumptions!$B$6,K8&lt;=Assumptions!$B$7,B8*IF(Opportunities!S8="ELIGIBLE",0,1)+C8*IF(Opportunities!S9="ELIGIBLE",0,1)+D8*IF(Opportunities!S10="ELIGIBLE",0,1)+E8*IF(Opportunities!S11="ELIGIBLE",0,1)+F8*IF(Opportunities!S12="ELIGIBLE",0,1)+G8*IF(Opportunities!S13="ELIGIBLE",0,1)+H8*IF(Opportunities!S14="ELIGIBLE",0,1)+I8*IF(Opportunities!S15="ELIGIBLE",0,1)=0),1,0)</f>
        <v>1</v>
      </c>
      <c r="N8" s="5">
        <f>IF(M8=1,L8,-1E99)</f>
        <v>167024.91951387486</v>
      </c>
    </row>
    <row r="9">
      <c r="A9" s="12" t="n">
        <v>4</v>
      </c>
      <c r="B9" s="12" t="n">
        <v>0</v>
      </c>
      <c r="C9" s="12" t="n">
        <v>0</v>
      </c>
      <c r="D9" s="12" t="n">
        <v>1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5">
        <f>B9*Opportunities!L8+C9*Opportunities!L9+D9*Opportunities!L10+E9*Opportunities!L11+F9*Opportunities!L12+G9*Opportunities!L13+H9*Opportunities!L14+I9*Opportunities!L15</f>
        <v>1581000.0</v>
      </c>
      <c r="K9" s="5">
        <f>SUM(B9:I9)</f>
        <v>1</v>
      </c>
      <c r="L9" s="5">
        <f>B9*Opportunities!P8+C9*Opportunities!P9+D9*Opportunities!P10+E9*Opportunities!P11+F9*Opportunities!P12+G9*Opportunities!P13+H9*Opportunities!P14+I9*Opportunities!P15</f>
        <v>54783.715172860306</v>
      </c>
      <c r="M9" s="5">
        <f>IF(AND(J9&lt;=Assumptions!$B$6,K9&lt;=Assumptions!$B$7,B9*IF(Opportunities!S8="ELIGIBLE",0,1)+C9*IF(Opportunities!S9="ELIGIBLE",0,1)+D9*IF(Opportunities!S10="ELIGIBLE",0,1)+E9*IF(Opportunities!S11="ELIGIBLE",0,1)+F9*IF(Opportunities!S12="ELIGIBLE",0,1)+G9*IF(Opportunities!S13="ELIGIBLE",0,1)+H9*IF(Opportunities!S14="ELIGIBLE",0,1)+I9*IF(Opportunities!S15="ELIGIBLE",0,1)=0),1,0)</f>
        <v>1</v>
      </c>
      <c r="N9" s="5">
        <f>IF(M9=1,L9,-1E99)</f>
        <v>54783.715172860306</v>
      </c>
    </row>
    <row r="10">
      <c r="A10" s="12" t="n">
        <v>5</v>
      </c>
      <c r="B10" s="12" t="n">
        <v>1</v>
      </c>
      <c r="C10" s="12" t="n">
        <v>0</v>
      </c>
      <c r="D10" s="12" t="n">
        <v>1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5">
        <f>B10*Opportunities!L8+C10*Opportunities!L9+D10*Opportunities!L10+E10*Opportunities!L11+F10*Opportunities!L12+G10*Opportunities!L13+H10*Opportunities!L14+I10*Opportunities!L15</f>
        <v>2450500.0</v>
      </c>
      <c r="K10" s="5">
        <f>SUM(B10:I10)</f>
        <v>2</v>
      </c>
      <c r="L10" s="5">
        <f>B10*Opportunities!P8+C10*Opportunities!P9+D10*Opportunities!P10+E10*Opportunities!P11+F10*Opportunities!P12+G10*Opportunities!P13+H10*Opportunities!P14+I10*Opportunities!P15</f>
        <v>145680.2321953067</v>
      </c>
      <c r="M10" s="5">
        <f>IF(AND(J10&lt;=Assumptions!$B$6,K10&lt;=Assumptions!$B$7,B10*IF(Opportunities!S8="ELIGIBLE",0,1)+C10*IF(Opportunities!S9="ELIGIBLE",0,1)+D10*IF(Opportunities!S10="ELIGIBLE",0,1)+E10*IF(Opportunities!S11="ELIGIBLE",0,1)+F10*IF(Opportunities!S12="ELIGIBLE",0,1)+G10*IF(Opportunities!S13="ELIGIBLE",0,1)+H10*IF(Opportunities!S14="ELIGIBLE",0,1)+I10*IF(Opportunities!S15="ELIGIBLE",0,1)=0),1,0)</f>
        <v>0</v>
      </c>
      <c r="N10" s="5">
        <f>IF(M10=1,L10,-1E99)</f>
        <v>-1e+99</v>
      </c>
    </row>
    <row r="11">
      <c r="A11" s="12" t="n">
        <v>6</v>
      </c>
      <c r="B11" s="12" t="n">
        <v>0</v>
      </c>
      <c r="C11" s="12" t="n">
        <v>1</v>
      </c>
      <c r="D11" s="12" t="n">
        <v>1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5">
        <f>B11*Opportunities!L8+C11*Opportunities!L9+D11*Opportunities!L10+E11*Opportunities!L11+F11*Opportunities!L12+G11*Opportunities!L13+H11*Opportunities!L14+I11*Opportunities!L15</f>
        <v>2166000.0</v>
      </c>
      <c r="K11" s="5">
        <f>SUM(B11:I11)</f>
        <v>2</v>
      </c>
      <c r="L11" s="5">
        <f>B11*Opportunities!P8+C11*Opportunities!P9+D11*Opportunities!P10+E11*Opportunities!P11+F11*Opportunities!P12+G11*Opportunities!P13+H11*Opportunities!P14+I11*Opportunities!P15</f>
        <v>130912.11766428879</v>
      </c>
      <c r="M11" s="5">
        <f>IF(AND(J11&lt;=Assumptions!$B$6,K11&lt;=Assumptions!$B$7,B11*IF(Opportunities!S8="ELIGIBLE",0,1)+C11*IF(Opportunities!S9="ELIGIBLE",0,1)+D11*IF(Opportunities!S10="ELIGIBLE",0,1)+E11*IF(Opportunities!S11="ELIGIBLE",0,1)+F11*IF(Opportunities!S12="ELIGIBLE",0,1)+G11*IF(Opportunities!S13="ELIGIBLE",0,1)+H11*IF(Opportunities!S14="ELIGIBLE",0,1)+I11*IF(Opportunities!S15="ELIGIBLE",0,1)=0),1,0)</f>
        <v>0</v>
      </c>
      <c r="N11" s="5">
        <f>IF(M11=1,L11,-1E99)</f>
        <v>-1e+99</v>
      </c>
    </row>
    <row r="12">
      <c r="A12" s="12" t="n">
        <v>7</v>
      </c>
      <c r="B12" s="12" t="n">
        <v>1</v>
      </c>
      <c r="C12" s="12" t="n">
        <v>1</v>
      </c>
      <c r="D12" s="12" t="n">
        <v>1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5">
        <f>B12*Opportunities!L8+C12*Opportunities!L9+D12*Opportunities!L10+E12*Opportunities!L11+F12*Opportunities!L12+G12*Opportunities!L13+H12*Opportunities!L14+I12*Opportunities!L15</f>
        <v>3035500.0</v>
      </c>
      <c r="K12" s="5">
        <f>SUM(B12:I12)</f>
        <v>3</v>
      </c>
      <c r="L12" s="5">
        <f>B12*Opportunities!P8+C12*Opportunities!P9+D12*Opportunities!P10+E12*Opportunities!P11+F12*Opportunities!P12+G12*Opportunities!P13+H12*Opportunities!P14+I12*Opportunities!P15</f>
        <v>221808.63468673517</v>
      </c>
      <c r="M12" s="5">
        <f>IF(AND(J12&lt;=Assumptions!$B$6,K12&lt;=Assumptions!$B$7,B12*IF(Opportunities!S8="ELIGIBLE",0,1)+C12*IF(Opportunities!S9="ELIGIBLE",0,1)+D12*IF(Opportunities!S10="ELIGIBLE",0,1)+E12*IF(Opportunities!S11="ELIGIBLE",0,1)+F12*IF(Opportunities!S12="ELIGIBLE",0,1)+G12*IF(Opportunities!S13="ELIGIBLE",0,1)+H12*IF(Opportunities!S14="ELIGIBLE",0,1)+I12*IF(Opportunities!S15="ELIGIBLE",0,1)=0),1,0)</f>
        <v>0</v>
      </c>
      <c r="N12" s="5">
        <f>IF(M12=1,L12,-1E99)</f>
        <v>-1e+99</v>
      </c>
    </row>
    <row r="13">
      <c r="A13" s="12" t="n">
        <v>8</v>
      </c>
      <c r="B13" s="12" t="n">
        <v>0</v>
      </c>
      <c r="C13" s="12" t="n">
        <v>0</v>
      </c>
      <c r="D13" s="12" t="n">
        <v>0</v>
      </c>
      <c r="E13" s="12" t="n">
        <v>1</v>
      </c>
      <c r="F13" s="12" t="n">
        <v>0</v>
      </c>
      <c r="G13" s="12" t="n">
        <v>0</v>
      </c>
      <c r="H13" s="12" t="n">
        <v>0</v>
      </c>
      <c r="I13" s="12" t="n">
        <v>0</v>
      </c>
      <c r="J13" s="5">
        <f>B13*Opportunities!L8+C13*Opportunities!L9+D13*Opportunities!L10+E13*Opportunities!L11+F13*Opportunities!L12+G13*Opportunities!L13+H13*Opportunities!L14+I13*Opportunities!L15</f>
        <v>332250.0</v>
      </c>
      <c r="K13" s="5">
        <f>SUM(B13:I13)</f>
        <v>1</v>
      </c>
      <c r="L13" s="5">
        <f>B13*Opportunities!P8+C13*Opportunities!P9+D13*Opportunities!P10+E13*Opportunities!P11+F13*Opportunities!P12+G13*Opportunities!P13+H13*Opportunities!P14+I13*Opportunities!P15</f>
        <v>21888.122772962495</v>
      </c>
      <c r="M13" s="5">
        <f>IF(AND(J13&lt;=Assumptions!$B$6,K13&lt;=Assumptions!$B$7,B13*IF(Opportunities!S8="ELIGIBLE",0,1)+C13*IF(Opportunities!S9="ELIGIBLE",0,1)+D13*IF(Opportunities!S10="ELIGIBLE",0,1)+E13*IF(Opportunities!S11="ELIGIBLE",0,1)+F13*IF(Opportunities!S12="ELIGIBLE",0,1)+G13*IF(Opportunities!S13="ELIGIBLE",0,1)+H13*IF(Opportunities!S14="ELIGIBLE",0,1)+I13*IF(Opportunities!S15="ELIGIBLE",0,1)=0),1,0)</f>
        <v>1</v>
      </c>
      <c r="N13" s="5">
        <f>IF(M13=1,L13,-1E99)</f>
        <v>21888.122772962495</v>
      </c>
    </row>
    <row r="14">
      <c r="A14" s="12" t="n">
        <v>9</v>
      </c>
      <c r="B14" s="12" t="n">
        <v>1</v>
      </c>
      <c r="C14" s="12" t="n">
        <v>0</v>
      </c>
      <c r="D14" s="12" t="n">
        <v>0</v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0</v>
      </c>
      <c r="J14" s="5">
        <f>B14*Opportunities!L8+C14*Opportunities!L9+D14*Opportunities!L10+E14*Opportunities!L11+F14*Opportunities!L12+G14*Opportunities!L13+H14*Opportunities!L14+I14*Opportunities!L15</f>
        <v>1201750.0</v>
      </c>
      <c r="K14" s="5">
        <f>SUM(B14:I14)</f>
        <v>2</v>
      </c>
      <c r="L14" s="5">
        <f>B14*Opportunities!P8+C14*Opportunities!P9+D14*Opportunities!P10+E14*Opportunities!P11+F14*Opportunities!P12+G14*Opportunities!P13+H14*Opportunities!P14+I14*Opportunities!P15</f>
        <v>112784.63979540888</v>
      </c>
      <c r="M14" s="5">
        <f>IF(AND(J14&lt;=Assumptions!$B$6,K14&lt;=Assumptions!$B$7,B14*IF(Opportunities!S8="ELIGIBLE",0,1)+C14*IF(Opportunities!S9="ELIGIBLE",0,1)+D14*IF(Opportunities!S10="ELIGIBLE",0,1)+E14*IF(Opportunities!S11="ELIGIBLE",0,1)+F14*IF(Opportunities!S12="ELIGIBLE",0,1)+G14*IF(Opportunities!S13="ELIGIBLE",0,1)+H14*IF(Opportunities!S14="ELIGIBLE",0,1)+I14*IF(Opportunities!S15="ELIGIBLE",0,1)=0),1,0)</f>
        <v>1</v>
      </c>
      <c r="N14" s="5">
        <f>IF(M14=1,L14,-1E99)</f>
        <v>112784.63979540888</v>
      </c>
    </row>
    <row r="15">
      <c r="A15" s="12" t="n">
        <v>10</v>
      </c>
      <c r="B15" s="12" t="n">
        <v>0</v>
      </c>
      <c r="C15" s="12" t="n">
        <v>1</v>
      </c>
      <c r="D15" s="12" t="n">
        <v>0</v>
      </c>
      <c r="E15" s="12" t="n">
        <v>1</v>
      </c>
      <c r="F15" s="12" t="n">
        <v>0</v>
      </c>
      <c r="G15" s="12" t="n">
        <v>0</v>
      </c>
      <c r="H15" s="12" t="n">
        <v>0</v>
      </c>
      <c r="I15" s="12" t="n">
        <v>0</v>
      </c>
      <c r="J15" s="5">
        <f>B15*Opportunities!L8+C15*Opportunities!L9+D15*Opportunities!L10+E15*Opportunities!L11+F15*Opportunities!L12+G15*Opportunities!L13+H15*Opportunities!L14+I15*Opportunities!L15</f>
        <v>917250.0</v>
      </c>
      <c r="K15" s="5">
        <f>SUM(B15:I15)</f>
        <v>2</v>
      </c>
      <c r="L15" s="5">
        <f>B15*Opportunities!P8+C15*Opportunities!P9+D15*Opportunities!P10+E15*Opportunities!P11+F15*Opportunities!P12+G15*Opportunities!P13+H15*Opportunities!P14+I15*Opportunities!P15</f>
        <v>98016.52526439098</v>
      </c>
      <c r="M15" s="5">
        <f>IF(AND(J15&lt;=Assumptions!$B$6,K15&lt;=Assumptions!$B$7,B15*IF(Opportunities!S8="ELIGIBLE",0,1)+C15*IF(Opportunities!S9="ELIGIBLE",0,1)+D15*IF(Opportunities!S10="ELIGIBLE",0,1)+E15*IF(Opportunities!S11="ELIGIBLE",0,1)+F15*IF(Opportunities!S12="ELIGIBLE",0,1)+G15*IF(Opportunities!S13="ELIGIBLE",0,1)+H15*IF(Opportunities!S14="ELIGIBLE",0,1)+I15*IF(Opportunities!S15="ELIGIBLE",0,1)=0),1,0)</f>
        <v>1</v>
      </c>
      <c r="N15" s="5">
        <f>IF(M15=1,L15,-1E99)</f>
        <v>98016.52526439098</v>
      </c>
    </row>
    <row r="16">
      <c r="A16" s="12" t="n">
        <v>11</v>
      </c>
      <c r="B16" s="12" t="n">
        <v>1</v>
      </c>
      <c r="C16" s="12" t="n">
        <v>1</v>
      </c>
      <c r="D16" s="12" t="n">
        <v>0</v>
      </c>
      <c r="E16" s="12" t="n">
        <v>1</v>
      </c>
      <c r="F16" s="12" t="n">
        <v>0</v>
      </c>
      <c r="G16" s="12" t="n">
        <v>0</v>
      </c>
      <c r="H16" s="12" t="n">
        <v>0</v>
      </c>
      <c r="I16" s="12" t="n">
        <v>0</v>
      </c>
      <c r="J16" s="5">
        <f>B16*Opportunities!L8+C16*Opportunities!L9+D16*Opportunities!L10+E16*Opportunities!L11+F16*Opportunities!L12+G16*Opportunities!L13+H16*Opportunities!L14+I16*Opportunities!L15</f>
        <v>1786750.0</v>
      </c>
      <c r="K16" s="5">
        <f>SUM(B16:I16)</f>
        <v>3</v>
      </c>
      <c r="L16" s="5">
        <f>B16*Opportunities!P8+C16*Opportunities!P9+D16*Opportunities!P10+E16*Opportunities!P11+F16*Opportunities!P12+G16*Opportunities!P13+H16*Opportunities!P14+I16*Opportunities!P15</f>
        <v>188913.04228683736</v>
      </c>
      <c r="M16" s="5">
        <f>IF(AND(J16&lt;=Assumptions!$B$6,K16&lt;=Assumptions!$B$7,B16*IF(Opportunities!S8="ELIGIBLE",0,1)+C16*IF(Opportunities!S9="ELIGIBLE",0,1)+D16*IF(Opportunities!S10="ELIGIBLE",0,1)+E16*IF(Opportunities!S11="ELIGIBLE",0,1)+F16*IF(Opportunities!S12="ELIGIBLE",0,1)+G16*IF(Opportunities!S13="ELIGIBLE",0,1)+H16*IF(Opportunities!S14="ELIGIBLE",0,1)+I16*IF(Opportunities!S15="ELIGIBLE",0,1)=0),1,0)</f>
        <v>1</v>
      </c>
      <c r="N16" s="5">
        <f>IF(M16=1,L16,-1E99)</f>
        <v>188913.04228683736</v>
      </c>
    </row>
    <row r="17">
      <c r="A17" s="12" t="n">
        <v>12</v>
      </c>
      <c r="B17" s="12" t="n">
        <v>0</v>
      </c>
      <c r="C17" s="12" t="n">
        <v>0</v>
      </c>
      <c r="D17" s="12" t="n">
        <v>1</v>
      </c>
      <c r="E17" s="12" t="n">
        <v>1</v>
      </c>
      <c r="F17" s="12" t="n">
        <v>0</v>
      </c>
      <c r="G17" s="12" t="n">
        <v>0</v>
      </c>
      <c r="H17" s="12" t="n">
        <v>0</v>
      </c>
      <c r="I17" s="12" t="n">
        <v>0</v>
      </c>
      <c r="J17" s="5">
        <f>B17*Opportunities!L8+C17*Opportunities!L9+D17*Opportunities!L10+E17*Opportunities!L11+F17*Opportunities!L12+G17*Opportunities!L13+H17*Opportunities!L14+I17*Opportunities!L15</f>
        <v>1913250.0</v>
      </c>
      <c r="K17" s="5">
        <f>SUM(B17:I17)</f>
        <v>2</v>
      </c>
      <c r="L17" s="5">
        <f>B17*Opportunities!P8+C17*Opportunities!P9+D17*Opportunities!P10+E17*Opportunities!P11+F17*Opportunities!P12+G17*Opportunities!P13+H17*Opportunities!P14+I17*Opportunities!P15</f>
        <v>76671.8379458228</v>
      </c>
      <c r="M17" s="5">
        <f>IF(AND(J17&lt;=Assumptions!$B$6,K17&lt;=Assumptions!$B$7,B17*IF(Opportunities!S8="ELIGIBLE",0,1)+C17*IF(Opportunities!S9="ELIGIBLE",0,1)+D17*IF(Opportunities!S10="ELIGIBLE",0,1)+E17*IF(Opportunities!S11="ELIGIBLE",0,1)+F17*IF(Opportunities!S12="ELIGIBLE",0,1)+G17*IF(Opportunities!S13="ELIGIBLE",0,1)+H17*IF(Opportunities!S14="ELIGIBLE",0,1)+I17*IF(Opportunities!S15="ELIGIBLE",0,1)=0),1,0)</f>
        <v>1</v>
      </c>
      <c r="N17" s="5">
        <f>IF(M17=1,L17,-1E99)</f>
        <v>76671.8379458228</v>
      </c>
    </row>
    <row r="18">
      <c r="A18" s="12" t="n">
        <v>13</v>
      </c>
      <c r="B18" s="12" t="n">
        <v>1</v>
      </c>
      <c r="C18" s="12" t="n">
        <v>0</v>
      </c>
      <c r="D18" s="12" t="n">
        <v>1</v>
      </c>
      <c r="E18" s="12" t="n">
        <v>1</v>
      </c>
      <c r="F18" s="12" t="n">
        <v>0</v>
      </c>
      <c r="G18" s="12" t="n">
        <v>0</v>
      </c>
      <c r="H18" s="12" t="n">
        <v>0</v>
      </c>
      <c r="I18" s="12" t="n">
        <v>0</v>
      </c>
      <c r="J18" s="5">
        <f>B18*Opportunities!L8+C18*Opportunities!L9+D18*Opportunities!L10+E18*Opportunities!L11+F18*Opportunities!L12+G18*Opportunities!L13+H18*Opportunities!L14+I18*Opportunities!L15</f>
        <v>2782750.0</v>
      </c>
      <c r="K18" s="5">
        <f>SUM(B18:I18)</f>
        <v>3</v>
      </c>
      <c r="L18" s="5">
        <f>B18*Opportunities!P8+C18*Opportunities!P9+D18*Opportunities!P10+E18*Opportunities!P11+F18*Opportunities!P12+G18*Opportunities!P13+H18*Opportunities!P14+I18*Opportunities!P15</f>
        <v>167568.35496826918</v>
      </c>
      <c r="M18" s="5">
        <f>IF(AND(J18&lt;=Assumptions!$B$6,K18&lt;=Assumptions!$B$7,B18*IF(Opportunities!S8="ELIGIBLE",0,1)+C18*IF(Opportunities!S9="ELIGIBLE",0,1)+D18*IF(Opportunities!S10="ELIGIBLE",0,1)+E18*IF(Opportunities!S11="ELIGIBLE",0,1)+F18*IF(Opportunities!S12="ELIGIBLE",0,1)+G18*IF(Opportunities!S13="ELIGIBLE",0,1)+H18*IF(Opportunities!S14="ELIGIBLE",0,1)+I18*IF(Opportunities!S15="ELIGIBLE",0,1)=0),1,0)</f>
        <v>0</v>
      </c>
      <c r="N18" s="5">
        <f>IF(M18=1,L18,-1E99)</f>
        <v>-1e+99</v>
      </c>
    </row>
    <row r="19">
      <c r="A19" s="12" t="n">
        <v>14</v>
      </c>
      <c r="B19" s="12" t="n">
        <v>0</v>
      </c>
      <c r="C19" s="12" t="n">
        <v>1</v>
      </c>
      <c r="D19" s="12" t="n">
        <v>1</v>
      </c>
      <c r="E19" s="12" t="n">
        <v>1</v>
      </c>
      <c r="F19" s="12" t="n">
        <v>0</v>
      </c>
      <c r="G19" s="12" t="n">
        <v>0</v>
      </c>
      <c r="H19" s="12" t="n">
        <v>0</v>
      </c>
      <c r="I19" s="12" t="n">
        <v>0</v>
      </c>
      <c r="J19" s="5">
        <f>B19*Opportunities!L8+C19*Opportunities!L9+D19*Opportunities!L10+E19*Opportunities!L11+F19*Opportunities!L12+G19*Opportunities!L13+H19*Opportunities!L14+I19*Opportunities!L15</f>
        <v>2498250.0</v>
      </c>
      <c r="K19" s="5">
        <f>SUM(B19:I19)</f>
        <v>3</v>
      </c>
      <c r="L19" s="5">
        <f>B19*Opportunities!P8+C19*Opportunities!P9+D19*Opportunities!P10+E19*Opportunities!P11+F19*Opportunities!P12+G19*Opportunities!P13+H19*Opportunities!P14+I19*Opportunities!P15</f>
        <v>152800.24043725128</v>
      </c>
      <c r="M19" s="5">
        <f>IF(AND(J19&lt;=Assumptions!$B$6,K19&lt;=Assumptions!$B$7,B19*IF(Opportunities!S8="ELIGIBLE",0,1)+C19*IF(Opportunities!S9="ELIGIBLE",0,1)+D19*IF(Opportunities!S10="ELIGIBLE",0,1)+E19*IF(Opportunities!S11="ELIGIBLE",0,1)+F19*IF(Opportunities!S12="ELIGIBLE",0,1)+G19*IF(Opportunities!S13="ELIGIBLE",0,1)+H19*IF(Opportunities!S14="ELIGIBLE",0,1)+I19*IF(Opportunities!S15="ELIGIBLE",0,1)=0),1,0)</f>
        <v>0</v>
      </c>
      <c r="N19" s="5">
        <f>IF(M19=1,L19,-1E99)</f>
        <v>-1e+99</v>
      </c>
    </row>
    <row r="20">
      <c r="A20" s="12" t="n">
        <v>15</v>
      </c>
      <c r="B20" s="12" t="n">
        <v>1</v>
      </c>
      <c r="C20" s="12" t="n">
        <v>1</v>
      </c>
      <c r="D20" s="12" t="n">
        <v>1</v>
      </c>
      <c r="E20" s="12" t="n">
        <v>1</v>
      </c>
      <c r="F20" s="12" t="n">
        <v>0</v>
      </c>
      <c r="G20" s="12" t="n">
        <v>0</v>
      </c>
      <c r="H20" s="12" t="n">
        <v>0</v>
      </c>
      <c r="I20" s="12" t="n">
        <v>0</v>
      </c>
      <c r="J20" s="5">
        <f>B20*Opportunities!L8+C20*Opportunities!L9+D20*Opportunities!L10+E20*Opportunities!L11+F20*Opportunities!L12+G20*Opportunities!L13+H20*Opportunities!L14+I20*Opportunities!L15</f>
        <v>3367750.0</v>
      </c>
      <c r="K20" s="5">
        <f>SUM(B20:I20)</f>
        <v>4</v>
      </c>
      <c r="L20" s="5">
        <f>B20*Opportunities!P8+C20*Opportunities!P9+D20*Opportunities!P10+E20*Opportunities!P11+F20*Opportunities!P12+G20*Opportunities!P13+H20*Opportunities!P14+I20*Opportunities!P15</f>
        <v>243696.75745969766</v>
      </c>
      <c r="M20" s="5">
        <f>IF(AND(J20&lt;=Assumptions!$B$6,K20&lt;=Assumptions!$B$7,B20*IF(Opportunities!S8="ELIGIBLE",0,1)+C20*IF(Opportunities!S9="ELIGIBLE",0,1)+D20*IF(Opportunities!S10="ELIGIBLE",0,1)+E20*IF(Opportunities!S11="ELIGIBLE",0,1)+F20*IF(Opportunities!S12="ELIGIBLE",0,1)+G20*IF(Opportunities!S13="ELIGIBLE",0,1)+H20*IF(Opportunities!S14="ELIGIBLE",0,1)+I20*IF(Opportunities!S15="ELIGIBLE",0,1)=0),1,0)</f>
        <v>0</v>
      </c>
      <c r="N20" s="5">
        <f>IF(M20=1,L20,-1E99)</f>
        <v>-1e+99</v>
      </c>
    </row>
    <row r="21">
      <c r="A21" s="12" t="n">
        <v>16</v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1</v>
      </c>
      <c r="G21" s="12" t="n">
        <v>0</v>
      </c>
      <c r="H21" s="12" t="n">
        <v>0</v>
      </c>
      <c r="I21" s="12" t="n">
        <v>0</v>
      </c>
      <c r="J21" s="5">
        <f>B21*Opportunities!L8+C21*Opportunities!L9+D21*Opportunities!L10+E21*Opportunities!L11+F21*Opportunities!L12+G21*Opportunities!L13+H21*Opportunities!L14+I21*Opportunities!L15</f>
        <v>1143000.0</v>
      </c>
      <c r="K21" s="5">
        <f>SUM(B21:I21)</f>
        <v>1</v>
      </c>
      <c r="L21" s="5">
        <f>B21*Opportunities!P8+C21*Opportunities!P9+D21*Opportunities!P10+E21*Opportunities!P11+F21*Opportunities!P12+G21*Opportunities!P13+H21*Opportunities!P14+I21*Opportunities!P15</f>
        <v>-175492.0398370832</v>
      </c>
      <c r="M21" s="5">
        <f>IF(AND(J21&lt;=Assumptions!$B$6,K21&lt;=Assumptions!$B$7,B21*IF(Opportunities!S8="ELIGIBLE",0,1)+C21*IF(Opportunities!S9="ELIGIBLE",0,1)+D21*IF(Opportunities!S10="ELIGIBLE",0,1)+E21*IF(Opportunities!S11="ELIGIBLE",0,1)+F21*IF(Opportunities!S12="ELIGIBLE",0,1)+G21*IF(Opportunities!S13="ELIGIBLE",0,1)+H21*IF(Opportunities!S14="ELIGIBLE",0,1)+I21*IF(Opportunities!S15="ELIGIBLE",0,1)=0),1,0)</f>
        <v>0</v>
      </c>
      <c r="N21" s="5">
        <f>IF(M21=1,L21,-1E99)</f>
        <v>-1e+99</v>
      </c>
    </row>
    <row r="22">
      <c r="A22" s="12" t="n">
        <v>17</v>
      </c>
      <c r="B22" s="12" t="n">
        <v>1</v>
      </c>
      <c r="C22" s="12" t="n">
        <v>0</v>
      </c>
      <c r="D22" s="12" t="n">
        <v>0</v>
      </c>
      <c r="E22" s="12" t="n">
        <v>0</v>
      </c>
      <c r="F22" s="12" t="n">
        <v>1</v>
      </c>
      <c r="G22" s="12" t="n">
        <v>0</v>
      </c>
      <c r="H22" s="12" t="n">
        <v>0</v>
      </c>
      <c r="I22" s="12" t="n">
        <v>0</v>
      </c>
      <c r="J22" s="5">
        <f>B22*Opportunities!L8+C22*Opportunities!L9+D22*Opportunities!L10+E22*Opportunities!L11+F22*Opportunities!L12+G22*Opportunities!L13+H22*Opportunities!L14+I22*Opportunities!L15</f>
        <v>2012500.0</v>
      </c>
      <c r="K22" s="5">
        <f>SUM(B22:I22)</f>
        <v>2</v>
      </c>
      <c r="L22" s="5">
        <f>B22*Opportunities!P8+C22*Opportunities!P9+D22*Opportunities!P10+E22*Opportunities!P11+F22*Opportunities!P12+G22*Opportunities!P13+H22*Opportunities!P14+I22*Opportunities!P15</f>
        <v>-84595.52281463682</v>
      </c>
      <c r="M22" s="5">
        <f>IF(AND(J22&lt;=Assumptions!$B$6,K22&lt;=Assumptions!$B$7,B22*IF(Opportunities!S8="ELIGIBLE",0,1)+C22*IF(Opportunities!S9="ELIGIBLE",0,1)+D22*IF(Opportunities!S10="ELIGIBLE",0,1)+E22*IF(Opportunities!S11="ELIGIBLE",0,1)+F22*IF(Opportunities!S12="ELIGIBLE",0,1)+G22*IF(Opportunities!S13="ELIGIBLE",0,1)+H22*IF(Opportunities!S14="ELIGIBLE",0,1)+I22*IF(Opportunities!S15="ELIGIBLE",0,1)=0),1,0)</f>
        <v>0</v>
      </c>
      <c r="N22" s="5">
        <f>IF(M22=1,L22,-1E99)</f>
        <v>-1e+99</v>
      </c>
    </row>
    <row r="23">
      <c r="A23" s="12" t="n">
        <v>18</v>
      </c>
      <c r="B23" s="12" t="n">
        <v>0</v>
      </c>
      <c r="C23" s="12" t="n">
        <v>1</v>
      </c>
      <c r="D23" s="12" t="n">
        <v>0</v>
      </c>
      <c r="E23" s="12" t="n">
        <v>0</v>
      </c>
      <c r="F23" s="12" t="n">
        <v>1</v>
      </c>
      <c r="G23" s="12" t="n">
        <v>0</v>
      </c>
      <c r="H23" s="12" t="n">
        <v>0</v>
      </c>
      <c r="I23" s="12" t="n">
        <v>0</v>
      </c>
      <c r="J23" s="5">
        <f>B23*Opportunities!L8+C23*Opportunities!L9+D23*Opportunities!L10+E23*Opportunities!L11+F23*Opportunities!L12+G23*Opportunities!L13+H23*Opportunities!L14+I23*Opportunities!L15</f>
        <v>1728000.0</v>
      </c>
      <c r="K23" s="5">
        <f>SUM(B23:I23)</f>
        <v>2</v>
      </c>
      <c r="L23" s="5">
        <f>B23*Opportunities!P8+C23*Opportunities!P9+D23*Opportunities!P10+E23*Opportunities!P11+F23*Opportunities!P12+G23*Opportunities!P13+H23*Opportunities!P14+I23*Opportunities!P15</f>
        <v>-99363.63734565472</v>
      </c>
      <c r="M23" s="5">
        <f>IF(AND(J23&lt;=Assumptions!$B$6,K23&lt;=Assumptions!$B$7,B23*IF(Opportunities!S8="ELIGIBLE",0,1)+C23*IF(Opportunities!S9="ELIGIBLE",0,1)+D23*IF(Opportunities!S10="ELIGIBLE",0,1)+E23*IF(Opportunities!S11="ELIGIBLE",0,1)+F23*IF(Opportunities!S12="ELIGIBLE",0,1)+G23*IF(Opportunities!S13="ELIGIBLE",0,1)+H23*IF(Opportunities!S14="ELIGIBLE",0,1)+I23*IF(Opportunities!S15="ELIGIBLE",0,1)=0),1,0)</f>
        <v>0</v>
      </c>
      <c r="N23" s="5">
        <f>IF(M23=1,L23,-1E99)</f>
        <v>-1e+99</v>
      </c>
    </row>
    <row r="24">
      <c r="A24" s="12" t="n">
        <v>19</v>
      </c>
      <c r="B24" s="12" t="n">
        <v>1</v>
      </c>
      <c r="C24" s="12" t="n">
        <v>1</v>
      </c>
      <c r="D24" s="12" t="n">
        <v>0</v>
      </c>
      <c r="E24" s="12" t="n">
        <v>0</v>
      </c>
      <c r="F24" s="12" t="n">
        <v>1</v>
      </c>
      <c r="G24" s="12" t="n">
        <v>0</v>
      </c>
      <c r="H24" s="12" t="n">
        <v>0</v>
      </c>
      <c r="I24" s="12" t="n">
        <v>0</v>
      </c>
      <c r="J24" s="5">
        <f>B24*Opportunities!L8+C24*Opportunities!L9+D24*Opportunities!L10+E24*Opportunities!L11+F24*Opportunities!L12+G24*Opportunities!L13+H24*Opportunities!L14+I24*Opportunities!L15</f>
        <v>2597500.0</v>
      </c>
      <c r="K24" s="5">
        <f>SUM(B24:I24)</f>
        <v>3</v>
      </c>
      <c r="L24" s="5">
        <f>B24*Opportunities!P8+C24*Opportunities!P9+D24*Opportunities!P10+E24*Opportunities!P11+F24*Opportunities!P12+G24*Opportunities!P13+H24*Opportunities!P14+I24*Opportunities!P15</f>
        <v>-8467.120323208335</v>
      </c>
      <c r="M24" s="5">
        <f>IF(AND(J24&lt;=Assumptions!$B$6,K24&lt;=Assumptions!$B$7,B24*IF(Opportunities!S8="ELIGIBLE",0,1)+C24*IF(Opportunities!S9="ELIGIBLE",0,1)+D24*IF(Opportunities!S10="ELIGIBLE",0,1)+E24*IF(Opportunities!S11="ELIGIBLE",0,1)+F24*IF(Opportunities!S12="ELIGIBLE",0,1)+G24*IF(Opportunities!S13="ELIGIBLE",0,1)+H24*IF(Opportunities!S14="ELIGIBLE",0,1)+I24*IF(Opportunities!S15="ELIGIBLE",0,1)=0),1,0)</f>
        <v>0</v>
      </c>
      <c r="N24" s="5">
        <f>IF(M24=1,L24,-1E99)</f>
        <v>-1e+99</v>
      </c>
    </row>
    <row r="25">
      <c r="A25" s="12" t="n">
        <v>20</v>
      </c>
      <c r="B25" s="12" t="n">
        <v>0</v>
      </c>
      <c r="C25" s="12" t="n">
        <v>0</v>
      </c>
      <c r="D25" s="12" t="n">
        <v>1</v>
      </c>
      <c r="E25" s="12" t="n">
        <v>0</v>
      </c>
      <c r="F25" s="12" t="n">
        <v>1</v>
      </c>
      <c r="G25" s="12" t="n">
        <v>0</v>
      </c>
      <c r="H25" s="12" t="n">
        <v>0</v>
      </c>
      <c r="I25" s="12" t="n">
        <v>0</v>
      </c>
      <c r="J25" s="5">
        <f>B25*Opportunities!L8+C25*Opportunities!L9+D25*Opportunities!L10+E25*Opportunities!L11+F25*Opportunities!L12+G25*Opportunities!L13+H25*Opportunities!L14+I25*Opportunities!L15</f>
        <v>2724000.0</v>
      </c>
      <c r="K25" s="5">
        <f>SUM(B25:I25)</f>
        <v>2</v>
      </c>
      <c r="L25" s="5">
        <f>B25*Opportunities!P8+C25*Opportunities!P9+D25*Opportunities!P10+E25*Opportunities!P11+F25*Opportunities!P12+G25*Opportunities!P13+H25*Opportunities!P14+I25*Opportunities!P15</f>
        <v>-120708.32466422289</v>
      </c>
      <c r="M25" s="5">
        <f>IF(AND(J25&lt;=Assumptions!$B$6,K25&lt;=Assumptions!$B$7,B25*IF(Opportunities!S8="ELIGIBLE",0,1)+C25*IF(Opportunities!S9="ELIGIBLE",0,1)+D25*IF(Opportunities!S10="ELIGIBLE",0,1)+E25*IF(Opportunities!S11="ELIGIBLE",0,1)+F25*IF(Opportunities!S12="ELIGIBLE",0,1)+G25*IF(Opportunities!S13="ELIGIBLE",0,1)+H25*IF(Opportunities!S14="ELIGIBLE",0,1)+I25*IF(Opportunities!S15="ELIGIBLE",0,1)=0),1,0)</f>
        <v>0</v>
      </c>
      <c r="N25" s="5">
        <f>IF(M25=1,L25,-1E99)</f>
        <v>-1e+99</v>
      </c>
    </row>
    <row r="26">
      <c r="A26" s="12" t="n">
        <v>21</v>
      </c>
      <c r="B26" s="12" t="n">
        <v>1</v>
      </c>
      <c r="C26" s="12" t="n">
        <v>0</v>
      </c>
      <c r="D26" s="12" t="n">
        <v>1</v>
      </c>
      <c r="E26" s="12" t="n">
        <v>0</v>
      </c>
      <c r="F26" s="12" t="n">
        <v>1</v>
      </c>
      <c r="G26" s="12" t="n">
        <v>0</v>
      </c>
      <c r="H26" s="12" t="n">
        <v>0</v>
      </c>
      <c r="I26" s="12" t="n">
        <v>0</v>
      </c>
      <c r="J26" s="5">
        <f>B26*Opportunities!L8+C26*Opportunities!L9+D26*Opportunities!L10+E26*Opportunities!L11+F26*Opportunities!L12+G26*Opportunities!L13+H26*Opportunities!L14+I26*Opportunities!L15</f>
        <v>3593500.0</v>
      </c>
      <c r="K26" s="5">
        <f>SUM(B26:I26)</f>
        <v>3</v>
      </c>
      <c r="L26" s="5">
        <f>B26*Opportunities!P8+C26*Opportunities!P9+D26*Opportunities!P10+E26*Opportunities!P11+F26*Opportunities!P12+G26*Opportunities!P13+H26*Opportunities!P14+I26*Opportunities!P15</f>
        <v>-29811.80764177651</v>
      </c>
      <c r="M26" s="5">
        <f>IF(AND(J26&lt;=Assumptions!$B$6,K26&lt;=Assumptions!$B$7,B26*IF(Opportunities!S8="ELIGIBLE",0,1)+C26*IF(Opportunities!S9="ELIGIBLE",0,1)+D26*IF(Opportunities!S10="ELIGIBLE",0,1)+E26*IF(Opportunities!S11="ELIGIBLE",0,1)+F26*IF(Opportunities!S12="ELIGIBLE",0,1)+G26*IF(Opportunities!S13="ELIGIBLE",0,1)+H26*IF(Opportunities!S14="ELIGIBLE",0,1)+I26*IF(Opportunities!S15="ELIGIBLE",0,1)=0),1,0)</f>
        <v>0</v>
      </c>
      <c r="N26" s="5">
        <f>IF(M26=1,L26,-1E99)</f>
        <v>-1e+99</v>
      </c>
    </row>
    <row r="27">
      <c r="A27" s="12" t="n">
        <v>22</v>
      </c>
      <c r="B27" s="12" t="n">
        <v>0</v>
      </c>
      <c r="C27" s="12" t="n">
        <v>1</v>
      </c>
      <c r="D27" s="12" t="n">
        <v>1</v>
      </c>
      <c r="E27" s="12" t="n">
        <v>0</v>
      </c>
      <c r="F27" s="12" t="n">
        <v>1</v>
      </c>
      <c r="G27" s="12" t="n">
        <v>0</v>
      </c>
      <c r="H27" s="12" t="n">
        <v>0</v>
      </c>
      <c r="I27" s="12" t="n">
        <v>0</v>
      </c>
      <c r="J27" s="5">
        <f>B27*Opportunities!L8+C27*Opportunities!L9+D27*Opportunities!L10+E27*Opportunities!L11+F27*Opportunities!L12+G27*Opportunities!L13+H27*Opportunities!L14+I27*Opportunities!L15</f>
        <v>3309000.0</v>
      </c>
      <c r="K27" s="5">
        <f>SUM(B27:I27)</f>
        <v>3</v>
      </c>
      <c r="L27" s="5">
        <f>B27*Opportunities!P8+C27*Opportunities!P9+D27*Opportunities!P10+E27*Opportunities!P11+F27*Opportunities!P12+G27*Opportunities!P13+H27*Opportunities!P14+I27*Opportunities!P15</f>
        <v>-44579.92217279441</v>
      </c>
      <c r="M27" s="5">
        <f>IF(AND(J27&lt;=Assumptions!$B$6,K27&lt;=Assumptions!$B$7,B27*IF(Opportunities!S8="ELIGIBLE",0,1)+C27*IF(Opportunities!S9="ELIGIBLE",0,1)+D27*IF(Opportunities!S10="ELIGIBLE",0,1)+E27*IF(Opportunities!S11="ELIGIBLE",0,1)+F27*IF(Opportunities!S12="ELIGIBLE",0,1)+G27*IF(Opportunities!S13="ELIGIBLE",0,1)+H27*IF(Opportunities!S14="ELIGIBLE",0,1)+I27*IF(Opportunities!S15="ELIGIBLE",0,1)=0),1,0)</f>
        <v>0</v>
      </c>
      <c r="N27" s="5">
        <f>IF(M27=1,L27,-1E99)</f>
        <v>-1e+99</v>
      </c>
    </row>
    <row r="28">
      <c r="A28" s="12" t="n">
        <v>23</v>
      </c>
      <c r="B28" s="12" t="n">
        <v>1</v>
      </c>
      <c r="C28" s="12" t="n">
        <v>1</v>
      </c>
      <c r="D28" s="12" t="n">
        <v>1</v>
      </c>
      <c r="E28" s="12" t="n">
        <v>0</v>
      </c>
      <c r="F28" s="12" t="n">
        <v>1</v>
      </c>
      <c r="G28" s="12" t="n">
        <v>0</v>
      </c>
      <c r="H28" s="12" t="n">
        <v>0</v>
      </c>
      <c r="I28" s="12" t="n">
        <v>0</v>
      </c>
      <c r="J28" s="5">
        <f>B28*Opportunities!L8+C28*Opportunities!L9+D28*Opportunities!L10+E28*Opportunities!L11+F28*Opportunities!L12+G28*Opportunities!L13+H28*Opportunities!L14+I28*Opportunities!L15</f>
        <v>4178500.0</v>
      </c>
      <c r="K28" s="5">
        <f>SUM(B28:I28)</f>
        <v>4</v>
      </c>
      <c r="L28" s="5">
        <f>B28*Opportunities!P8+C28*Opportunities!P9+D28*Opportunities!P10+E28*Opportunities!P11+F28*Opportunities!P12+G28*Opportunities!P13+H28*Opportunities!P14+I28*Opportunities!P15</f>
        <v>46316.59484965197</v>
      </c>
      <c r="M28" s="5">
        <f>IF(AND(J28&lt;=Assumptions!$B$6,K28&lt;=Assumptions!$B$7,B28*IF(Opportunities!S8="ELIGIBLE",0,1)+C28*IF(Opportunities!S9="ELIGIBLE",0,1)+D28*IF(Opportunities!S10="ELIGIBLE",0,1)+E28*IF(Opportunities!S11="ELIGIBLE",0,1)+F28*IF(Opportunities!S12="ELIGIBLE",0,1)+G28*IF(Opportunities!S13="ELIGIBLE",0,1)+H28*IF(Opportunities!S14="ELIGIBLE",0,1)+I28*IF(Opportunities!S15="ELIGIBLE",0,1)=0),1,0)</f>
        <v>0</v>
      </c>
      <c r="N28" s="5">
        <f>IF(M28=1,L28,-1E99)</f>
        <v>-1e+99</v>
      </c>
    </row>
    <row r="29">
      <c r="A29" s="12" t="n">
        <v>24</v>
      </c>
      <c r="B29" s="12" t="n">
        <v>0</v>
      </c>
      <c r="C29" s="12" t="n">
        <v>0</v>
      </c>
      <c r="D29" s="12" t="n">
        <v>0</v>
      </c>
      <c r="E29" s="12" t="n">
        <v>1</v>
      </c>
      <c r="F29" s="12" t="n">
        <v>1</v>
      </c>
      <c r="G29" s="12" t="n">
        <v>0</v>
      </c>
      <c r="H29" s="12" t="n">
        <v>0</v>
      </c>
      <c r="I29" s="12" t="n">
        <v>0</v>
      </c>
      <c r="J29" s="5">
        <f>B29*Opportunities!L8+C29*Opportunities!L9+D29*Opportunities!L10+E29*Opportunities!L11+F29*Opportunities!L12+G29*Opportunities!L13+H29*Opportunities!L14+I29*Opportunities!L15</f>
        <v>1475250.0</v>
      </c>
      <c r="K29" s="5">
        <f>SUM(B29:I29)</f>
        <v>2</v>
      </c>
      <c r="L29" s="5">
        <f>B29*Opportunities!P8+C29*Opportunities!P9+D29*Opportunities!P10+E29*Opportunities!P11+F29*Opportunities!P12+G29*Opportunities!P13+H29*Opportunities!P14+I29*Opportunities!P15</f>
        <v>-153603.9170641207</v>
      </c>
      <c r="M29" s="5">
        <f>IF(AND(J29&lt;=Assumptions!$B$6,K29&lt;=Assumptions!$B$7,B29*IF(Opportunities!S8="ELIGIBLE",0,1)+C29*IF(Opportunities!S9="ELIGIBLE",0,1)+D29*IF(Opportunities!S10="ELIGIBLE",0,1)+E29*IF(Opportunities!S11="ELIGIBLE",0,1)+F29*IF(Opportunities!S12="ELIGIBLE",0,1)+G29*IF(Opportunities!S13="ELIGIBLE",0,1)+H29*IF(Opportunities!S14="ELIGIBLE",0,1)+I29*IF(Opportunities!S15="ELIGIBLE",0,1)=0),1,0)</f>
        <v>0</v>
      </c>
      <c r="N29" s="5">
        <f>IF(M29=1,L29,-1E99)</f>
        <v>-1e+99</v>
      </c>
    </row>
    <row r="30">
      <c r="A30" s="12" t="n">
        <v>25</v>
      </c>
      <c r="B30" s="12" t="n">
        <v>1</v>
      </c>
      <c r="C30" s="12" t="n">
        <v>0</v>
      </c>
      <c r="D30" s="12" t="n">
        <v>0</v>
      </c>
      <c r="E30" s="12" t="n">
        <v>1</v>
      </c>
      <c r="F30" s="12" t="n">
        <v>1</v>
      </c>
      <c r="G30" s="12" t="n">
        <v>0</v>
      </c>
      <c r="H30" s="12" t="n">
        <v>0</v>
      </c>
      <c r="I30" s="12" t="n">
        <v>0</v>
      </c>
      <c r="J30" s="5">
        <f>B30*Opportunities!L8+C30*Opportunities!L9+D30*Opportunities!L10+E30*Opportunities!L11+F30*Opportunities!L12+G30*Opportunities!L13+H30*Opportunities!L14+I30*Opportunities!L15</f>
        <v>2344750.0</v>
      </c>
      <c r="K30" s="5">
        <f>SUM(B30:I30)</f>
        <v>3</v>
      </c>
      <c r="L30" s="5">
        <f>B30*Opportunities!P8+C30*Opportunities!P9+D30*Opportunities!P10+E30*Opportunities!P11+F30*Opportunities!P12+G30*Opportunities!P13+H30*Opportunities!P14+I30*Opportunities!P15</f>
        <v>-62707.40004167432</v>
      </c>
      <c r="M30" s="5">
        <f>IF(AND(J30&lt;=Assumptions!$B$6,K30&lt;=Assumptions!$B$7,B30*IF(Opportunities!S8="ELIGIBLE",0,1)+C30*IF(Opportunities!S9="ELIGIBLE",0,1)+D30*IF(Opportunities!S10="ELIGIBLE",0,1)+E30*IF(Opportunities!S11="ELIGIBLE",0,1)+F30*IF(Opportunities!S12="ELIGIBLE",0,1)+G30*IF(Opportunities!S13="ELIGIBLE",0,1)+H30*IF(Opportunities!S14="ELIGIBLE",0,1)+I30*IF(Opportunities!S15="ELIGIBLE",0,1)=0),1,0)</f>
        <v>0</v>
      </c>
      <c r="N30" s="5">
        <f>IF(M30=1,L30,-1E99)</f>
        <v>-1e+99</v>
      </c>
    </row>
    <row r="31">
      <c r="A31" s="12" t="n">
        <v>26</v>
      </c>
      <c r="B31" s="12" t="n">
        <v>0</v>
      </c>
      <c r="C31" s="12" t="n">
        <v>1</v>
      </c>
      <c r="D31" s="12" t="n">
        <v>0</v>
      </c>
      <c r="E31" s="12" t="n">
        <v>1</v>
      </c>
      <c r="F31" s="12" t="n">
        <v>1</v>
      </c>
      <c r="G31" s="12" t="n">
        <v>0</v>
      </c>
      <c r="H31" s="12" t="n">
        <v>0</v>
      </c>
      <c r="I31" s="12" t="n">
        <v>0</v>
      </c>
      <c r="J31" s="5">
        <f>B31*Opportunities!L8+C31*Opportunities!L9+D31*Opportunities!L10+E31*Opportunities!L11+F31*Opportunities!L12+G31*Opportunities!L13+H31*Opportunities!L14+I31*Opportunities!L15</f>
        <v>2060250.0</v>
      </c>
      <c r="K31" s="5">
        <f>SUM(B31:I31)</f>
        <v>3</v>
      </c>
      <c r="L31" s="5">
        <f>B31*Opportunities!P8+C31*Opportunities!P9+D31*Opportunities!P10+E31*Opportunities!P11+F31*Opportunities!P12+G31*Opportunities!P13+H31*Opportunities!P14+I31*Opportunities!P15</f>
        <v>-77475.51457269222</v>
      </c>
      <c r="M31" s="5">
        <f>IF(AND(J31&lt;=Assumptions!$B$6,K31&lt;=Assumptions!$B$7,B31*IF(Opportunities!S8="ELIGIBLE",0,1)+C31*IF(Opportunities!S9="ELIGIBLE",0,1)+D31*IF(Opportunities!S10="ELIGIBLE",0,1)+E31*IF(Opportunities!S11="ELIGIBLE",0,1)+F31*IF(Opportunities!S12="ELIGIBLE",0,1)+G31*IF(Opportunities!S13="ELIGIBLE",0,1)+H31*IF(Opportunities!S14="ELIGIBLE",0,1)+I31*IF(Opportunities!S15="ELIGIBLE",0,1)=0),1,0)</f>
        <v>0</v>
      </c>
      <c r="N31" s="5">
        <f>IF(M31=1,L31,-1E99)</f>
        <v>-1e+99</v>
      </c>
    </row>
    <row r="32">
      <c r="A32" s="12" t="n">
        <v>27</v>
      </c>
      <c r="B32" s="12" t="n">
        <v>1</v>
      </c>
      <c r="C32" s="12" t="n">
        <v>1</v>
      </c>
      <c r="D32" s="12" t="n">
        <v>0</v>
      </c>
      <c r="E32" s="12" t="n">
        <v>1</v>
      </c>
      <c r="F32" s="12" t="n">
        <v>1</v>
      </c>
      <c r="G32" s="12" t="n">
        <v>0</v>
      </c>
      <c r="H32" s="12" t="n">
        <v>0</v>
      </c>
      <c r="I32" s="12" t="n">
        <v>0</v>
      </c>
      <c r="J32" s="5">
        <f>B32*Opportunities!L8+C32*Opportunities!L9+D32*Opportunities!L10+E32*Opportunities!L11+F32*Opportunities!L12+G32*Opportunities!L13+H32*Opportunities!L14+I32*Opportunities!L15</f>
        <v>2929750.0</v>
      </c>
      <c r="K32" s="5">
        <f>SUM(B32:I32)</f>
        <v>4</v>
      </c>
      <c r="L32" s="5">
        <f>B32*Opportunities!P8+C32*Opportunities!P9+D32*Opportunities!P10+E32*Opportunities!P11+F32*Opportunities!P12+G32*Opportunities!P13+H32*Opportunities!P14+I32*Opportunities!P15</f>
        <v>13421.00244975416</v>
      </c>
      <c r="M32" s="5">
        <f>IF(AND(J32&lt;=Assumptions!$B$6,K32&lt;=Assumptions!$B$7,B32*IF(Opportunities!S8="ELIGIBLE",0,1)+C32*IF(Opportunities!S9="ELIGIBLE",0,1)+D32*IF(Opportunities!S10="ELIGIBLE",0,1)+E32*IF(Opportunities!S11="ELIGIBLE",0,1)+F32*IF(Opportunities!S12="ELIGIBLE",0,1)+G32*IF(Opportunities!S13="ELIGIBLE",0,1)+H32*IF(Opportunities!S14="ELIGIBLE",0,1)+I32*IF(Opportunities!S15="ELIGIBLE",0,1)=0),1,0)</f>
        <v>0</v>
      </c>
      <c r="N32" s="5">
        <f>IF(M32=1,L32,-1E99)</f>
        <v>-1e+99</v>
      </c>
    </row>
    <row r="33">
      <c r="A33" s="12" t="n">
        <v>28</v>
      </c>
      <c r="B33" s="12" t="n">
        <v>0</v>
      </c>
      <c r="C33" s="12" t="n">
        <v>0</v>
      </c>
      <c r="D33" s="12" t="n">
        <v>1</v>
      </c>
      <c r="E33" s="12" t="n">
        <v>1</v>
      </c>
      <c r="F33" s="12" t="n">
        <v>1</v>
      </c>
      <c r="G33" s="12" t="n">
        <v>0</v>
      </c>
      <c r="H33" s="12" t="n">
        <v>0</v>
      </c>
      <c r="I33" s="12" t="n">
        <v>0</v>
      </c>
      <c r="J33" s="5">
        <f>B33*Opportunities!L8+C33*Opportunities!L9+D33*Opportunities!L10+E33*Opportunities!L11+F33*Opportunities!L12+G33*Opportunities!L13+H33*Opportunities!L14+I33*Opportunities!L15</f>
        <v>3056250.0</v>
      </c>
      <c r="K33" s="5">
        <f>SUM(B33:I33)</f>
        <v>3</v>
      </c>
      <c r="L33" s="5">
        <f>B33*Opportunities!P8+C33*Opportunities!P9+D33*Opportunities!P10+E33*Opportunities!P11+F33*Opportunities!P12+G33*Opportunities!P13+H33*Opportunities!P14+I33*Opportunities!P15</f>
        <v>-98820.2018912604</v>
      </c>
      <c r="M33" s="5">
        <f>IF(AND(J33&lt;=Assumptions!$B$6,K33&lt;=Assumptions!$B$7,B33*IF(Opportunities!S8="ELIGIBLE",0,1)+C33*IF(Opportunities!S9="ELIGIBLE",0,1)+D33*IF(Opportunities!S10="ELIGIBLE",0,1)+E33*IF(Opportunities!S11="ELIGIBLE",0,1)+F33*IF(Opportunities!S12="ELIGIBLE",0,1)+G33*IF(Opportunities!S13="ELIGIBLE",0,1)+H33*IF(Opportunities!S14="ELIGIBLE",0,1)+I33*IF(Opportunities!S15="ELIGIBLE",0,1)=0),1,0)</f>
        <v>0</v>
      </c>
      <c r="N33" s="5">
        <f>IF(M33=1,L33,-1E99)</f>
        <v>-1e+99</v>
      </c>
    </row>
    <row r="34">
      <c r="A34" s="12" t="n">
        <v>29</v>
      </c>
      <c r="B34" s="12" t="n">
        <v>1</v>
      </c>
      <c r="C34" s="12" t="n">
        <v>0</v>
      </c>
      <c r="D34" s="12" t="n">
        <v>1</v>
      </c>
      <c r="E34" s="12" t="n">
        <v>1</v>
      </c>
      <c r="F34" s="12" t="n">
        <v>1</v>
      </c>
      <c r="G34" s="12" t="n">
        <v>0</v>
      </c>
      <c r="H34" s="12" t="n">
        <v>0</v>
      </c>
      <c r="I34" s="12" t="n">
        <v>0</v>
      </c>
      <c r="J34" s="5">
        <f>B34*Opportunities!L8+C34*Opportunities!L9+D34*Opportunities!L10+E34*Opportunities!L11+F34*Opportunities!L12+G34*Opportunities!L13+H34*Opportunities!L14+I34*Opportunities!L15</f>
        <v>3925750.0</v>
      </c>
      <c r="K34" s="5">
        <f>SUM(B34:I34)</f>
        <v>4</v>
      </c>
      <c r="L34" s="5">
        <f>B34*Opportunities!P8+C34*Opportunities!P9+D34*Opportunities!P10+E34*Opportunities!P11+F34*Opportunities!P12+G34*Opportunities!P13+H34*Opportunities!P14+I34*Opportunities!P15</f>
        <v>-7923.684868814016</v>
      </c>
      <c r="M34" s="5">
        <f>IF(AND(J34&lt;=Assumptions!$B$6,K34&lt;=Assumptions!$B$7,B34*IF(Opportunities!S8="ELIGIBLE",0,1)+C34*IF(Opportunities!S9="ELIGIBLE",0,1)+D34*IF(Opportunities!S10="ELIGIBLE",0,1)+E34*IF(Opportunities!S11="ELIGIBLE",0,1)+F34*IF(Opportunities!S12="ELIGIBLE",0,1)+G34*IF(Opportunities!S13="ELIGIBLE",0,1)+H34*IF(Opportunities!S14="ELIGIBLE",0,1)+I34*IF(Opportunities!S15="ELIGIBLE",0,1)=0),1,0)</f>
        <v>0</v>
      </c>
      <c r="N34" s="5">
        <f>IF(M34=1,L34,-1E99)</f>
        <v>-1e+99</v>
      </c>
    </row>
    <row r="35">
      <c r="A35" s="12" t="n">
        <v>30</v>
      </c>
      <c r="B35" s="12" t="n">
        <v>0</v>
      </c>
      <c r="C35" s="12" t="n">
        <v>1</v>
      </c>
      <c r="D35" s="12" t="n">
        <v>1</v>
      </c>
      <c r="E35" s="12" t="n">
        <v>1</v>
      </c>
      <c r="F35" s="12" t="n">
        <v>1</v>
      </c>
      <c r="G35" s="12" t="n">
        <v>0</v>
      </c>
      <c r="H35" s="12" t="n">
        <v>0</v>
      </c>
      <c r="I35" s="12" t="n">
        <v>0</v>
      </c>
      <c r="J35" s="5">
        <f>B35*Opportunities!L8+C35*Opportunities!L9+D35*Opportunities!L10+E35*Opportunities!L11+F35*Opportunities!L12+G35*Opportunities!L13+H35*Opportunities!L14+I35*Opportunities!L15</f>
        <v>3641250.0</v>
      </c>
      <c r="K35" s="5">
        <f>SUM(B35:I35)</f>
        <v>4</v>
      </c>
      <c r="L35" s="5">
        <f>B35*Opportunities!P8+C35*Opportunities!P9+D35*Opportunities!P10+E35*Opportunities!P11+F35*Opportunities!P12+G35*Opportunities!P13+H35*Opportunities!P14+I35*Opportunities!P15</f>
        <v>-22691.799399831914</v>
      </c>
      <c r="M35" s="5">
        <f>IF(AND(J35&lt;=Assumptions!$B$6,K35&lt;=Assumptions!$B$7,B35*IF(Opportunities!S8="ELIGIBLE",0,1)+C35*IF(Opportunities!S9="ELIGIBLE",0,1)+D35*IF(Opportunities!S10="ELIGIBLE",0,1)+E35*IF(Opportunities!S11="ELIGIBLE",0,1)+F35*IF(Opportunities!S12="ELIGIBLE",0,1)+G35*IF(Opportunities!S13="ELIGIBLE",0,1)+H35*IF(Opportunities!S14="ELIGIBLE",0,1)+I35*IF(Opportunities!S15="ELIGIBLE",0,1)=0),1,0)</f>
        <v>0</v>
      </c>
      <c r="N35" s="5">
        <f>IF(M35=1,L35,-1E99)</f>
        <v>-1e+99</v>
      </c>
    </row>
    <row r="36">
      <c r="A36" s="12" t="n">
        <v>31</v>
      </c>
      <c r="B36" s="12" t="n">
        <v>1</v>
      </c>
      <c r="C36" s="12" t="n">
        <v>1</v>
      </c>
      <c r="D36" s="12" t="n">
        <v>1</v>
      </c>
      <c r="E36" s="12" t="n">
        <v>1</v>
      </c>
      <c r="F36" s="12" t="n">
        <v>1</v>
      </c>
      <c r="G36" s="12" t="n">
        <v>0</v>
      </c>
      <c r="H36" s="12" t="n">
        <v>0</v>
      </c>
      <c r="I36" s="12" t="n">
        <v>0</v>
      </c>
      <c r="J36" s="5">
        <f>B36*Opportunities!L8+C36*Opportunities!L9+D36*Opportunities!L10+E36*Opportunities!L11+F36*Opportunities!L12+G36*Opportunities!L13+H36*Opportunities!L14+I36*Opportunities!L15</f>
        <v>4510750.0</v>
      </c>
      <c r="K36" s="5">
        <f>SUM(B36:I36)</f>
        <v>5</v>
      </c>
      <c r="L36" s="5">
        <f>B36*Opportunities!P8+C36*Opportunities!P9+D36*Opportunities!P10+E36*Opportunities!P11+F36*Opportunities!P12+G36*Opportunities!P13+H36*Opportunities!P14+I36*Opportunities!P15</f>
        <v>68204.71762261447</v>
      </c>
      <c r="M36" s="5">
        <f>IF(AND(J36&lt;=Assumptions!$B$6,K36&lt;=Assumptions!$B$7,B36*IF(Opportunities!S8="ELIGIBLE",0,1)+C36*IF(Opportunities!S9="ELIGIBLE",0,1)+D36*IF(Opportunities!S10="ELIGIBLE",0,1)+E36*IF(Opportunities!S11="ELIGIBLE",0,1)+F36*IF(Opportunities!S12="ELIGIBLE",0,1)+G36*IF(Opportunities!S13="ELIGIBLE",0,1)+H36*IF(Opportunities!S14="ELIGIBLE",0,1)+I36*IF(Opportunities!S15="ELIGIBLE",0,1)=0),1,0)</f>
        <v>0</v>
      </c>
      <c r="N36" s="5">
        <f>IF(M36=1,L36,-1E99)</f>
        <v>-1e+99</v>
      </c>
    </row>
    <row r="37">
      <c r="A37" s="12" t="n">
        <v>32</v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1</v>
      </c>
      <c r="H37" s="12" t="n">
        <v>0</v>
      </c>
      <c r="I37" s="12" t="n">
        <v>0</v>
      </c>
      <c r="J37" s="5">
        <f>B37*Opportunities!L8+C37*Opportunities!L9+D37*Opportunities!L10+E37*Opportunities!L11+F37*Opportunities!L12+G37*Opportunities!L13+H37*Opportunities!L14+I37*Opportunities!L15</f>
        <v>799250.0000000001</v>
      </c>
      <c r="K37" s="5">
        <f>SUM(B37:I37)</f>
        <v>1</v>
      </c>
      <c r="L37" s="5">
        <f>B37*Opportunities!P8+C37*Opportunities!P9+D37*Opportunities!P10+E37*Opportunities!P11+F37*Opportunities!P12+G37*Opportunities!P13+H37*Opportunities!P14+I37*Opportunities!P15</f>
        <v>72646.65879214031</v>
      </c>
      <c r="M37" s="5">
        <f>IF(AND(J37&lt;=Assumptions!$B$6,K37&lt;=Assumptions!$B$7,B37*IF(Opportunities!S8="ELIGIBLE",0,1)+C37*IF(Opportunities!S9="ELIGIBLE",0,1)+D37*IF(Opportunities!S10="ELIGIBLE",0,1)+E37*IF(Opportunities!S11="ELIGIBLE",0,1)+F37*IF(Opportunities!S12="ELIGIBLE",0,1)+G37*IF(Opportunities!S13="ELIGIBLE",0,1)+H37*IF(Opportunities!S14="ELIGIBLE",0,1)+I37*IF(Opportunities!S15="ELIGIBLE",0,1)=0),1,0)</f>
        <v>0</v>
      </c>
      <c r="N37" s="5">
        <f>IF(M37=1,L37,-1E99)</f>
        <v>-1e+99</v>
      </c>
    </row>
    <row r="38">
      <c r="A38" s="12" t="n">
        <v>33</v>
      </c>
      <c r="B38" s="12" t="n">
        <v>1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1</v>
      </c>
      <c r="H38" s="12" t="n">
        <v>0</v>
      </c>
      <c r="I38" s="12" t="n">
        <v>0</v>
      </c>
      <c r="J38" s="5">
        <f>B38*Opportunities!L8+C38*Opportunities!L9+D38*Opportunities!L10+E38*Opportunities!L11+F38*Opportunities!L12+G38*Opportunities!L13+H38*Opportunities!L14+I38*Opportunities!L15</f>
        <v>1668750.0000000002</v>
      </c>
      <c r="K38" s="5">
        <f>SUM(B38:I38)</f>
        <v>2</v>
      </c>
      <c r="L38" s="5">
        <f>B38*Opportunities!P8+C38*Opportunities!P9+D38*Opportunities!P10+E38*Opportunities!P11+F38*Opportunities!P12+G38*Opportunities!P13+H38*Opportunities!P14+I38*Opportunities!P15</f>
        <v>163543.1758145867</v>
      </c>
      <c r="M38" s="5">
        <f>IF(AND(J38&lt;=Assumptions!$B$6,K38&lt;=Assumptions!$B$7,B38*IF(Opportunities!S8="ELIGIBLE",0,1)+C38*IF(Opportunities!S9="ELIGIBLE",0,1)+D38*IF(Opportunities!S10="ELIGIBLE",0,1)+E38*IF(Opportunities!S11="ELIGIBLE",0,1)+F38*IF(Opportunities!S12="ELIGIBLE",0,1)+G38*IF(Opportunities!S13="ELIGIBLE",0,1)+H38*IF(Opportunities!S14="ELIGIBLE",0,1)+I38*IF(Opportunities!S15="ELIGIBLE",0,1)=0),1,0)</f>
        <v>0</v>
      </c>
      <c r="N38" s="5">
        <f>IF(M38=1,L38,-1E99)</f>
        <v>-1e+99</v>
      </c>
    </row>
    <row r="39">
      <c r="A39" s="12" t="n">
        <v>34</v>
      </c>
      <c r="B39" s="12" t="n">
        <v>0</v>
      </c>
      <c r="C39" s="12" t="n">
        <v>1</v>
      </c>
      <c r="D39" s="12" t="n">
        <v>0</v>
      </c>
      <c r="E39" s="12" t="n">
        <v>0</v>
      </c>
      <c r="F39" s="12" t="n">
        <v>0</v>
      </c>
      <c r="G39" s="12" t="n">
        <v>1</v>
      </c>
      <c r="H39" s="12" t="n">
        <v>0</v>
      </c>
      <c r="I39" s="12" t="n">
        <v>0</v>
      </c>
      <c r="J39" s="5">
        <f>B39*Opportunities!L8+C39*Opportunities!L9+D39*Opportunities!L10+E39*Opportunities!L11+F39*Opportunities!L12+G39*Opportunities!L13+H39*Opportunities!L14+I39*Opportunities!L15</f>
        <v>1384250.0</v>
      </c>
      <c r="K39" s="5">
        <f>SUM(B39:I39)</f>
        <v>2</v>
      </c>
      <c r="L39" s="5">
        <f>B39*Opportunities!P8+C39*Opportunities!P9+D39*Opportunities!P10+E39*Opportunities!P11+F39*Opportunities!P12+G39*Opportunities!P13+H39*Opportunities!P14+I39*Opportunities!P15</f>
        <v>148775.0612835688</v>
      </c>
      <c r="M39" s="5">
        <f>IF(AND(J39&lt;=Assumptions!$B$6,K39&lt;=Assumptions!$B$7,B39*IF(Opportunities!S8="ELIGIBLE",0,1)+C39*IF(Opportunities!S9="ELIGIBLE",0,1)+D39*IF(Opportunities!S10="ELIGIBLE",0,1)+E39*IF(Opportunities!S11="ELIGIBLE",0,1)+F39*IF(Opportunities!S12="ELIGIBLE",0,1)+G39*IF(Opportunities!S13="ELIGIBLE",0,1)+H39*IF(Opportunities!S14="ELIGIBLE",0,1)+I39*IF(Opportunities!S15="ELIGIBLE",0,1)=0),1,0)</f>
        <v>0</v>
      </c>
      <c r="N39" s="5">
        <f>IF(M39=1,L39,-1E99)</f>
        <v>-1e+99</v>
      </c>
    </row>
    <row r="40">
      <c r="A40" s="12" t="n">
        <v>35</v>
      </c>
      <c r="B40" s="12" t="n">
        <v>1</v>
      </c>
      <c r="C40" s="12" t="n">
        <v>1</v>
      </c>
      <c r="D40" s="12" t="n">
        <v>0</v>
      </c>
      <c r="E40" s="12" t="n">
        <v>0</v>
      </c>
      <c r="F40" s="12" t="n">
        <v>0</v>
      </c>
      <c r="G40" s="12" t="n">
        <v>1</v>
      </c>
      <c r="H40" s="12" t="n">
        <v>0</v>
      </c>
      <c r="I40" s="12" t="n">
        <v>0</v>
      </c>
      <c r="J40" s="5">
        <f>B40*Opportunities!L8+C40*Opportunities!L9+D40*Opportunities!L10+E40*Opportunities!L11+F40*Opportunities!L12+G40*Opportunities!L13+H40*Opportunities!L14+I40*Opportunities!L15</f>
        <v>2253750.0</v>
      </c>
      <c r="K40" s="5">
        <f>SUM(B40:I40)</f>
        <v>3</v>
      </c>
      <c r="L40" s="5">
        <f>B40*Opportunities!P8+C40*Opportunities!P9+D40*Opportunities!P10+E40*Opportunities!P11+F40*Opportunities!P12+G40*Opportunities!P13+H40*Opportunities!P14+I40*Opportunities!P15</f>
        <v>239671.57830601517</v>
      </c>
      <c r="M40" s="5">
        <f>IF(AND(J40&lt;=Assumptions!$B$6,K40&lt;=Assumptions!$B$7,B40*IF(Opportunities!S8="ELIGIBLE",0,1)+C40*IF(Opportunities!S9="ELIGIBLE",0,1)+D40*IF(Opportunities!S10="ELIGIBLE",0,1)+E40*IF(Opportunities!S11="ELIGIBLE",0,1)+F40*IF(Opportunities!S12="ELIGIBLE",0,1)+G40*IF(Opportunities!S13="ELIGIBLE",0,1)+H40*IF(Opportunities!S14="ELIGIBLE",0,1)+I40*IF(Opportunities!S15="ELIGIBLE",0,1)=0),1,0)</f>
        <v>0</v>
      </c>
      <c r="N40" s="5">
        <f>IF(M40=1,L40,-1E99)</f>
        <v>-1e+99</v>
      </c>
    </row>
    <row r="41">
      <c r="A41" s="12" t="n">
        <v>36</v>
      </c>
      <c r="B41" s="12" t="n">
        <v>0</v>
      </c>
      <c r="C41" s="12" t="n">
        <v>0</v>
      </c>
      <c r="D41" s="12" t="n">
        <v>1</v>
      </c>
      <c r="E41" s="12" t="n">
        <v>0</v>
      </c>
      <c r="F41" s="12" t="n">
        <v>0</v>
      </c>
      <c r="G41" s="12" t="n">
        <v>1</v>
      </c>
      <c r="H41" s="12" t="n">
        <v>0</v>
      </c>
      <c r="I41" s="12" t="n">
        <v>0</v>
      </c>
      <c r="J41" s="5">
        <f>B41*Opportunities!L8+C41*Opportunities!L9+D41*Opportunities!L10+E41*Opportunities!L11+F41*Opportunities!L12+G41*Opportunities!L13+H41*Opportunities!L14+I41*Opportunities!L15</f>
        <v>2380250.0</v>
      </c>
      <c r="K41" s="5">
        <f>SUM(B41:I41)</f>
        <v>2</v>
      </c>
      <c r="L41" s="5">
        <f>B41*Opportunities!P8+C41*Opportunities!P9+D41*Opportunities!P10+E41*Opportunities!P11+F41*Opportunities!P12+G41*Opportunities!P13+H41*Opportunities!P14+I41*Opportunities!P15</f>
        <v>127430.37396500062</v>
      </c>
      <c r="M41" s="5">
        <f>IF(AND(J41&lt;=Assumptions!$B$6,K41&lt;=Assumptions!$B$7,B41*IF(Opportunities!S8="ELIGIBLE",0,1)+C41*IF(Opportunities!S9="ELIGIBLE",0,1)+D41*IF(Opportunities!S10="ELIGIBLE",0,1)+E41*IF(Opportunities!S11="ELIGIBLE",0,1)+F41*IF(Opportunities!S12="ELIGIBLE",0,1)+G41*IF(Opportunities!S13="ELIGIBLE",0,1)+H41*IF(Opportunities!S14="ELIGIBLE",0,1)+I41*IF(Opportunities!S15="ELIGIBLE",0,1)=0),1,0)</f>
        <v>0</v>
      </c>
      <c r="N41" s="5">
        <f>IF(M41=1,L41,-1E99)</f>
        <v>-1e+99</v>
      </c>
    </row>
    <row r="42">
      <c r="A42" s="12" t="n">
        <v>37</v>
      </c>
      <c r="B42" s="12" t="n">
        <v>1</v>
      </c>
      <c r="C42" s="12" t="n">
        <v>0</v>
      </c>
      <c r="D42" s="12" t="n">
        <v>1</v>
      </c>
      <c r="E42" s="12" t="n">
        <v>0</v>
      </c>
      <c r="F42" s="12" t="n">
        <v>0</v>
      </c>
      <c r="G42" s="12" t="n">
        <v>1</v>
      </c>
      <c r="H42" s="12" t="n">
        <v>0</v>
      </c>
      <c r="I42" s="12" t="n">
        <v>0</v>
      </c>
      <c r="J42" s="5">
        <f>B42*Opportunities!L8+C42*Opportunities!L9+D42*Opportunities!L10+E42*Opportunities!L11+F42*Opportunities!L12+G42*Opportunities!L13+H42*Opportunities!L14+I42*Opportunities!L15</f>
        <v>3249750.0</v>
      </c>
      <c r="K42" s="5">
        <f>SUM(B42:I42)</f>
        <v>3</v>
      </c>
      <c r="L42" s="5">
        <f>B42*Opportunities!P8+C42*Opportunities!P9+D42*Opportunities!P10+E42*Opportunities!P11+F42*Opportunities!P12+G42*Opportunities!P13+H42*Opportunities!P14+I42*Opportunities!P15</f>
        <v>218326.890987447</v>
      </c>
      <c r="M42" s="5">
        <f>IF(AND(J42&lt;=Assumptions!$B$6,K42&lt;=Assumptions!$B$7,B42*IF(Opportunities!S8="ELIGIBLE",0,1)+C42*IF(Opportunities!S9="ELIGIBLE",0,1)+D42*IF(Opportunities!S10="ELIGIBLE",0,1)+E42*IF(Opportunities!S11="ELIGIBLE",0,1)+F42*IF(Opportunities!S12="ELIGIBLE",0,1)+G42*IF(Opportunities!S13="ELIGIBLE",0,1)+H42*IF(Opportunities!S14="ELIGIBLE",0,1)+I42*IF(Opportunities!S15="ELIGIBLE",0,1)=0),1,0)</f>
        <v>0</v>
      </c>
      <c r="N42" s="5">
        <f>IF(M42=1,L42,-1E99)</f>
        <v>-1e+99</v>
      </c>
    </row>
    <row r="43">
      <c r="A43" s="12" t="n">
        <v>38</v>
      </c>
      <c r="B43" s="12" t="n">
        <v>0</v>
      </c>
      <c r="C43" s="12" t="n">
        <v>1</v>
      </c>
      <c r="D43" s="12" t="n">
        <v>1</v>
      </c>
      <c r="E43" s="12" t="n">
        <v>0</v>
      </c>
      <c r="F43" s="12" t="n">
        <v>0</v>
      </c>
      <c r="G43" s="12" t="n">
        <v>1</v>
      </c>
      <c r="H43" s="12" t="n">
        <v>0</v>
      </c>
      <c r="I43" s="12" t="n">
        <v>0</v>
      </c>
      <c r="J43" s="5">
        <f>B43*Opportunities!L8+C43*Opportunities!L9+D43*Opportunities!L10+E43*Opportunities!L11+F43*Opportunities!L12+G43*Opportunities!L13+H43*Opportunities!L14+I43*Opportunities!L15</f>
        <v>2965250.0</v>
      </c>
      <c r="K43" s="5">
        <f>SUM(B43:I43)</f>
        <v>3</v>
      </c>
      <c r="L43" s="5">
        <f>B43*Opportunities!P8+C43*Opportunities!P9+D43*Opportunities!P10+E43*Opportunities!P11+F43*Opportunities!P12+G43*Opportunities!P13+H43*Opportunities!P14+I43*Opportunities!P15</f>
        <v>203558.7764564291</v>
      </c>
      <c r="M43" s="5">
        <f>IF(AND(J43&lt;=Assumptions!$B$6,K43&lt;=Assumptions!$B$7,B43*IF(Opportunities!S8="ELIGIBLE",0,1)+C43*IF(Opportunities!S9="ELIGIBLE",0,1)+D43*IF(Opportunities!S10="ELIGIBLE",0,1)+E43*IF(Opportunities!S11="ELIGIBLE",0,1)+F43*IF(Opportunities!S12="ELIGIBLE",0,1)+G43*IF(Opportunities!S13="ELIGIBLE",0,1)+H43*IF(Opportunities!S14="ELIGIBLE",0,1)+I43*IF(Opportunities!S15="ELIGIBLE",0,1)=0),1,0)</f>
        <v>0</v>
      </c>
      <c r="N43" s="5">
        <f>IF(M43=1,L43,-1E99)</f>
        <v>-1e+99</v>
      </c>
    </row>
    <row r="44">
      <c r="A44" s="12" t="n">
        <v>39</v>
      </c>
      <c r="B44" s="12" t="n">
        <v>1</v>
      </c>
      <c r="C44" s="12" t="n">
        <v>1</v>
      </c>
      <c r="D44" s="12" t="n">
        <v>1</v>
      </c>
      <c r="E44" s="12" t="n">
        <v>0</v>
      </c>
      <c r="F44" s="12" t="n">
        <v>0</v>
      </c>
      <c r="G44" s="12" t="n">
        <v>1</v>
      </c>
      <c r="H44" s="12" t="n">
        <v>0</v>
      </c>
      <c r="I44" s="12" t="n">
        <v>0</v>
      </c>
      <c r="J44" s="5">
        <f>B44*Opportunities!L8+C44*Opportunities!L9+D44*Opportunities!L10+E44*Opportunities!L11+F44*Opportunities!L12+G44*Opportunities!L13+H44*Opportunities!L14+I44*Opportunities!L15</f>
        <v>3834750.0</v>
      </c>
      <c r="K44" s="5">
        <f>SUM(B44:I44)</f>
        <v>4</v>
      </c>
      <c r="L44" s="5">
        <f>B44*Opportunities!P8+C44*Opportunities!P9+D44*Opportunities!P10+E44*Opportunities!P11+F44*Opportunities!P12+G44*Opportunities!P13+H44*Opportunities!P14+I44*Opportunities!P15</f>
        <v>294455.2934788755</v>
      </c>
      <c r="M44" s="5">
        <f>IF(AND(J44&lt;=Assumptions!$B$6,K44&lt;=Assumptions!$B$7,B44*IF(Opportunities!S8="ELIGIBLE",0,1)+C44*IF(Opportunities!S9="ELIGIBLE",0,1)+D44*IF(Opportunities!S10="ELIGIBLE",0,1)+E44*IF(Opportunities!S11="ELIGIBLE",0,1)+F44*IF(Opportunities!S12="ELIGIBLE",0,1)+G44*IF(Opportunities!S13="ELIGIBLE",0,1)+H44*IF(Opportunities!S14="ELIGIBLE",0,1)+I44*IF(Opportunities!S15="ELIGIBLE",0,1)=0),1,0)</f>
        <v>0</v>
      </c>
      <c r="N44" s="5">
        <f>IF(M44=1,L44,-1E99)</f>
        <v>-1e+99</v>
      </c>
    </row>
    <row r="45">
      <c r="A45" s="12" t="n">
        <v>40</v>
      </c>
      <c r="B45" s="12" t="n">
        <v>0</v>
      </c>
      <c r="C45" s="12" t="n">
        <v>0</v>
      </c>
      <c r="D45" s="12" t="n">
        <v>0</v>
      </c>
      <c r="E45" s="12" t="n">
        <v>1</v>
      </c>
      <c r="F45" s="12" t="n">
        <v>0</v>
      </c>
      <c r="G45" s="12" t="n">
        <v>1</v>
      </c>
      <c r="H45" s="12" t="n">
        <v>0</v>
      </c>
      <c r="I45" s="12" t="n">
        <v>0</v>
      </c>
      <c r="J45" s="5">
        <f>B45*Opportunities!L8+C45*Opportunities!L9+D45*Opportunities!L10+E45*Opportunities!L11+F45*Opportunities!L12+G45*Opportunities!L13+H45*Opportunities!L14+I45*Opportunities!L15</f>
        <v>1131500.0</v>
      </c>
      <c r="K45" s="5">
        <f>SUM(B45:I45)</f>
        <v>2</v>
      </c>
      <c r="L45" s="5">
        <f>B45*Opportunities!P8+C45*Opportunities!P9+D45*Opportunities!P10+E45*Opportunities!P11+F45*Opportunities!P12+G45*Opportunities!P13+H45*Opportunities!P14+I45*Opportunities!P15</f>
        <v>94534.7815651028</v>
      </c>
      <c r="M45" s="5">
        <f>IF(AND(J45&lt;=Assumptions!$B$6,K45&lt;=Assumptions!$B$7,B45*IF(Opportunities!S8="ELIGIBLE",0,1)+C45*IF(Opportunities!S9="ELIGIBLE",0,1)+D45*IF(Opportunities!S10="ELIGIBLE",0,1)+E45*IF(Opportunities!S11="ELIGIBLE",0,1)+F45*IF(Opportunities!S12="ELIGIBLE",0,1)+G45*IF(Opportunities!S13="ELIGIBLE",0,1)+H45*IF(Opportunities!S14="ELIGIBLE",0,1)+I45*IF(Opportunities!S15="ELIGIBLE",0,1)=0),1,0)</f>
        <v>0</v>
      </c>
      <c r="N45" s="5">
        <f>IF(M45=1,L45,-1E99)</f>
        <v>-1e+99</v>
      </c>
    </row>
    <row r="46">
      <c r="A46" s="12" t="n">
        <v>41</v>
      </c>
      <c r="B46" s="12" t="n">
        <v>1</v>
      </c>
      <c r="C46" s="12" t="n">
        <v>0</v>
      </c>
      <c r="D46" s="12" t="n">
        <v>0</v>
      </c>
      <c r="E46" s="12" t="n">
        <v>1</v>
      </c>
      <c r="F46" s="12" t="n">
        <v>0</v>
      </c>
      <c r="G46" s="12" t="n">
        <v>1</v>
      </c>
      <c r="H46" s="12" t="n">
        <v>0</v>
      </c>
      <c r="I46" s="12" t="n">
        <v>0</v>
      </c>
      <c r="J46" s="5">
        <f>B46*Opportunities!L8+C46*Opportunities!L9+D46*Opportunities!L10+E46*Opportunities!L11+F46*Opportunities!L12+G46*Opportunities!L13+H46*Opportunities!L14+I46*Opportunities!L15</f>
        <v>2001000.0</v>
      </c>
      <c r="K46" s="5">
        <f>SUM(B46:I46)</f>
        <v>3</v>
      </c>
      <c r="L46" s="5">
        <f>B46*Opportunities!P8+C46*Opportunities!P9+D46*Opportunities!P10+E46*Opportunities!P11+F46*Opportunities!P12+G46*Opportunities!P13+H46*Opportunities!P14+I46*Opportunities!P15</f>
        <v>185431.2985875492</v>
      </c>
      <c r="M46" s="5">
        <f>IF(AND(J46&lt;=Assumptions!$B$6,K46&lt;=Assumptions!$B$7,B46*IF(Opportunities!S8="ELIGIBLE",0,1)+C46*IF(Opportunities!S9="ELIGIBLE",0,1)+D46*IF(Opportunities!S10="ELIGIBLE",0,1)+E46*IF(Opportunities!S11="ELIGIBLE",0,1)+F46*IF(Opportunities!S12="ELIGIBLE",0,1)+G46*IF(Opportunities!S13="ELIGIBLE",0,1)+H46*IF(Opportunities!S14="ELIGIBLE",0,1)+I46*IF(Opportunities!S15="ELIGIBLE",0,1)=0),1,0)</f>
        <v>0</v>
      </c>
      <c r="N46" s="5">
        <f>IF(M46=1,L46,-1E99)</f>
        <v>-1e+99</v>
      </c>
    </row>
    <row r="47">
      <c r="A47" s="12" t="n">
        <v>42</v>
      </c>
      <c r="B47" s="12" t="n">
        <v>0</v>
      </c>
      <c r="C47" s="12" t="n">
        <v>1</v>
      </c>
      <c r="D47" s="12" t="n">
        <v>0</v>
      </c>
      <c r="E47" s="12" t="n">
        <v>1</v>
      </c>
      <c r="F47" s="12" t="n">
        <v>0</v>
      </c>
      <c r="G47" s="12" t="n">
        <v>1</v>
      </c>
      <c r="H47" s="12" t="n">
        <v>0</v>
      </c>
      <c r="I47" s="12" t="n">
        <v>0</v>
      </c>
      <c r="J47" s="5">
        <f>B47*Opportunities!L8+C47*Opportunities!L9+D47*Opportunities!L10+E47*Opportunities!L11+F47*Opportunities!L12+G47*Opportunities!L13+H47*Opportunities!L14+I47*Opportunities!L15</f>
        <v>1716500.0</v>
      </c>
      <c r="K47" s="5">
        <f>SUM(B47:I47)</f>
        <v>3</v>
      </c>
      <c r="L47" s="5">
        <f>B47*Opportunities!P8+C47*Opportunities!P9+D47*Opportunities!P10+E47*Opportunities!P11+F47*Opportunities!P12+G47*Opportunities!P13+H47*Opportunities!P14+I47*Opportunities!P15</f>
        <v>170663.1840565313</v>
      </c>
      <c r="M47" s="5">
        <f>IF(AND(J47&lt;=Assumptions!$B$6,K47&lt;=Assumptions!$B$7,B47*IF(Opportunities!S8="ELIGIBLE",0,1)+C47*IF(Opportunities!S9="ELIGIBLE",0,1)+D47*IF(Opportunities!S10="ELIGIBLE",0,1)+E47*IF(Opportunities!S11="ELIGIBLE",0,1)+F47*IF(Opportunities!S12="ELIGIBLE",0,1)+G47*IF(Opportunities!S13="ELIGIBLE",0,1)+H47*IF(Opportunities!S14="ELIGIBLE",0,1)+I47*IF(Opportunities!S15="ELIGIBLE",0,1)=0),1,0)</f>
        <v>0</v>
      </c>
      <c r="N47" s="5">
        <f>IF(M47=1,L47,-1E99)</f>
        <v>-1e+99</v>
      </c>
    </row>
    <row r="48">
      <c r="A48" s="12" t="n">
        <v>43</v>
      </c>
      <c r="B48" s="12" t="n">
        <v>1</v>
      </c>
      <c r="C48" s="12" t="n">
        <v>1</v>
      </c>
      <c r="D48" s="12" t="n">
        <v>0</v>
      </c>
      <c r="E48" s="12" t="n">
        <v>1</v>
      </c>
      <c r="F48" s="12" t="n">
        <v>0</v>
      </c>
      <c r="G48" s="12" t="n">
        <v>1</v>
      </c>
      <c r="H48" s="12" t="n">
        <v>0</v>
      </c>
      <c r="I48" s="12" t="n">
        <v>0</v>
      </c>
      <c r="J48" s="5">
        <f>B48*Opportunities!L8+C48*Opportunities!L9+D48*Opportunities!L10+E48*Opportunities!L11+F48*Opportunities!L12+G48*Opportunities!L13+H48*Opportunities!L14+I48*Opportunities!L15</f>
        <v>2586000.0</v>
      </c>
      <c r="K48" s="5">
        <f>SUM(B48:I48)</f>
        <v>4</v>
      </c>
      <c r="L48" s="5">
        <f>B48*Opportunities!P8+C48*Opportunities!P9+D48*Opportunities!P10+E48*Opportunities!P11+F48*Opportunities!P12+G48*Opportunities!P13+H48*Opportunities!P14+I48*Opportunities!P15</f>
        <v>261559.70107897767</v>
      </c>
      <c r="M48" s="5">
        <f>IF(AND(J48&lt;=Assumptions!$B$6,K48&lt;=Assumptions!$B$7,B48*IF(Opportunities!S8="ELIGIBLE",0,1)+C48*IF(Opportunities!S9="ELIGIBLE",0,1)+D48*IF(Opportunities!S10="ELIGIBLE",0,1)+E48*IF(Opportunities!S11="ELIGIBLE",0,1)+F48*IF(Opportunities!S12="ELIGIBLE",0,1)+G48*IF(Opportunities!S13="ELIGIBLE",0,1)+H48*IF(Opportunities!S14="ELIGIBLE",0,1)+I48*IF(Opportunities!S15="ELIGIBLE",0,1)=0),1,0)</f>
        <v>0</v>
      </c>
      <c r="N48" s="5">
        <f>IF(M48=1,L48,-1E99)</f>
        <v>-1e+99</v>
      </c>
    </row>
    <row r="49">
      <c r="A49" s="12" t="n">
        <v>44</v>
      </c>
      <c r="B49" s="12" t="n">
        <v>0</v>
      </c>
      <c r="C49" s="12" t="n">
        <v>0</v>
      </c>
      <c r="D49" s="12" t="n">
        <v>1</v>
      </c>
      <c r="E49" s="12" t="n">
        <v>1</v>
      </c>
      <c r="F49" s="12" t="n">
        <v>0</v>
      </c>
      <c r="G49" s="12" t="n">
        <v>1</v>
      </c>
      <c r="H49" s="12" t="n">
        <v>0</v>
      </c>
      <c r="I49" s="12" t="n">
        <v>0</v>
      </c>
      <c r="J49" s="5">
        <f>B49*Opportunities!L8+C49*Opportunities!L9+D49*Opportunities!L10+E49*Opportunities!L11+F49*Opportunities!L12+G49*Opportunities!L13+H49*Opportunities!L14+I49*Opportunities!L15</f>
        <v>2712500.0</v>
      </c>
      <c r="K49" s="5">
        <f>SUM(B49:I49)</f>
        <v>3</v>
      </c>
      <c r="L49" s="5">
        <f>B49*Opportunities!P8+C49*Opportunities!P9+D49*Opportunities!P10+E49*Opportunities!P11+F49*Opportunities!P12+G49*Opportunities!P13+H49*Opportunities!P14+I49*Opportunities!P15</f>
        <v>149318.4967379631</v>
      </c>
      <c r="M49" s="5">
        <f>IF(AND(J49&lt;=Assumptions!$B$6,K49&lt;=Assumptions!$B$7,B49*IF(Opportunities!S8="ELIGIBLE",0,1)+C49*IF(Opportunities!S9="ELIGIBLE",0,1)+D49*IF(Opportunities!S10="ELIGIBLE",0,1)+E49*IF(Opportunities!S11="ELIGIBLE",0,1)+F49*IF(Opportunities!S12="ELIGIBLE",0,1)+G49*IF(Opportunities!S13="ELIGIBLE",0,1)+H49*IF(Opportunities!S14="ELIGIBLE",0,1)+I49*IF(Opportunities!S15="ELIGIBLE",0,1)=0),1,0)</f>
        <v>0</v>
      </c>
      <c r="N49" s="5">
        <f>IF(M49=1,L49,-1E99)</f>
        <v>-1e+99</v>
      </c>
    </row>
    <row r="50">
      <c r="A50" s="12" t="n">
        <v>45</v>
      </c>
      <c r="B50" s="12" t="n">
        <v>1</v>
      </c>
      <c r="C50" s="12" t="n">
        <v>0</v>
      </c>
      <c r="D50" s="12" t="n">
        <v>1</v>
      </c>
      <c r="E50" s="12" t="n">
        <v>1</v>
      </c>
      <c r="F50" s="12" t="n">
        <v>0</v>
      </c>
      <c r="G50" s="12" t="n">
        <v>1</v>
      </c>
      <c r="H50" s="12" t="n">
        <v>0</v>
      </c>
      <c r="I50" s="12" t="n">
        <v>0</v>
      </c>
      <c r="J50" s="5">
        <f>B50*Opportunities!L8+C50*Opportunities!L9+D50*Opportunities!L10+E50*Opportunities!L11+F50*Opportunities!L12+G50*Opportunities!L13+H50*Opportunities!L14+I50*Opportunities!L15</f>
        <v>3582000.0</v>
      </c>
      <c r="K50" s="5">
        <f>SUM(B50:I50)</f>
        <v>4</v>
      </c>
      <c r="L50" s="5">
        <f>B50*Opportunities!P8+C50*Opportunities!P9+D50*Opportunities!P10+E50*Opportunities!P11+F50*Opportunities!P12+G50*Opportunities!P13+H50*Opportunities!P14+I50*Opportunities!P15</f>
        <v>240215.0137604095</v>
      </c>
      <c r="M50" s="5">
        <f>IF(AND(J50&lt;=Assumptions!$B$6,K50&lt;=Assumptions!$B$7,B50*IF(Opportunities!S8="ELIGIBLE",0,1)+C50*IF(Opportunities!S9="ELIGIBLE",0,1)+D50*IF(Opportunities!S10="ELIGIBLE",0,1)+E50*IF(Opportunities!S11="ELIGIBLE",0,1)+F50*IF(Opportunities!S12="ELIGIBLE",0,1)+G50*IF(Opportunities!S13="ELIGIBLE",0,1)+H50*IF(Opportunities!S14="ELIGIBLE",0,1)+I50*IF(Opportunities!S15="ELIGIBLE",0,1)=0),1,0)</f>
        <v>0</v>
      </c>
      <c r="N50" s="5">
        <f>IF(M50=1,L50,-1E99)</f>
        <v>-1e+99</v>
      </c>
    </row>
    <row r="51">
      <c r="A51" s="12" t="n">
        <v>46</v>
      </c>
      <c r="B51" s="12" t="n">
        <v>0</v>
      </c>
      <c r="C51" s="12" t="n">
        <v>1</v>
      </c>
      <c r="D51" s="12" t="n">
        <v>1</v>
      </c>
      <c r="E51" s="12" t="n">
        <v>1</v>
      </c>
      <c r="F51" s="12" t="n">
        <v>0</v>
      </c>
      <c r="G51" s="12" t="n">
        <v>1</v>
      </c>
      <c r="H51" s="12" t="n">
        <v>0</v>
      </c>
      <c r="I51" s="12" t="n">
        <v>0</v>
      </c>
      <c r="J51" s="5">
        <f>B51*Opportunities!L8+C51*Opportunities!L9+D51*Opportunities!L10+E51*Opportunities!L11+F51*Opportunities!L12+G51*Opportunities!L13+H51*Opportunities!L14+I51*Opportunities!L15</f>
        <v>3297500.0</v>
      </c>
      <c r="K51" s="5">
        <f>SUM(B51:I51)</f>
        <v>4</v>
      </c>
      <c r="L51" s="5">
        <f>B51*Opportunities!P8+C51*Opportunities!P9+D51*Opportunities!P10+E51*Opportunities!P11+F51*Opportunities!P12+G51*Opportunities!P13+H51*Opportunities!P14+I51*Opportunities!P15</f>
        <v>225446.8992293916</v>
      </c>
      <c r="M51" s="5">
        <f>IF(AND(J51&lt;=Assumptions!$B$6,K51&lt;=Assumptions!$B$7,B51*IF(Opportunities!S8="ELIGIBLE",0,1)+C51*IF(Opportunities!S9="ELIGIBLE",0,1)+D51*IF(Opportunities!S10="ELIGIBLE",0,1)+E51*IF(Opportunities!S11="ELIGIBLE",0,1)+F51*IF(Opportunities!S12="ELIGIBLE",0,1)+G51*IF(Opportunities!S13="ELIGIBLE",0,1)+H51*IF(Opportunities!S14="ELIGIBLE",0,1)+I51*IF(Opportunities!S15="ELIGIBLE",0,1)=0),1,0)</f>
        <v>0</v>
      </c>
      <c r="N51" s="5">
        <f>IF(M51=1,L51,-1E99)</f>
        <v>-1e+99</v>
      </c>
    </row>
    <row r="52">
      <c r="A52" s="12" t="n">
        <v>47</v>
      </c>
      <c r="B52" s="12" t="n">
        <v>1</v>
      </c>
      <c r="C52" s="12" t="n">
        <v>1</v>
      </c>
      <c r="D52" s="12" t="n">
        <v>1</v>
      </c>
      <c r="E52" s="12" t="n">
        <v>1</v>
      </c>
      <c r="F52" s="12" t="n">
        <v>0</v>
      </c>
      <c r="G52" s="12" t="n">
        <v>1</v>
      </c>
      <c r="H52" s="12" t="n">
        <v>0</v>
      </c>
      <c r="I52" s="12" t="n">
        <v>0</v>
      </c>
      <c r="J52" s="5">
        <f>B52*Opportunities!L8+C52*Opportunities!L9+D52*Opportunities!L10+E52*Opportunities!L11+F52*Opportunities!L12+G52*Opportunities!L13+H52*Opportunities!L14+I52*Opportunities!L15</f>
        <v>4167000.0</v>
      </c>
      <c r="K52" s="5">
        <f>SUM(B52:I52)</f>
        <v>5</v>
      </c>
      <c r="L52" s="5">
        <f>B52*Opportunities!P8+C52*Opportunities!P9+D52*Opportunities!P10+E52*Opportunities!P11+F52*Opportunities!P12+G52*Opportunities!P13+H52*Opportunities!P14+I52*Opportunities!P15</f>
        <v>316343.416251838</v>
      </c>
      <c r="M52" s="5">
        <f>IF(AND(J52&lt;=Assumptions!$B$6,K52&lt;=Assumptions!$B$7,B52*IF(Opportunities!S8="ELIGIBLE",0,1)+C52*IF(Opportunities!S9="ELIGIBLE",0,1)+D52*IF(Opportunities!S10="ELIGIBLE",0,1)+E52*IF(Opportunities!S11="ELIGIBLE",0,1)+F52*IF(Opportunities!S12="ELIGIBLE",0,1)+G52*IF(Opportunities!S13="ELIGIBLE",0,1)+H52*IF(Opportunities!S14="ELIGIBLE",0,1)+I52*IF(Opportunities!S15="ELIGIBLE",0,1)=0),1,0)</f>
        <v>0</v>
      </c>
      <c r="N52" s="5">
        <f>IF(M52=1,L52,-1E99)</f>
        <v>-1e+99</v>
      </c>
    </row>
    <row r="53">
      <c r="A53" s="12" t="n">
        <v>48</v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</v>
      </c>
      <c r="G53" s="12" t="n">
        <v>1</v>
      </c>
      <c r="H53" s="12" t="n">
        <v>0</v>
      </c>
      <c r="I53" s="12" t="n">
        <v>0</v>
      </c>
      <c r="J53" s="5">
        <f>B53*Opportunities!L8+C53*Opportunities!L9+D53*Opportunities!L10+E53*Opportunities!L11+F53*Opportunities!L12+G53*Opportunities!L13+H53*Opportunities!L14+I53*Opportunities!L15</f>
        <v>1942250.0</v>
      </c>
      <c r="K53" s="5">
        <f>SUM(B53:I53)</f>
        <v>2</v>
      </c>
      <c r="L53" s="5">
        <f>B53*Opportunities!P8+C53*Opportunities!P9+D53*Opportunities!P10+E53*Opportunities!P11+F53*Opportunities!P12+G53*Opportunities!P13+H53*Opportunities!P14+I53*Opportunities!P15</f>
        <v>-102845.38104494289</v>
      </c>
      <c r="M53" s="5">
        <f>IF(AND(J53&lt;=Assumptions!$B$6,K53&lt;=Assumptions!$B$7,B53*IF(Opportunities!S8="ELIGIBLE",0,1)+C53*IF(Opportunities!S9="ELIGIBLE",0,1)+D53*IF(Opportunities!S10="ELIGIBLE",0,1)+E53*IF(Opportunities!S11="ELIGIBLE",0,1)+F53*IF(Opportunities!S12="ELIGIBLE",0,1)+G53*IF(Opportunities!S13="ELIGIBLE",0,1)+H53*IF(Opportunities!S14="ELIGIBLE",0,1)+I53*IF(Opportunities!S15="ELIGIBLE",0,1)=0),1,0)</f>
        <v>0</v>
      </c>
      <c r="N53" s="5">
        <f>IF(M53=1,L53,-1E99)</f>
        <v>-1e+99</v>
      </c>
    </row>
    <row r="54">
      <c r="A54" s="12" t="n">
        <v>49</v>
      </c>
      <c r="B54" s="12" t="n">
        <v>1</v>
      </c>
      <c r="C54" s="12" t="n">
        <v>0</v>
      </c>
      <c r="D54" s="12" t="n">
        <v>0</v>
      </c>
      <c r="E54" s="12" t="n">
        <v>0</v>
      </c>
      <c r="F54" s="12" t="n">
        <v>1</v>
      </c>
      <c r="G54" s="12" t="n">
        <v>1</v>
      </c>
      <c r="H54" s="12" t="n">
        <v>0</v>
      </c>
      <c r="I54" s="12" t="n">
        <v>0</v>
      </c>
      <c r="J54" s="5">
        <f>B54*Opportunities!L8+C54*Opportunities!L9+D54*Opportunities!L10+E54*Opportunities!L11+F54*Opportunities!L12+G54*Opportunities!L13+H54*Opportunities!L14+I54*Opportunities!L15</f>
        <v>2811750.0</v>
      </c>
      <c r="K54" s="5">
        <f>SUM(B54:I54)</f>
        <v>3</v>
      </c>
      <c r="L54" s="5">
        <f>B54*Opportunities!P8+C54*Opportunities!P9+D54*Opportunities!P10+E54*Opportunities!P11+F54*Opportunities!P12+G54*Opportunities!P13+H54*Opportunities!P14+I54*Opportunities!P15</f>
        <v>-11948.864022496506</v>
      </c>
      <c r="M54" s="5">
        <f>IF(AND(J54&lt;=Assumptions!$B$6,K54&lt;=Assumptions!$B$7,B54*IF(Opportunities!S8="ELIGIBLE",0,1)+C54*IF(Opportunities!S9="ELIGIBLE",0,1)+D54*IF(Opportunities!S10="ELIGIBLE",0,1)+E54*IF(Opportunities!S11="ELIGIBLE",0,1)+F54*IF(Opportunities!S12="ELIGIBLE",0,1)+G54*IF(Opportunities!S13="ELIGIBLE",0,1)+H54*IF(Opportunities!S14="ELIGIBLE",0,1)+I54*IF(Opportunities!S15="ELIGIBLE",0,1)=0),1,0)</f>
        <v>0</v>
      </c>
      <c r="N54" s="5">
        <f>IF(M54=1,L54,-1E99)</f>
        <v>-1e+99</v>
      </c>
    </row>
    <row r="55">
      <c r="A55" s="12" t="n">
        <v>50</v>
      </c>
      <c r="B55" s="12" t="n">
        <v>0</v>
      </c>
      <c r="C55" s="12" t="n">
        <v>1</v>
      </c>
      <c r="D55" s="12" t="n">
        <v>0</v>
      </c>
      <c r="E55" s="12" t="n">
        <v>0</v>
      </c>
      <c r="F55" s="12" t="n">
        <v>1</v>
      </c>
      <c r="G55" s="12" t="n">
        <v>1</v>
      </c>
      <c r="H55" s="12" t="n">
        <v>0</v>
      </c>
      <c r="I55" s="12" t="n">
        <v>0</v>
      </c>
      <c r="J55" s="5">
        <f>B55*Opportunities!L8+C55*Opportunities!L9+D55*Opportunities!L10+E55*Opportunities!L11+F55*Opportunities!L12+G55*Opportunities!L13+H55*Opportunities!L14+I55*Opportunities!L15</f>
        <v>2527250.0</v>
      </c>
      <c r="K55" s="5">
        <f>SUM(B55:I55)</f>
        <v>3</v>
      </c>
      <c r="L55" s="5">
        <f>B55*Opportunities!P8+C55*Opportunities!P9+D55*Opportunities!P10+E55*Opportunities!P11+F55*Opportunities!P12+G55*Opportunities!P13+H55*Opportunities!P14+I55*Opportunities!P15</f>
        <v>-26716.978553514404</v>
      </c>
      <c r="M55" s="5">
        <f>IF(AND(J55&lt;=Assumptions!$B$6,K55&lt;=Assumptions!$B$7,B55*IF(Opportunities!S8="ELIGIBLE",0,1)+C55*IF(Opportunities!S9="ELIGIBLE",0,1)+D55*IF(Opportunities!S10="ELIGIBLE",0,1)+E55*IF(Opportunities!S11="ELIGIBLE",0,1)+F55*IF(Opportunities!S12="ELIGIBLE",0,1)+G55*IF(Opportunities!S13="ELIGIBLE",0,1)+H55*IF(Opportunities!S14="ELIGIBLE",0,1)+I55*IF(Opportunities!S15="ELIGIBLE",0,1)=0),1,0)</f>
        <v>0</v>
      </c>
      <c r="N55" s="5">
        <f>IF(M55=1,L55,-1E99)</f>
        <v>-1e+99</v>
      </c>
    </row>
    <row r="56">
      <c r="A56" s="12" t="n">
        <v>51</v>
      </c>
      <c r="B56" s="12" t="n">
        <v>1</v>
      </c>
      <c r="C56" s="12" t="n">
        <v>1</v>
      </c>
      <c r="D56" s="12" t="n">
        <v>0</v>
      </c>
      <c r="E56" s="12" t="n">
        <v>0</v>
      </c>
      <c r="F56" s="12" t="n">
        <v>1</v>
      </c>
      <c r="G56" s="12" t="n">
        <v>1</v>
      </c>
      <c r="H56" s="12" t="n">
        <v>0</v>
      </c>
      <c r="I56" s="12" t="n">
        <v>0</v>
      </c>
      <c r="J56" s="5">
        <f>B56*Opportunities!L8+C56*Opportunities!L9+D56*Opportunities!L10+E56*Opportunities!L11+F56*Opportunities!L12+G56*Opportunities!L13+H56*Opportunities!L14+I56*Opportunities!L15</f>
        <v>3396750.0</v>
      </c>
      <c r="K56" s="5">
        <f>SUM(B56:I56)</f>
        <v>4</v>
      </c>
      <c r="L56" s="5">
        <f>B56*Opportunities!P8+C56*Opportunities!P9+D56*Opportunities!P10+E56*Opportunities!P11+F56*Opportunities!P12+G56*Opportunities!P13+H56*Opportunities!P14+I56*Opportunities!P15</f>
        <v>64179.538468931976</v>
      </c>
      <c r="M56" s="5">
        <f>IF(AND(J56&lt;=Assumptions!$B$6,K56&lt;=Assumptions!$B$7,B56*IF(Opportunities!S8="ELIGIBLE",0,1)+C56*IF(Opportunities!S9="ELIGIBLE",0,1)+D56*IF(Opportunities!S10="ELIGIBLE",0,1)+E56*IF(Opportunities!S11="ELIGIBLE",0,1)+F56*IF(Opportunities!S12="ELIGIBLE",0,1)+G56*IF(Opportunities!S13="ELIGIBLE",0,1)+H56*IF(Opportunities!S14="ELIGIBLE",0,1)+I56*IF(Opportunities!S15="ELIGIBLE",0,1)=0),1,0)</f>
        <v>0</v>
      </c>
      <c r="N56" s="5">
        <f>IF(M56=1,L56,-1E99)</f>
        <v>-1e+99</v>
      </c>
    </row>
    <row r="57">
      <c r="A57" s="12" t="n">
        <v>52</v>
      </c>
      <c r="B57" s="12" t="n">
        <v>0</v>
      </c>
      <c r="C57" s="12" t="n">
        <v>0</v>
      </c>
      <c r="D57" s="12" t="n">
        <v>1</v>
      </c>
      <c r="E57" s="12" t="n">
        <v>0</v>
      </c>
      <c r="F57" s="12" t="n">
        <v>1</v>
      </c>
      <c r="G57" s="12" t="n">
        <v>1</v>
      </c>
      <c r="H57" s="12" t="n">
        <v>0</v>
      </c>
      <c r="I57" s="12" t="n">
        <v>0</v>
      </c>
      <c r="J57" s="5">
        <f>B57*Opportunities!L8+C57*Opportunities!L9+D57*Opportunities!L10+E57*Opportunities!L11+F57*Opportunities!L12+G57*Opportunities!L13+H57*Opportunities!L14+I57*Opportunities!L15</f>
        <v>3523250.0</v>
      </c>
      <c r="K57" s="5">
        <f>SUM(B57:I57)</f>
        <v>3</v>
      </c>
      <c r="L57" s="5">
        <f>B57*Opportunities!P8+C57*Opportunities!P9+D57*Opportunities!P10+E57*Opportunities!P11+F57*Opportunities!P12+G57*Opportunities!P13+H57*Opportunities!P14+I57*Opportunities!P15</f>
        <v>-48061.66587208258</v>
      </c>
      <c r="M57" s="5">
        <f>IF(AND(J57&lt;=Assumptions!$B$6,K57&lt;=Assumptions!$B$7,B57*IF(Opportunities!S8="ELIGIBLE",0,1)+C57*IF(Opportunities!S9="ELIGIBLE",0,1)+D57*IF(Opportunities!S10="ELIGIBLE",0,1)+E57*IF(Opportunities!S11="ELIGIBLE",0,1)+F57*IF(Opportunities!S12="ELIGIBLE",0,1)+G57*IF(Opportunities!S13="ELIGIBLE",0,1)+H57*IF(Opportunities!S14="ELIGIBLE",0,1)+I57*IF(Opportunities!S15="ELIGIBLE",0,1)=0),1,0)</f>
        <v>0</v>
      </c>
      <c r="N57" s="5">
        <f>IF(M57=1,L57,-1E99)</f>
        <v>-1e+99</v>
      </c>
    </row>
    <row r="58">
      <c r="A58" s="12" t="n">
        <v>53</v>
      </c>
      <c r="B58" s="12" t="n">
        <v>1</v>
      </c>
      <c r="C58" s="12" t="n">
        <v>0</v>
      </c>
      <c r="D58" s="12" t="n">
        <v>1</v>
      </c>
      <c r="E58" s="12" t="n">
        <v>0</v>
      </c>
      <c r="F58" s="12" t="n">
        <v>1</v>
      </c>
      <c r="G58" s="12" t="n">
        <v>1</v>
      </c>
      <c r="H58" s="12" t="n">
        <v>0</v>
      </c>
      <c r="I58" s="12" t="n">
        <v>0</v>
      </c>
      <c r="J58" s="5">
        <f>B58*Opportunities!L8+C58*Opportunities!L9+D58*Opportunities!L10+E58*Opportunities!L11+F58*Opportunities!L12+G58*Opportunities!L13+H58*Opportunities!L14+I58*Opportunities!L15</f>
        <v>4392750.0</v>
      </c>
      <c r="K58" s="5">
        <f>SUM(B58:I58)</f>
        <v>4</v>
      </c>
      <c r="L58" s="5">
        <f>B58*Opportunities!P8+C58*Opportunities!P9+D58*Opportunities!P10+E58*Opportunities!P11+F58*Opportunities!P12+G58*Opportunities!P13+H58*Opportunities!P14+I58*Opportunities!P15</f>
        <v>42834.8511503638</v>
      </c>
      <c r="M58" s="5">
        <f>IF(AND(J58&lt;=Assumptions!$B$6,K58&lt;=Assumptions!$B$7,B58*IF(Opportunities!S8="ELIGIBLE",0,1)+C58*IF(Opportunities!S9="ELIGIBLE",0,1)+D58*IF(Opportunities!S10="ELIGIBLE",0,1)+E58*IF(Opportunities!S11="ELIGIBLE",0,1)+F58*IF(Opportunities!S12="ELIGIBLE",0,1)+G58*IF(Opportunities!S13="ELIGIBLE",0,1)+H58*IF(Opportunities!S14="ELIGIBLE",0,1)+I58*IF(Opportunities!S15="ELIGIBLE",0,1)=0),1,0)</f>
        <v>0</v>
      </c>
      <c r="N58" s="5">
        <f>IF(M58=1,L58,-1E99)</f>
        <v>-1e+99</v>
      </c>
    </row>
    <row r="59">
      <c r="A59" s="12" t="n">
        <v>54</v>
      </c>
      <c r="B59" s="12" t="n">
        <v>0</v>
      </c>
      <c r="C59" s="12" t="n">
        <v>1</v>
      </c>
      <c r="D59" s="12" t="n">
        <v>1</v>
      </c>
      <c r="E59" s="12" t="n">
        <v>0</v>
      </c>
      <c r="F59" s="12" t="n">
        <v>1</v>
      </c>
      <c r="G59" s="12" t="n">
        <v>1</v>
      </c>
      <c r="H59" s="12" t="n">
        <v>0</v>
      </c>
      <c r="I59" s="12" t="n">
        <v>0</v>
      </c>
      <c r="J59" s="5">
        <f>B59*Opportunities!L8+C59*Opportunities!L9+D59*Opportunities!L10+E59*Opportunities!L11+F59*Opportunities!L12+G59*Opportunities!L13+H59*Opportunities!L14+I59*Opportunities!L15</f>
        <v>4108250.0</v>
      </c>
      <c r="K59" s="5">
        <f>SUM(B59:I59)</f>
        <v>4</v>
      </c>
      <c r="L59" s="5">
        <f>B59*Opportunities!P8+C59*Opportunities!P9+D59*Opportunities!P10+E59*Opportunities!P11+F59*Opportunities!P12+G59*Opportunities!P13+H59*Opportunities!P14+I59*Opportunities!P15</f>
        <v>28066.736619345902</v>
      </c>
      <c r="M59" s="5">
        <f>IF(AND(J59&lt;=Assumptions!$B$6,K59&lt;=Assumptions!$B$7,B59*IF(Opportunities!S8="ELIGIBLE",0,1)+C59*IF(Opportunities!S9="ELIGIBLE",0,1)+D59*IF(Opportunities!S10="ELIGIBLE",0,1)+E59*IF(Opportunities!S11="ELIGIBLE",0,1)+F59*IF(Opportunities!S12="ELIGIBLE",0,1)+G59*IF(Opportunities!S13="ELIGIBLE",0,1)+H59*IF(Opportunities!S14="ELIGIBLE",0,1)+I59*IF(Opportunities!S15="ELIGIBLE",0,1)=0),1,0)</f>
        <v>0</v>
      </c>
      <c r="N59" s="5">
        <f>IF(M59=1,L59,-1E99)</f>
        <v>-1e+99</v>
      </c>
    </row>
    <row r="60">
      <c r="A60" s="12" t="n">
        <v>55</v>
      </c>
      <c r="B60" s="12" t="n">
        <v>1</v>
      </c>
      <c r="C60" s="12" t="n">
        <v>1</v>
      </c>
      <c r="D60" s="12" t="n">
        <v>1</v>
      </c>
      <c r="E60" s="12" t="n">
        <v>0</v>
      </c>
      <c r="F60" s="12" t="n">
        <v>1</v>
      </c>
      <c r="G60" s="12" t="n">
        <v>1</v>
      </c>
      <c r="H60" s="12" t="n">
        <v>0</v>
      </c>
      <c r="I60" s="12" t="n">
        <v>0</v>
      </c>
      <c r="J60" s="5">
        <f>B60*Opportunities!L8+C60*Opportunities!L9+D60*Opportunities!L10+E60*Opportunities!L11+F60*Opportunities!L12+G60*Opportunities!L13+H60*Opportunities!L14+I60*Opportunities!L15</f>
        <v>4977750.0</v>
      </c>
      <c r="K60" s="5">
        <f>SUM(B60:I60)</f>
        <v>5</v>
      </c>
      <c r="L60" s="5">
        <f>B60*Opportunities!P8+C60*Opportunities!P9+D60*Opportunities!P10+E60*Opportunities!P11+F60*Opportunities!P12+G60*Opportunities!P13+H60*Opportunities!P14+I60*Opportunities!P15</f>
        <v>118963.25364179228</v>
      </c>
      <c r="M60" s="5">
        <f>IF(AND(J60&lt;=Assumptions!$B$6,K60&lt;=Assumptions!$B$7,B60*IF(Opportunities!S8="ELIGIBLE",0,1)+C60*IF(Opportunities!S9="ELIGIBLE",0,1)+D60*IF(Opportunities!S10="ELIGIBLE",0,1)+E60*IF(Opportunities!S11="ELIGIBLE",0,1)+F60*IF(Opportunities!S12="ELIGIBLE",0,1)+G60*IF(Opportunities!S13="ELIGIBLE",0,1)+H60*IF(Opportunities!S14="ELIGIBLE",0,1)+I60*IF(Opportunities!S15="ELIGIBLE",0,1)=0),1,0)</f>
        <v>0</v>
      </c>
      <c r="N60" s="5">
        <f>IF(M60=1,L60,-1E99)</f>
        <v>-1e+99</v>
      </c>
    </row>
    <row r="61">
      <c r="A61" s="12" t="n">
        <v>56</v>
      </c>
      <c r="B61" s="12" t="n">
        <v>0</v>
      </c>
      <c r="C61" s="12" t="n">
        <v>0</v>
      </c>
      <c r="D61" s="12" t="n">
        <v>0</v>
      </c>
      <c r="E61" s="12" t="n">
        <v>1</v>
      </c>
      <c r="F61" s="12" t="n">
        <v>1</v>
      </c>
      <c r="G61" s="12" t="n">
        <v>1</v>
      </c>
      <c r="H61" s="12" t="n">
        <v>0</v>
      </c>
      <c r="I61" s="12" t="n">
        <v>0</v>
      </c>
      <c r="J61" s="5">
        <f>B61*Opportunities!L8+C61*Opportunities!L9+D61*Opportunities!L10+E61*Opportunities!L11+F61*Opportunities!L12+G61*Opportunities!L13+H61*Opportunities!L14+I61*Opportunities!L15</f>
        <v>2274500.0</v>
      </c>
      <c r="K61" s="5">
        <f>SUM(B61:I61)</f>
        <v>3</v>
      </c>
      <c r="L61" s="5">
        <f>B61*Opportunities!P8+C61*Opportunities!P9+D61*Opportunities!P10+E61*Opportunities!P11+F61*Opportunities!P12+G61*Opportunities!P13+H61*Opportunities!P14+I61*Opportunities!P15</f>
        <v>-80957.25827198039</v>
      </c>
      <c r="M61" s="5">
        <f>IF(AND(J61&lt;=Assumptions!$B$6,K61&lt;=Assumptions!$B$7,B61*IF(Opportunities!S8="ELIGIBLE",0,1)+C61*IF(Opportunities!S9="ELIGIBLE",0,1)+D61*IF(Opportunities!S10="ELIGIBLE",0,1)+E61*IF(Opportunities!S11="ELIGIBLE",0,1)+F61*IF(Opportunities!S12="ELIGIBLE",0,1)+G61*IF(Opportunities!S13="ELIGIBLE",0,1)+H61*IF(Opportunities!S14="ELIGIBLE",0,1)+I61*IF(Opportunities!S15="ELIGIBLE",0,1)=0),1,0)</f>
        <v>0</v>
      </c>
      <c r="N61" s="5">
        <f>IF(M61=1,L61,-1E99)</f>
        <v>-1e+99</v>
      </c>
    </row>
    <row r="62">
      <c r="A62" s="12" t="n">
        <v>57</v>
      </c>
      <c r="B62" s="12" t="n">
        <v>1</v>
      </c>
      <c r="C62" s="12" t="n">
        <v>0</v>
      </c>
      <c r="D62" s="12" t="n">
        <v>0</v>
      </c>
      <c r="E62" s="12" t="n">
        <v>1</v>
      </c>
      <c r="F62" s="12" t="n">
        <v>1</v>
      </c>
      <c r="G62" s="12" t="n">
        <v>1</v>
      </c>
      <c r="H62" s="12" t="n">
        <v>0</v>
      </c>
      <c r="I62" s="12" t="n">
        <v>0</v>
      </c>
      <c r="J62" s="5">
        <f>B62*Opportunities!L8+C62*Opportunities!L9+D62*Opportunities!L10+E62*Opportunities!L11+F62*Opportunities!L12+G62*Opportunities!L13+H62*Opportunities!L14+I62*Opportunities!L15</f>
        <v>3144000.0</v>
      </c>
      <c r="K62" s="5">
        <f>SUM(B62:I62)</f>
        <v>4</v>
      </c>
      <c r="L62" s="5">
        <f>B62*Opportunities!P8+C62*Opportunities!P9+D62*Opportunities!P10+E62*Opportunities!P11+F62*Opportunities!P12+G62*Opportunities!P13+H62*Opportunities!P14+I62*Opportunities!P15</f>
        <v>9939.25875046599</v>
      </c>
      <c r="M62" s="5">
        <f>IF(AND(J62&lt;=Assumptions!$B$6,K62&lt;=Assumptions!$B$7,B62*IF(Opportunities!S8="ELIGIBLE",0,1)+C62*IF(Opportunities!S9="ELIGIBLE",0,1)+D62*IF(Opportunities!S10="ELIGIBLE",0,1)+E62*IF(Opportunities!S11="ELIGIBLE",0,1)+F62*IF(Opportunities!S12="ELIGIBLE",0,1)+G62*IF(Opportunities!S13="ELIGIBLE",0,1)+H62*IF(Opportunities!S14="ELIGIBLE",0,1)+I62*IF(Opportunities!S15="ELIGIBLE",0,1)=0),1,0)</f>
        <v>0</v>
      </c>
      <c r="N62" s="5">
        <f>IF(M62=1,L62,-1E99)</f>
        <v>-1e+99</v>
      </c>
    </row>
    <row r="63">
      <c r="A63" s="12" t="n">
        <v>58</v>
      </c>
      <c r="B63" s="12" t="n">
        <v>0</v>
      </c>
      <c r="C63" s="12" t="n">
        <v>1</v>
      </c>
      <c r="D63" s="12" t="n">
        <v>0</v>
      </c>
      <c r="E63" s="12" t="n">
        <v>1</v>
      </c>
      <c r="F63" s="12" t="n">
        <v>1</v>
      </c>
      <c r="G63" s="12" t="n">
        <v>1</v>
      </c>
      <c r="H63" s="12" t="n">
        <v>0</v>
      </c>
      <c r="I63" s="12" t="n">
        <v>0</v>
      </c>
      <c r="J63" s="5">
        <f>B63*Opportunities!L8+C63*Opportunities!L9+D63*Opportunities!L10+E63*Opportunities!L11+F63*Opportunities!L12+G63*Opportunities!L13+H63*Opportunities!L14+I63*Opportunities!L15</f>
        <v>2859500.0</v>
      </c>
      <c r="K63" s="5">
        <f>SUM(B63:I63)</f>
        <v>4</v>
      </c>
      <c r="L63" s="5">
        <f>B63*Opportunities!P8+C63*Opportunities!P9+D63*Opportunities!P10+E63*Opportunities!P11+F63*Opportunities!P12+G63*Opportunities!P13+H63*Opportunities!P14+I63*Opportunities!P15</f>
        <v>-4828.8557805519085</v>
      </c>
      <c r="M63" s="5">
        <f>IF(AND(J63&lt;=Assumptions!$B$6,K63&lt;=Assumptions!$B$7,B63*IF(Opportunities!S8="ELIGIBLE",0,1)+C63*IF(Opportunities!S9="ELIGIBLE",0,1)+D63*IF(Opportunities!S10="ELIGIBLE",0,1)+E63*IF(Opportunities!S11="ELIGIBLE",0,1)+F63*IF(Opportunities!S12="ELIGIBLE",0,1)+G63*IF(Opportunities!S13="ELIGIBLE",0,1)+H63*IF(Opportunities!S14="ELIGIBLE",0,1)+I63*IF(Opportunities!S15="ELIGIBLE",0,1)=0),1,0)</f>
        <v>0</v>
      </c>
      <c r="N63" s="5">
        <f>IF(M63=1,L63,-1E99)</f>
        <v>-1e+99</v>
      </c>
    </row>
    <row r="64">
      <c r="A64" s="12" t="n">
        <v>59</v>
      </c>
      <c r="B64" s="12" t="n">
        <v>1</v>
      </c>
      <c r="C64" s="12" t="n">
        <v>1</v>
      </c>
      <c r="D64" s="12" t="n">
        <v>0</v>
      </c>
      <c r="E64" s="12" t="n">
        <v>1</v>
      </c>
      <c r="F64" s="12" t="n">
        <v>1</v>
      </c>
      <c r="G64" s="12" t="n">
        <v>1</v>
      </c>
      <c r="H64" s="12" t="n">
        <v>0</v>
      </c>
      <c r="I64" s="12" t="n">
        <v>0</v>
      </c>
      <c r="J64" s="5">
        <f>B64*Opportunities!L8+C64*Opportunities!L9+D64*Opportunities!L10+E64*Opportunities!L11+F64*Opportunities!L12+G64*Opportunities!L13+H64*Opportunities!L14+I64*Opportunities!L15</f>
        <v>3729000.0</v>
      </c>
      <c r="K64" s="5">
        <f>SUM(B64:I64)</f>
        <v>5</v>
      </c>
      <c r="L64" s="5">
        <f>B64*Opportunities!P8+C64*Opportunities!P9+D64*Opportunities!P10+E64*Opportunities!P11+F64*Opportunities!P12+G64*Opportunities!P13+H64*Opportunities!P14+I64*Opportunities!P15</f>
        <v>86067.66124189447</v>
      </c>
      <c r="M64" s="5">
        <f>IF(AND(J64&lt;=Assumptions!$B$6,K64&lt;=Assumptions!$B$7,B64*IF(Opportunities!S8="ELIGIBLE",0,1)+C64*IF(Opportunities!S9="ELIGIBLE",0,1)+D64*IF(Opportunities!S10="ELIGIBLE",0,1)+E64*IF(Opportunities!S11="ELIGIBLE",0,1)+F64*IF(Opportunities!S12="ELIGIBLE",0,1)+G64*IF(Opportunities!S13="ELIGIBLE",0,1)+H64*IF(Opportunities!S14="ELIGIBLE",0,1)+I64*IF(Opportunities!S15="ELIGIBLE",0,1)=0),1,0)</f>
        <v>0</v>
      </c>
      <c r="N64" s="5">
        <f>IF(M64=1,L64,-1E99)</f>
        <v>-1e+99</v>
      </c>
    </row>
    <row r="65">
      <c r="A65" s="12" t="n">
        <v>60</v>
      </c>
      <c r="B65" s="12" t="n">
        <v>0</v>
      </c>
      <c r="C65" s="12" t="n">
        <v>0</v>
      </c>
      <c r="D65" s="12" t="n">
        <v>1</v>
      </c>
      <c r="E65" s="12" t="n">
        <v>1</v>
      </c>
      <c r="F65" s="12" t="n">
        <v>1</v>
      </c>
      <c r="G65" s="12" t="n">
        <v>1</v>
      </c>
      <c r="H65" s="12" t="n">
        <v>0</v>
      </c>
      <c r="I65" s="12" t="n">
        <v>0</v>
      </c>
      <c r="J65" s="5">
        <f>B65*Opportunities!L8+C65*Opportunities!L9+D65*Opportunities!L10+E65*Opportunities!L11+F65*Opportunities!L12+G65*Opportunities!L13+H65*Opportunities!L14+I65*Opportunities!L15</f>
        <v>3855500.0</v>
      </c>
      <c r="K65" s="5">
        <f>SUM(B65:I65)</f>
        <v>4</v>
      </c>
      <c r="L65" s="5">
        <f>B65*Opportunities!P8+C65*Opportunities!P9+D65*Opportunities!P10+E65*Opportunities!P11+F65*Opportunities!P12+G65*Opportunities!P13+H65*Opportunities!P14+I65*Opportunities!P15</f>
        <v>-26173.543099120085</v>
      </c>
      <c r="M65" s="5">
        <f>IF(AND(J65&lt;=Assumptions!$B$6,K65&lt;=Assumptions!$B$7,B65*IF(Opportunities!S8="ELIGIBLE",0,1)+C65*IF(Opportunities!S9="ELIGIBLE",0,1)+D65*IF(Opportunities!S10="ELIGIBLE",0,1)+E65*IF(Opportunities!S11="ELIGIBLE",0,1)+F65*IF(Opportunities!S12="ELIGIBLE",0,1)+G65*IF(Opportunities!S13="ELIGIBLE",0,1)+H65*IF(Opportunities!S14="ELIGIBLE",0,1)+I65*IF(Opportunities!S15="ELIGIBLE",0,1)=0),1,0)</f>
        <v>0</v>
      </c>
      <c r="N65" s="5">
        <f>IF(M65=1,L65,-1E99)</f>
        <v>-1e+99</v>
      </c>
    </row>
    <row r="66">
      <c r="A66" s="12" t="n">
        <v>61</v>
      </c>
      <c r="B66" s="12" t="n">
        <v>1</v>
      </c>
      <c r="C66" s="12" t="n">
        <v>0</v>
      </c>
      <c r="D66" s="12" t="n">
        <v>1</v>
      </c>
      <c r="E66" s="12" t="n">
        <v>1</v>
      </c>
      <c r="F66" s="12" t="n">
        <v>1</v>
      </c>
      <c r="G66" s="12" t="n">
        <v>1</v>
      </c>
      <c r="H66" s="12" t="n">
        <v>0</v>
      </c>
      <c r="I66" s="12" t="n">
        <v>0</v>
      </c>
      <c r="J66" s="5">
        <f>B66*Opportunities!L8+C66*Opportunities!L9+D66*Opportunities!L10+E66*Opportunities!L11+F66*Opportunities!L12+G66*Opportunities!L13+H66*Opportunities!L14+I66*Opportunities!L15</f>
        <v>4725000.0</v>
      </c>
      <c r="K66" s="5">
        <f>SUM(B66:I66)</f>
        <v>5</v>
      </c>
      <c r="L66" s="5">
        <f>B66*Opportunities!P8+C66*Opportunities!P9+D66*Opportunities!P10+E66*Opportunities!P11+F66*Opportunities!P12+G66*Opportunities!P13+H66*Opportunities!P14+I66*Opportunities!P15</f>
        <v>64722.973923326295</v>
      </c>
      <c r="M66" s="5">
        <f>IF(AND(J66&lt;=Assumptions!$B$6,K66&lt;=Assumptions!$B$7,B66*IF(Opportunities!S8="ELIGIBLE",0,1)+C66*IF(Opportunities!S9="ELIGIBLE",0,1)+D66*IF(Opportunities!S10="ELIGIBLE",0,1)+E66*IF(Opportunities!S11="ELIGIBLE",0,1)+F66*IF(Opportunities!S12="ELIGIBLE",0,1)+G66*IF(Opportunities!S13="ELIGIBLE",0,1)+H66*IF(Opportunities!S14="ELIGIBLE",0,1)+I66*IF(Opportunities!S15="ELIGIBLE",0,1)=0),1,0)</f>
        <v>0</v>
      </c>
      <c r="N66" s="5">
        <f>IF(M66=1,L66,-1E99)</f>
        <v>-1e+99</v>
      </c>
    </row>
    <row r="67">
      <c r="A67" s="12" t="n">
        <v>62</v>
      </c>
      <c r="B67" s="12" t="n">
        <v>0</v>
      </c>
      <c r="C67" s="12" t="n">
        <v>1</v>
      </c>
      <c r="D67" s="12" t="n">
        <v>1</v>
      </c>
      <c r="E67" s="12" t="n">
        <v>1</v>
      </c>
      <c r="F67" s="12" t="n">
        <v>1</v>
      </c>
      <c r="G67" s="12" t="n">
        <v>1</v>
      </c>
      <c r="H67" s="12" t="n">
        <v>0</v>
      </c>
      <c r="I67" s="12" t="n">
        <v>0</v>
      </c>
      <c r="J67" s="5">
        <f>B67*Opportunities!L8+C67*Opportunities!L9+D67*Opportunities!L10+E67*Opportunities!L11+F67*Opportunities!L12+G67*Opportunities!L13+H67*Opportunities!L14+I67*Opportunities!L15</f>
        <v>4440500.0</v>
      </c>
      <c r="K67" s="5">
        <f>SUM(B67:I67)</f>
        <v>5</v>
      </c>
      <c r="L67" s="5">
        <f>B67*Opportunities!P8+C67*Opportunities!P9+D67*Opportunities!P10+E67*Opportunities!P11+F67*Opportunities!P12+G67*Opportunities!P13+H67*Opportunities!P14+I67*Opportunities!P15</f>
        <v>49954.8593923084</v>
      </c>
      <c r="M67" s="5">
        <f>IF(AND(J67&lt;=Assumptions!$B$6,K67&lt;=Assumptions!$B$7,B67*IF(Opportunities!S8="ELIGIBLE",0,1)+C67*IF(Opportunities!S9="ELIGIBLE",0,1)+D67*IF(Opportunities!S10="ELIGIBLE",0,1)+E67*IF(Opportunities!S11="ELIGIBLE",0,1)+F67*IF(Opportunities!S12="ELIGIBLE",0,1)+G67*IF(Opportunities!S13="ELIGIBLE",0,1)+H67*IF(Opportunities!S14="ELIGIBLE",0,1)+I67*IF(Opportunities!S15="ELIGIBLE",0,1)=0),1,0)</f>
        <v>0</v>
      </c>
      <c r="N67" s="5">
        <f>IF(M67=1,L67,-1E99)</f>
        <v>-1e+99</v>
      </c>
    </row>
    <row r="68">
      <c r="A68" s="12" t="n">
        <v>63</v>
      </c>
      <c r="B68" s="12" t="n">
        <v>1</v>
      </c>
      <c r="C68" s="12" t="n">
        <v>1</v>
      </c>
      <c r="D68" s="12" t="n">
        <v>1</v>
      </c>
      <c r="E68" s="12" t="n">
        <v>1</v>
      </c>
      <c r="F68" s="12" t="n">
        <v>1</v>
      </c>
      <c r="G68" s="12" t="n">
        <v>1</v>
      </c>
      <c r="H68" s="12" t="n">
        <v>0</v>
      </c>
      <c r="I68" s="12" t="n">
        <v>0</v>
      </c>
      <c r="J68" s="5">
        <f>B68*Opportunities!L8+C68*Opportunities!L9+D68*Opportunities!L10+E68*Opportunities!L11+F68*Opportunities!L12+G68*Opportunities!L13+H68*Opportunities!L14+I68*Opportunities!L15</f>
        <v>5310000.0</v>
      </c>
      <c r="K68" s="5">
        <f>SUM(B68:I68)</f>
        <v>6</v>
      </c>
      <c r="L68" s="5">
        <f>B68*Opportunities!P8+C68*Opportunities!P9+D68*Opportunities!P10+E68*Opportunities!P11+F68*Opportunities!P12+G68*Opportunities!P13+H68*Opportunities!P14+I68*Opportunities!P15</f>
        <v>140851.37641475478</v>
      </c>
      <c r="M68" s="5">
        <f>IF(AND(J68&lt;=Assumptions!$B$6,K68&lt;=Assumptions!$B$7,B68*IF(Opportunities!S8="ELIGIBLE",0,1)+C68*IF(Opportunities!S9="ELIGIBLE",0,1)+D68*IF(Opportunities!S10="ELIGIBLE",0,1)+E68*IF(Opportunities!S11="ELIGIBLE",0,1)+F68*IF(Opportunities!S12="ELIGIBLE",0,1)+G68*IF(Opportunities!S13="ELIGIBLE",0,1)+H68*IF(Opportunities!S14="ELIGIBLE",0,1)+I68*IF(Opportunities!S15="ELIGIBLE",0,1)=0),1,0)</f>
        <v>0</v>
      </c>
      <c r="N68" s="5">
        <f>IF(M68=1,L68,-1E99)</f>
        <v>-1e+99</v>
      </c>
    </row>
    <row r="69">
      <c r="A69" s="12" t="n">
        <v>64</v>
      </c>
      <c r="B69" s="12" t="n">
        <v>0</v>
      </c>
      <c r="C69" s="12" t="n">
        <v>0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1</v>
      </c>
      <c r="I69" s="12" t="n">
        <v>0</v>
      </c>
      <c r="J69" s="5">
        <f>B69*Opportunities!L8+C69*Opportunities!L9+D69*Opportunities!L10+E69*Opportunities!L11+F69*Opportunities!L12+G69*Opportunities!L13+H69*Opportunities!L14+I69*Opportunities!L15</f>
        <v>0</v>
      </c>
      <c r="K69" s="5">
        <f>SUM(B69:I69)</f>
        <v>1</v>
      </c>
      <c r="L69" s="5">
        <f>B69*Opportunities!P8+C69*Opportunities!P9+D69*Opportunities!P10+E69*Opportunities!P11+F69*Opportunities!P12+G69*Opportunities!P13+H69*Opportunities!P14+I69*Opportunities!P15</f>
        <v>0.0</v>
      </c>
      <c r="M69" s="5">
        <f>IF(AND(J69&lt;=Assumptions!$B$6,K69&lt;=Assumptions!$B$7,B69*IF(Opportunities!S8="ELIGIBLE",0,1)+C69*IF(Opportunities!S9="ELIGIBLE",0,1)+D69*IF(Opportunities!S10="ELIGIBLE",0,1)+E69*IF(Opportunities!S11="ELIGIBLE",0,1)+F69*IF(Opportunities!S12="ELIGIBLE",0,1)+G69*IF(Opportunities!S13="ELIGIBLE",0,1)+H69*IF(Opportunities!S14="ELIGIBLE",0,1)+I69*IF(Opportunities!S15="ELIGIBLE",0,1)=0),1,0)</f>
        <v>0</v>
      </c>
      <c r="N69" s="5">
        <f>IF(M69=1,L69,-1E99)</f>
        <v>-1e+99</v>
      </c>
    </row>
    <row r="70">
      <c r="A70" s="12" t="n">
        <v>65</v>
      </c>
      <c r="B70" s="12" t="n">
        <v>1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1</v>
      </c>
      <c r="I70" s="12" t="n">
        <v>0</v>
      </c>
      <c r="J70" s="5">
        <f>B70*Opportunities!L8+C70*Opportunities!L9+D70*Opportunities!L10+E70*Opportunities!L11+F70*Opportunities!L12+G70*Opportunities!L13+H70*Opportunities!L14+I70*Opportunities!L15</f>
        <v>869500.0000000001</v>
      </c>
      <c r="K70" s="5">
        <f>SUM(B70:I70)</f>
        <v>2</v>
      </c>
      <c r="L70" s="5">
        <f>B70*Opportunities!P8+C70*Opportunities!P9+D70*Opportunities!P10+E70*Opportunities!P11+F70*Opportunities!P12+G70*Opportunities!P13+H70*Opportunities!P14+I70*Opportunities!P15</f>
        <v>90896.51702244638</v>
      </c>
      <c r="M70" s="5">
        <f>IF(AND(J70&lt;=Assumptions!$B$6,K70&lt;=Assumptions!$B$7,B70*IF(Opportunities!S8="ELIGIBLE",0,1)+C70*IF(Opportunities!S9="ELIGIBLE",0,1)+D70*IF(Opportunities!S10="ELIGIBLE",0,1)+E70*IF(Opportunities!S11="ELIGIBLE",0,1)+F70*IF(Opportunities!S12="ELIGIBLE",0,1)+G70*IF(Opportunities!S13="ELIGIBLE",0,1)+H70*IF(Opportunities!S14="ELIGIBLE",0,1)+I70*IF(Opportunities!S15="ELIGIBLE",0,1)=0),1,0)</f>
        <v>0</v>
      </c>
      <c r="N70" s="5">
        <f>IF(M70=1,L70,-1E99)</f>
        <v>-1e+99</v>
      </c>
    </row>
    <row r="71">
      <c r="A71" s="12" t="n">
        <v>66</v>
      </c>
      <c r="B71" s="12" t="n">
        <v>0</v>
      </c>
      <c r="C71" s="12" t="n">
        <v>1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1</v>
      </c>
      <c r="I71" s="12" t="n">
        <v>0</v>
      </c>
      <c r="J71" s="5">
        <f>B71*Opportunities!L8+C71*Opportunities!L9+D71*Opportunities!L10+E71*Opportunities!L11+F71*Opportunities!L12+G71*Opportunities!L13+H71*Opportunities!L14+I71*Opportunities!L15</f>
        <v>585000.0</v>
      </c>
      <c r="K71" s="5">
        <f>SUM(B71:I71)</f>
        <v>2</v>
      </c>
      <c r="L71" s="5">
        <f>B71*Opportunities!P8+C71*Opportunities!P9+D71*Opportunities!P10+E71*Opportunities!P11+F71*Opportunities!P12+G71*Opportunities!P13+H71*Opportunities!P14+I71*Opportunities!P15</f>
        <v>76128.40249142848</v>
      </c>
      <c r="M71" s="5">
        <f>IF(AND(J71&lt;=Assumptions!$B$6,K71&lt;=Assumptions!$B$7,B71*IF(Opportunities!S8="ELIGIBLE",0,1)+C71*IF(Opportunities!S9="ELIGIBLE",0,1)+D71*IF(Opportunities!S10="ELIGIBLE",0,1)+E71*IF(Opportunities!S11="ELIGIBLE",0,1)+F71*IF(Opportunities!S12="ELIGIBLE",0,1)+G71*IF(Opportunities!S13="ELIGIBLE",0,1)+H71*IF(Opportunities!S14="ELIGIBLE",0,1)+I71*IF(Opportunities!S15="ELIGIBLE",0,1)=0),1,0)</f>
        <v>0</v>
      </c>
      <c r="N71" s="5">
        <f>IF(M71=1,L71,-1E99)</f>
        <v>-1e+99</v>
      </c>
    </row>
    <row r="72">
      <c r="A72" s="12" t="n">
        <v>67</v>
      </c>
      <c r="B72" s="12" t="n">
        <v>1</v>
      </c>
      <c r="C72" s="12" t="n">
        <v>1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1</v>
      </c>
      <c r="I72" s="12" t="n">
        <v>0</v>
      </c>
      <c r="J72" s="5">
        <f>B72*Opportunities!L8+C72*Opportunities!L9+D72*Opportunities!L10+E72*Opportunities!L11+F72*Opportunities!L12+G72*Opportunities!L13+H72*Opportunities!L14+I72*Opportunities!L15</f>
        <v>1454500.0</v>
      </c>
      <c r="K72" s="5">
        <f>SUM(B72:I72)</f>
        <v>3</v>
      </c>
      <c r="L72" s="5">
        <f>B72*Opportunities!P8+C72*Opportunities!P9+D72*Opportunities!P10+E72*Opportunities!P11+F72*Opportunities!P12+G72*Opportunities!P13+H72*Opportunities!P14+I72*Opportunities!P15</f>
        <v>167024.91951387486</v>
      </c>
      <c r="M72" s="5">
        <f>IF(AND(J72&lt;=Assumptions!$B$6,K72&lt;=Assumptions!$B$7,B72*IF(Opportunities!S8="ELIGIBLE",0,1)+C72*IF(Opportunities!S9="ELIGIBLE",0,1)+D72*IF(Opportunities!S10="ELIGIBLE",0,1)+E72*IF(Opportunities!S11="ELIGIBLE",0,1)+F72*IF(Opportunities!S12="ELIGIBLE",0,1)+G72*IF(Opportunities!S13="ELIGIBLE",0,1)+H72*IF(Opportunities!S14="ELIGIBLE",0,1)+I72*IF(Opportunities!S15="ELIGIBLE",0,1)=0),1,0)</f>
        <v>0</v>
      </c>
      <c r="N72" s="5">
        <f>IF(M72=1,L72,-1E99)</f>
        <v>-1e+99</v>
      </c>
    </row>
    <row r="73">
      <c r="A73" s="12" t="n">
        <v>68</v>
      </c>
      <c r="B73" s="12" t="n">
        <v>0</v>
      </c>
      <c r="C73" s="12" t="n">
        <v>0</v>
      </c>
      <c r="D73" s="12" t="n">
        <v>1</v>
      </c>
      <c r="E73" s="12" t="n">
        <v>0</v>
      </c>
      <c r="F73" s="12" t="n">
        <v>0</v>
      </c>
      <c r="G73" s="12" t="n">
        <v>0</v>
      </c>
      <c r="H73" s="12" t="n">
        <v>1</v>
      </c>
      <c r="I73" s="12" t="n">
        <v>0</v>
      </c>
      <c r="J73" s="5">
        <f>B73*Opportunities!L8+C73*Opportunities!L9+D73*Opportunities!L10+E73*Opportunities!L11+F73*Opportunities!L12+G73*Opportunities!L13+H73*Opportunities!L14+I73*Opportunities!L15</f>
        <v>1581000.0</v>
      </c>
      <c r="K73" s="5">
        <f>SUM(B73:I73)</f>
        <v>2</v>
      </c>
      <c r="L73" s="5">
        <f>B73*Opportunities!P8+C73*Opportunities!P9+D73*Opportunities!P10+E73*Opportunities!P11+F73*Opportunities!P12+G73*Opportunities!P13+H73*Opportunities!P14+I73*Opportunities!P15</f>
        <v>54783.715172860306</v>
      </c>
      <c r="M73" s="5">
        <f>IF(AND(J73&lt;=Assumptions!$B$6,K73&lt;=Assumptions!$B$7,B73*IF(Opportunities!S8="ELIGIBLE",0,1)+C73*IF(Opportunities!S9="ELIGIBLE",0,1)+D73*IF(Opportunities!S10="ELIGIBLE",0,1)+E73*IF(Opportunities!S11="ELIGIBLE",0,1)+F73*IF(Opportunities!S12="ELIGIBLE",0,1)+G73*IF(Opportunities!S13="ELIGIBLE",0,1)+H73*IF(Opportunities!S14="ELIGIBLE",0,1)+I73*IF(Opportunities!S15="ELIGIBLE",0,1)=0),1,0)</f>
        <v>0</v>
      </c>
      <c r="N73" s="5">
        <f>IF(M73=1,L73,-1E99)</f>
        <v>-1e+99</v>
      </c>
    </row>
    <row r="74">
      <c r="A74" s="12" t="n">
        <v>69</v>
      </c>
      <c r="B74" s="12" t="n">
        <v>1</v>
      </c>
      <c r="C74" s="12" t="n">
        <v>0</v>
      </c>
      <c r="D74" s="12" t="n">
        <v>1</v>
      </c>
      <c r="E74" s="12" t="n">
        <v>0</v>
      </c>
      <c r="F74" s="12" t="n">
        <v>0</v>
      </c>
      <c r="G74" s="12" t="n">
        <v>0</v>
      </c>
      <c r="H74" s="12" t="n">
        <v>1</v>
      </c>
      <c r="I74" s="12" t="n">
        <v>0</v>
      </c>
      <c r="J74" s="5">
        <f>B74*Opportunities!L8+C74*Opportunities!L9+D74*Opportunities!L10+E74*Opportunities!L11+F74*Opportunities!L12+G74*Opportunities!L13+H74*Opportunities!L14+I74*Opportunities!L15</f>
        <v>2450500.0</v>
      </c>
      <c r="K74" s="5">
        <f>SUM(B74:I74)</f>
        <v>3</v>
      </c>
      <c r="L74" s="5">
        <f>B74*Opportunities!P8+C74*Opportunities!P9+D74*Opportunities!P10+E74*Opportunities!P11+F74*Opportunities!P12+G74*Opportunities!P13+H74*Opportunities!P14+I74*Opportunities!P15</f>
        <v>145680.2321953067</v>
      </c>
      <c r="M74" s="5">
        <f>IF(AND(J74&lt;=Assumptions!$B$6,K74&lt;=Assumptions!$B$7,B74*IF(Opportunities!S8="ELIGIBLE",0,1)+C74*IF(Opportunities!S9="ELIGIBLE",0,1)+D74*IF(Opportunities!S10="ELIGIBLE",0,1)+E74*IF(Opportunities!S11="ELIGIBLE",0,1)+F74*IF(Opportunities!S12="ELIGIBLE",0,1)+G74*IF(Opportunities!S13="ELIGIBLE",0,1)+H74*IF(Opportunities!S14="ELIGIBLE",0,1)+I74*IF(Opportunities!S15="ELIGIBLE",0,1)=0),1,0)</f>
        <v>0</v>
      </c>
      <c r="N74" s="5">
        <f>IF(M74=1,L74,-1E99)</f>
        <v>-1e+99</v>
      </c>
    </row>
    <row r="75">
      <c r="A75" s="12" t="n">
        <v>70</v>
      </c>
      <c r="B75" s="12" t="n">
        <v>0</v>
      </c>
      <c r="C75" s="12" t="n">
        <v>1</v>
      </c>
      <c r="D75" s="12" t="n">
        <v>1</v>
      </c>
      <c r="E75" s="12" t="n">
        <v>0</v>
      </c>
      <c r="F75" s="12" t="n">
        <v>0</v>
      </c>
      <c r="G75" s="12" t="n">
        <v>0</v>
      </c>
      <c r="H75" s="12" t="n">
        <v>1</v>
      </c>
      <c r="I75" s="12" t="n">
        <v>0</v>
      </c>
      <c r="J75" s="5">
        <f>B75*Opportunities!L8+C75*Opportunities!L9+D75*Opportunities!L10+E75*Opportunities!L11+F75*Opportunities!L12+G75*Opportunities!L13+H75*Opportunities!L14+I75*Opportunities!L15</f>
        <v>2166000.0</v>
      </c>
      <c r="K75" s="5">
        <f>SUM(B75:I75)</f>
        <v>3</v>
      </c>
      <c r="L75" s="5">
        <f>B75*Opportunities!P8+C75*Opportunities!P9+D75*Opportunities!P10+E75*Opportunities!P11+F75*Opportunities!P12+G75*Opportunities!P13+H75*Opportunities!P14+I75*Opportunities!P15</f>
        <v>130912.11766428879</v>
      </c>
      <c r="M75" s="5">
        <f>IF(AND(J75&lt;=Assumptions!$B$6,K75&lt;=Assumptions!$B$7,B75*IF(Opportunities!S8="ELIGIBLE",0,1)+C75*IF(Opportunities!S9="ELIGIBLE",0,1)+D75*IF(Opportunities!S10="ELIGIBLE",0,1)+E75*IF(Opportunities!S11="ELIGIBLE",0,1)+F75*IF(Opportunities!S12="ELIGIBLE",0,1)+G75*IF(Opportunities!S13="ELIGIBLE",0,1)+H75*IF(Opportunities!S14="ELIGIBLE",0,1)+I75*IF(Opportunities!S15="ELIGIBLE",0,1)=0),1,0)</f>
        <v>0</v>
      </c>
      <c r="N75" s="5">
        <f>IF(M75=1,L75,-1E99)</f>
        <v>-1e+99</v>
      </c>
    </row>
    <row r="76">
      <c r="A76" s="12" t="n">
        <v>71</v>
      </c>
      <c r="B76" s="12" t="n">
        <v>1</v>
      </c>
      <c r="C76" s="12" t="n">
        <v>1</v>
      </c>
      <c r="D76" s="12" t="n">
        <v>1</v>
      </c>
      <c r="E76" s="12" t="n">
        <v>0</v>
      </c>
      <c r="F76" s="12" t="n">
        <v>0</v>
      </c>
      <c r="G76" s="12" t="n">
        <v>0</v>
      </c>
      <c r="H76" s="12" t="n">
        <v>1</v>
      </c>
      <c r="I76" s="12" t="n">
        <v>0</v>
      </c>
      <c r="J76" s="5">
        <f>B76*Opportunities!L8+C76*Opportunities!L9+D76*Opportunities!L10+E76*Opportunities!L11+F76*Opportunities!L12+G76*Opportunities!L13+H76*Opportunities!L14+I76*Opportunities!L15</f>
        <v>3035500.0</v>
      </c>
      <c r="K76" s="5">
        <f>SUM(B76:I76)</f>
        <v>4</v>
      </c>
      <c r="L76" s="5">
        <f>B76*Opportunities!P8+C76*Opportunities!P9+D76*Opportunities!P10+E76*Opportunities!P11+F76*Opportunities!P12+G76*Opportunities!P13+H76*Opportunities!P14+I76*Opportunities!P15</f>
        <v>221808.63468673517</v>
      </c>
      <c r="M76" s="5">
        <f>IF(AND(J76&lt;=Assumptions!$B$6,K76&lt;=Assumptions!$B$7,B76*IF(Opportunities!S8="ELIGIBLE",0,1)+C76*IF(Opportunities!S9="ELIGIBLE",0,1)+D76*IF(Opportunities!S10="ELIGIBLE",0,1)+E76*IF(Opportunities!S11="ELIGIBLE",0,1)+F76*IF(Opportunities!S12="ELIGIBLE",0,1)+G76*IF(Opportunities!S13="ELIGIBLE",0,1)+H76*IF(Opportunities!S14="ELIGIBLE",0,1)+I76*IF(Opportunities!S15="ELIGIBLE",0,1)=0),1,0)</f>
        <v>0</v>
      </c>
      <c r="N76" s="5">
        <f>IF(M76=1,L76,-1E99)</f>
        <v>-1e+99</v>
      </c>
    </row>
    <row r="77">
      <c r="A77" s="12" t="n">
        <v>72</v>
      </c>
      <c r="B77" s="12" t="n">
        <v>0</v>
      </c>
      <c r="C77" s="12" t="n">
        <v>0</v>
      </c>
      <c r="D77" s="12" t="n">
        <v>0</v>
      </c>
      <c r="E77" s="12" t="n">
        <v>1</v>
      </c>
      <c r="F77" s="12" t="n">
        <v>0</v>
      </c>
      <c r="G77" s="12" t="n">
        <v>0</v>
      </c>
      <c r="H77" s="12" t="n">
        <v>1</v>
      </c>
      <c r="I77" s="12" t="n">
        <v>0</v>
      </c>
      <c r="J77" s="5">
        <f>B77*Opportunities!L8+C77*Opportunities!L9+D77*Opportunities!L10+E77*Opportunities!L11+F77*Opportunities!L12+G77*Opportunities!L13+H77*Opportunities!L14+I77*Opportunities!L15</f>
        <v>332250.0</v>
      </c>
      <c r="K77" s="5">
        <f>SUM(B77:I77)</f>
        <v>2</v>
      </c>
      <c r="L77" s="5">
        <f>B77*Opportunities!P8+C77*Opportunities!P9+D77*Opportunities!P10+E77*Opportunities!P11+F77*Opportunities!P12+G77*Opportunities!P13+H77*Opportunities!P14+I77*Opportunities!P15</f>
        <v>21888.122772962495</v>
      </c>
      <c r="M77" s="5">
        <f>IF(AND(J77&lt;=Assumptions!$B$6,K77&lt;=Assumptions!$B$7,B77*IF(Opportunities!S8="ELIGIBLE",0,1)+C77*IF(Opportunities!S9="ELIGIBLE",0,1)+D77*IF(Opportunities!S10="ELIGIBLE",0,1)+E77*IF(Opportunities!S11="ELIGIBLE",0,1)+F77*IF(Opportunities!S12="ELIGIBLE",0,1)+G77*IF(Opportunities!S13="ELIGIBLE",0,1)+H77*IF(Opportunities!S14="ELIGIBLE",0,1)+I77*IF(Opportunities!S15="ELIGIBLE",0,1)=0),1,0)</f>
        <v>0</v>
      </c>
      <c r="N77" s="5">
        <f>IF(M77=1,L77,-1E99)</f>
        <v>-1e+99</v>
      </c>
    </row>
    <row r="78">
      <c r="A78" s="12" t="n">
        <v>73</v>
      </c>
      <c r="B78" s="12" t="n">
        <v>1</v>
      </c>
      <c r="C78" s="12" t="n">
        <v>0</v>
      </c>
      <c r="D78" s="12" t="n">
        <v>0</v>
      </c>
      <c r="E78" s="12" t="n">
        <v>1</v>
      </c>
      <c r="F78" s="12" t="n">
        <v>0</v>
      </c>
      <c r="G78" s="12" t="n">
        <v>0</v>
      </c>
      <c r="H78" s="12" t="n">
        <v>1</v>
      </c>
      <c r="I78" s="12" t="n">
        <v>0</v>
      </c>
      <c r="J78" s="5">
        <f>B78*Opportunities!L8+C78*Opportunities!L9+D78*Opportunities!L10+E78*Opportunities!L11+F78*Opportunities!L12+G78*Opportunities!L13+H78*Opportunities!L14+I78*Opportunities!L15</f>
        <v>1201750.0</v>
      </c>
      <c r="K78" s="5">
        <f>SUM(B78:I78)</f>
        <v>3</v>
      </c>
      <c r="L78" s="5">
        <f>B78*Opportunities!P8+C78*Opportunities!P9+D78*Opportunities!P10+E78*Opportunities!P11+F78*Opportunities!P12+G78*Opportunities!P13+H78*Opportunities!P14+I78*Opportunities!P15</f>
        <v>112784.63979540888</v>
      </c>
      <c r="M78" s="5">
        <f>IF(AND(J78&lt;=Assumptions!$B$6,K78&lt;=Assumptions!$B$7,B78*IF(Opportunities!S8="ELIGIBLE",0,1)+C78*IF(Opportunities!S9="ELIGIBLE",0,1)+D78*IF(Opportunities!S10="ELIGIBLE",0,1)+E78*IF(Opportunities!S11="ELIGIBLE",0,1)+F78*IF(Opportunities!S12="ELIGIBLE",0,1)+G78*IF(Opportunities!S13="ELIGIBLE",0,1)+H78*IF(Opportunities!S14="ELIGIBLE",0,1)+I78*IF(Opportunities!S15="ELIGIBLE",0,1)=0),1,0)</f>
        <v>0</v>
      </c>
      <c r="N78" s="5">
        <f>IF(M78=1,L78,-1E99)</f>
        <v>-1e+99</v>
      </c>
    </row>
    <row r="79">
      <c r="A79" s="12" t="n">
        <v>74</v>
      </c>
      <c r="B79" s="12" t="n">
        <v>0</v>
      </c>
      <c r="C79" s="12" t="n">
        <v>1</v>
      </c>
      <c r="D79" s="12" t="n">
        <v>0</v>
      </c>
      <c r="E79" s="12" t="n">
        <v>1</v>
      </c>
      <c r="F79" s="12" t="n">
        <v>0</v>
      </c>
      <c r="G79" s="12" t="n">
        <v>0</v>
      </c>
      <c r="H79" s="12" t="n">
        <v>1</v>
      </c>
      <c r="I79" s="12" t="n">
        <v>0</v>
      </c>
      <c r="J79" s="5">
        <f>B79*Opportunities!L8+C79*Opportunities!L9+D79*Opportunities!L10+E79*Opportunities!L11+F79*Opportunities!L12+G79*Opportunities!L13+H79*Opportunities!L14+I79*Opportunities!L15</f>
        <v>917250.0</v>
      </c>
      <c r="K79" s="5">
        <f>SUM(B79:I79)</f>
        <v>3</v>
      </c>
      <c r="L79" s="5">
        <f>B79*Opportunities!P8+C79*Opportunities!P9+D79*Opportunities!P10+E79*Opportunities!P11+F79*Opportunities!P12+G79*Opportunities!P13+H79*Opportunities!P14+I79*Opportunities!P15</f>
        <v>98016.52526439098</v>
      </c>
      <c r="M79" s="5">
        <f>IF(AND(J79&lt;=Assumptions!$B$6,K79&lt;=Assumptions!$B$7,B79*IF(Opportunities!S8="ELIGIBLE",0,1)+C79*IF(Opportunities!S9="ELIGIBLE",0,1)+D79*IF(Opportunities!S10="ELIGIBLE",0,1)+E79*IF(Opportunities!S11="ELIGIBLE",0,1)+F79*IF(Opportunities!S12="ELIGIBLE",0,1)+G79*IF(Opportunities!S13="ELIGIBLE",0,1)+H79*IF(Opportunities!S14="ELIGIBLE",0,1)+I79*IF(Opportunities!S15="ELIGIBLE",0,1)=0),1,0)</f>
        <v>0</v>
      </c>
      <c r="N79" s="5">
        <f>IF(M79=1,L79,-1E99)</f>
        <v>-1e+99</v>
      </c>
    </row>
    <row r="80">
      <c r="A80" s="12" t="n">
        <v>75</v>
      </c>
      <c r="B80" s="12" t="n">
        <v>1</v>
      </c>
      <c r="C80" s="12" t="n">
        <v>1</v>
      </c>
      <c r="D80" s="12" t="n">
        <v>0</v>
      </c>
      <c r="E80" s="12" t="n">
        <v>1</v>
      </c>
      <c r="F80" s="12" t="n">
        <v>0</v>
      </c>
      <c r="G80" s="12" t="n">
        <v>0</v>
      </c>
      <c r="H80" s="12" t="n">
        <v>1</v>
      </c>
      <c r="I80" s="12" t="n">
        <v>0</v>
      </c>
      <c r="J80" s="5">
        <f>B80*Opportunities!L8+C80*Opportunities!L9+D80*Opportunities!L10+E80*Opportunities!L11+F80*Opportunities!L12+G80*Opportunities!L13+H80*Opportunities!L14+I80*Opportunities!L15</f>
        <v>1786750.0</v>
      </c>
      <c r="K80" s="5">
        <f>SUM(B80:I80)</f>
        <v>4</v>
      </c>
      <c r="L80" s="5">
        <f>B80*Opportunities!P8+C80*Opportunities!P9+D80*Opportunities!P10+E80*Opportunities!P11+F80*Opportunities!P12+G80*Opportunities!P13+H80*Opportunities!P14+I80*Opportunities!P15</f>
        <v>188913.04228683736</v>
      </c>
      <c r="M80" s="5">
        <f>IF(AND(J80&lt;=Assumptions!$B$6,K80&lt;=Assumptions!$B$7,B80*IF(Opportunities!S8="ELIGIBLE",0,1)+C80*IF(Opportunities!S9="ELIGIBLE",0,1)+D80*IF(Opportunities!S10="ELIGIBLE",0,1)+E80*IF(Opportunities!S11="ELIGIBLE",0,1)+F80*IF(Opportunities!S12="ELIGIBLE",0,1)+G80*IF(Opportunities!S13="ELIGIBLE",0,1)+H80*IF(Opportunities!S14="ELIGIBLE",0,1)+I80*IF(Opportunities!S15="ELIGIBLE",0,1)=0),1,0)</f>
        <v>0</v>
      </c>
      <c r="N80" s="5">
        <f>IF(M80=1,L80,-1E99)</f>
        <v>-1e+99</v>
      </c>
    </row>
    <row r="81">
      <c r="A81" s="12" t="n">
        <v>76</v>
      </c>
      <c r="B81" s="12" t="n">
        <v>0</v>
      </c>
      <c r="C81" s="12" t="n">
        <v>0</v>
      </c>
      <c r="D81" s="12" t="n">
        <v>1</v>
      </c>
      <c r="E81" s="12" t="n">
        <v>1</v>
      </c>
      <c r="F81" s="12" t="n">
        <v>0</v>
      </c>
      <c r="G81" s="12" t="n">
        <v>0</v>
      </c>
      <c r="H81" s="12" t="n">
        <v>1</v>
      </c>
      <c r="I81" s="12" t="n">
        <v>0</v>
      </c>
      <c r="J81" s="5">
        <f>B81*Opportunities!L8+C81*Opportunities!L9+D81*Opportunities!L10+E81*Opportunities!L11+F81*Opportunities!L12+G81*Opportunities!L13+H81*Opportunities!L14+I81*Opportunities!L15</f>
        <v>1913250.0</v>
      </c>
      <c r="K81" s="5">
        <f>SUM(B81:I81)</f>
        <v>3</v>
      </c>
      <c r="L81" s="5">
        <f>B81*Opportunities!P8+C81*Opportunities!P9+D81*Opportunities!P10+E81*Opportunities!P11+F81*Opportunities!P12+G81*Opportunities!P13+H81*Opportunities!P14+I81*Opportunities!P15</f>
        <v>76671.8379458228</v>
      </c>
      <c r="M81" s="5">
        <f>IF(AND(J81&lt;=Assumptions!$B$6,K81&lt;=Assumptions!$B$7,B81*IF(Opportunities!S8="ELIGIBLE",0,1)+C81*IF(Opportunities!S9="ELIGIBLE",0,1)+D81*IF(Opportunities!S10="ELIGIBLE",0,1)+E81*IF(Opportunities!S11="ELIGIBLE",0,1)+F81*IF(Opportunities!S12="ELIGIBLE",0,1)+G81*IF(Opportunities!S13="ELIGIBLE",0,1)+H81*IF(Opportunities!S14="ELIGIBLE",0,1)+I81*IF(Opportunities!S15="ELIGIBLE",0,1)=0),1,0)</f>
        <v>0</v>
      </c>
      <c r="N81" s="5">
        <f>IF(M81=1,L81,-1E99)</f>
        <v>-1e+99</v>
      </c>
    </row>
    <row r="82">
      <c r="A82" s="12" t="n">
        <v>77</v>
      </c>
      <c r="B82" s="12" t="n">
        <v>1</v>
      </c>
      <c r="C82" s="12" t="n">
        <v>0</v>
      </c>
      <c r="D82" s="12" t="n">
        <v>1</v>
      </c>
      <c r="E82" s="12" t="n">
        <v>1</v>
      </c>
      <c r="F82" s="12" t="n">
        <v>0</v>
      </c>
      <c r="G82" s="12" t="n">
        <v>0</v>
      </c>
      <c r="H82" s="12" t="n">
        <v>1</v>
      </c>
      <c r="I82" s="12" t="n">
        <v>0</v>
      </c>
      <c r="J82" s="5">
        <f>B82*Opportunities!L8+C82*Opportunities!L9+D82*Opportunities!L10+E82*Opportunities!L11+F82*Opportunities!L12+G82*Opportunities!L13+H82*Opportunities!L14+I82*Opportunities!L15</f>
        <v>2782750.0</v>
      </c>
      <c r="K82" s="5">
        <f>SUM(B82:I82)</f>
        <v>4</v>
      </c>
      <c r="L82" s="5">
        <f>B82*Opportunities!P8+C82*Opportunities!P9+D82*Opportunities!P10+E82*Opportunities!P11+F82*Opportunities!P12+G82*Opportunities!P13+H82*Opportunities!P14+I82*Opportunities!P15</f>
        <v>167568.35496826918</v>
      </c>
      <c r="M82" s="5">
        <f>IF(AND(J82&lt;=Assumptions!$B$6,K82&lt;=Assumptions!$B$7,B82*IF(Opportunities!S8="ELIGIBLE",0,1)+C82*IF(Opportunities!S9="ELIGIBLE",0,1)+D82*IF(Opportunities!S10="ELIGIBLE",0,1)+E82*IF(Opportunities!S11="ELIGIBLE",0,1)+F82*IF(Opportunities!S12="ELIGIBLE",0,1)+G82*IF(Opportunities!S13="ELIGIBLE",0,1)+H82*IF(Opportunities!S14="ELIGIBLE",0,1)+I82*IF(Opportunities!S15="ELIGIBLE",0,1)=0),1,0)</f>
        <v>0</v>
      </c>
      <c r="N82" s="5">
        <f>IF(M82=1,L82,-1E99)</f>
        <v>-1e+99</v>
      </c>
    </row>
    <row r="83">
      <c r="A83" s="12" t="n">
        <v>78</v>
      </c>
      <c r="B83" s="12" t="n">
        <v>0</v>
      </c>
      <c r="C83" s="12" t="n">
        <v>1</v>
      </c>
      <c r="D83" s="12" t="n">
        <v>1</v>
      </c>
      <c r="E83" s="12" t="n">
        <v>1</v>
      </c>
      <c r="F83" s="12" t="n">
        <v>0</v>
      </c>
      <c r="G83" s="12" t="n">
        <v>0</v>
      </c>
      <c r="H83" s="12" t="n">
        <v>1</v>
      </c>
      <c r="I83" s="12" t="n">
        <v>0</v>
      </c>
      <c r="J83" s="5">
        <f>B83*Opportunities!L8+C83*Opportunities!L9+D83*Opportunities!L10+E83*Opportunities!L11+F83*Opportunities!L12+G83*Opportunities!L13+H83*Opportunities!L14+I83*Opportunities!L15</f>
        <v>2498250.0</v>
      </c>
      <c r="K83" s="5">
        <f>SUM(B83:I83)</f>
        <v>4</v>
      </c>
      <c r="L83" s="5">
        <f>B83*Opportunities!P8+C83*Opportunities!P9+D83*Opportunities!P10+E83*Opportunities!P11+F83*Opportunities!P12+G83*Opportunities!P13+H83*Opportunities!P14+I83*Opportunities!P15</f>
        <v>152800.24043725128</v>
      </c>
      <c r="M83" s="5">
        <f>IF(AND(J83&lt;=Assumptions!$B$6,K83&lt;=Assumptions!$B$7,B83*IF(Opportunities!S8="ELIGIBLE",0,1)+C83*IF(Opportunities!S9="ELIGIBLE",0,1)+D83*IF(Opportunities!S10="ELIGIBLE",0,1)+E83*IF(Opportunities!S11="ELIGIBLE",0,1)+F83*IF(Opportunities!S12="ELIGIBLE",0,1)+G83*IF(Opportunities!S13="ELIGIBLE",0,1)+H83*IF(Opportunities!S14="ELIGIBLE",0,1)+I83*IF(Opportunities!S15="ELIGIBLE",0,1)=0),1,0)</f>
        <v>0</v>
      </c>
      <c r="N83" s="5">
        <f>IF(M83=1,L83,-1E99)</f>
        <v>-1e+99</v>
      </c>
    </row>
    <row r="84">
      <c r="A84" s="12" t="n">
        <v>79</v>
      </c>
      <c r="B84" s="12" t="n">
        <v>1</v>
      </c>
      <c r="C84" s="12" t="n">
        <v>1</v>
      </c>
      <c r="D84" s="12" t="n">
        <v>1</v>
      </c>
      <c r="E84" s="12" t="n">
        <v>1</v>
      </c>
      <c r="F84" s="12" t="n">
        <v>0</v>
      </c>
      <c r="G84" s="12" t="n">
        <v>0</v>
      </c>
      <c r="H84" s="12" t="n">
        <v>1</v>
      </c>
      <c r="I84" s="12" t="n">
        <v>0</v>
      </c>
      <c r="J84" s="5">
        <f>B84*Opportunities!L8+C84*Opportunities!L9+D84*Opportunities!L10+E84*Opportunities!L11+F84*Opportunities!L12+G84*Opportunities!L13+H84*Opportunities!L14+I84*Opportunities!L15</f>
        <v>3367750.0</v>
      </c>
      <c r="K84" s="5">
        <f>SUM(B84:I84)</f>
        <v>5</v>
      </c>
      <c r="L84" s="5">
        <f>B84*Opportunities!P8+C84*Opportunities!P9+D84*Opportunities!P10+E84*Opportunities!P11+F84*Opportunities!P12+G84*Opportunities!P13+H84*Opportunities!P14+I84*Opportunities!P15</f>
        <v>243696.75745969766</v>
      </c>
      <c r="M84" s="5">
        <f>IF(AND(J84&lt;=Assumptions!$B$6,K84&lt;=Assumptions!$B$7,B84*IF(Opportunities!S8="ELIGIBLE",0,1)+C84*IF(Opportunities!S9="ELIGIBLE",0,1)+D84*IF(Opportunities!S10="ELIGIBLE",0,1)+E84*IF(Opportunities!S11="ELIGIBLE",0,1)+F84*IF(Opportunities!S12="ELIGIBLE",0,1)+G84*IF(Opportunities!S13="ELIGIBLE",0,1)+H84*IF(Opportunities!S14="ELIGIBLE",0,1)+I84*IF(Opportunities!S15="ELIGIBLE",0,1)=0),1,0)</f>
        <v>0</v>
      </c>
      <c r="N84" s="5">
        <f>IF(M84=1,L84,-1E99)</f>
        <v>-1e+99</v>
      </c>
    </row>
    <row r="85">
      <c r="A85" s="12" t="n">
        <v>80</v>
      </c>
      <c r="B85" s="12" t="n">
        <v>0</v>
      </c>
      <c r="C85" s="12" t="n">
        <v>0</v>
      </c>
      <c r="D85" s="12" t="n">
        <v>0</v>
      </c>
      <c r="E85" s="12" t="n">
        <v>0</v>
      </c>
      <c r="F85" s="12" t="n">
        <v>1</v>
      </c>
      <c r="G85" s="12" t="n">
        <v>0</v>
      </c>
      <c r="H85" s="12" t="n">
        <v>1</v>
      </c>
      <c r="I85" s="12" t="n">
        <v>0</v>
      </c>
      <c r="J85" s="5">
        <f>B85*Opportunities!L8+C85*Opportunities!L9+D85*Opportunities!L10+E85*Opportunities!L11+F85*Opportunities!L12+G85*Opportunities!L13+H85*Opportunities!L14+I85*Opportunities!L15</f>
        <v>1143000.0</v>
      </c>
      <c r="K85" s="5">
        <f>SUM(B85:I85)</f>
        <v>2</v>
      </c>
      <c r="L85" s="5">
        <f>B85*Opportunities!P8+C85*Opportunities!P9+D85*Opportunities!P10+E85*Opportunities!P11+F85*Opportunities!P12+G85*Opportunities!P13+H85*Opportunities!P14+I85*Opportunities!P15</f>
        <v>-175492.0398370832</v>
      </c>
      <c r="M85" s="5">
        <f>IF(AND(J85&lt;=Assumptions!$B$6,K85&lt;=Assumptions!$B$7,B85*IF(Opportunities!S8="ELIGIBLE",0,1)+C85*IF(Opportunities!S9="ELIGIBLE",0,1)+D85*IF(Opportunities!S10="ELIGIBLE",0,1)+E85*IF(Opportunities!S11="ELIGIBLE",0,1)+F85*IF(Opportunities!S12="ELIGIBLE",0,1)+G85*IF(Opportunities!S13="ELIGIBLE",0,1)+H85*IF(Opportunities!S14="ELIGIBLE",0,1)+I85*IF(Opportunities!S15="ELIGIBLE",0,1)=0),1,0)</f>
        <v>0</v>
      </c>
      <c r="N85" s="5">
        <f>IF(M85=1,L85,-1E99)</f>
        <v>-1e+99</v>
      </c>
    </row>
    <row r="86">
      <c r="A86" s="12" t="n">
        <v>81</v>
      </c>
      <c r="B86" s="12" t="n">
        <v>1</v>
      </c>
      <c r="C86" s="12" t="n">
        <v>0</v>
      </c>
      <c r="D86" s="12" t="n">
        <v>0</v>
      </c>
      <c r="E86" s="12" t="n">
        <v>0</v>
      </c>
      <c r="F86" s="12" t="n">
        <v>1</v>
      </c>
      <c r="G86" s="12" t="n">
        <v>0</v>
      </c>
      <c r="H86" s="12" t="n">
        <v>1</v>
      </c>
      <c r="I86" s="12" t="n">
        <v>0</v>
      </c>
      <c r="J86" s="5">
        <f>B86*Opportunities!L8+C86*Opportunities!L9+D86*Opportunities!L10+E86*Opportunities!L11+F86*Opportunities!L12+G86*Opportunities!L13+H86*Opportunities!L14+I86*Opportunities!L15</f>
        <v>2012500.0</v>
      </c>
      <c r="K86" s="5">
        <f>SUM(B86:I86)</f>
        <v>3</v>
      </c>
      <c r="L86" s="5">
        <f>B86*Opportunities!P8+C86*Opportunities!P9+D86*Opportunities!P10+E86*Opportunities!P11+F86*Opportunities!P12+G86*Opportunities!P13+H86*Opportunities!P14+I86*Opportunities!P15</f>
        <v>-84595.52281463682</v>
      </c>
      <c r="M86" s="5">
        <f>IF(AND(J86&lt;=Assumptions!$B$6,K86&lt;=Assumptions!$B$7,B86*IF(Opportunities!S8="ELIGIBLE",0,1)+C86*IF(Opportunities!S9="ELIGIBLE",0,1)+D86*IF(Opportunities!S10="ELIGIBLE",0,1)+E86*IF(Opportunities!S11="ELIGIBLE",0,1)+F86*IF(Opportunities!S12="ELIGIBLE",0,1)+G86*IF(Opportunities!S13="ELIGIBLE",0,1)+H86*IF(Opportunities!S14="ELIGIBLE",0,1)+I86*IF(Opportunities!S15="ELIGIBLE",0,1)=0),1,0)</f>
        <v>0</v>
      </c>
      <c r="N86" s="5">
        <f>IF(M86=1,L86,-1E99)</f>
        <v>-1e+99</v>
      </c>
    </row>
    <row r="87">
      <c r="A87" s="12" t="n">
        <v>82</v>
      </c>
      <c r="B87" s="12" t="n">
        <v>0</v>
      </c>
      <c r="C87" s="12" t="n">
        <v>1</v>
      </c>
      <c r="D87" s="12" t="n">
        <v>0</v>
      </c>
      <c r="E87" s="12" t="n">
        <v>0</v>
      </c>
      <c r="F87" s="12" t="n">
        <v>1</v>
      </c>
      <c r="G87" s="12" t="n">
        <v>0</v>
      </c>
      <c r="H87" s="12" t="n">
        <v>1</v>
      </c>
      <c r="I87" s="12" t="n">
        <v>0</v>
      </c>
      <c r="J87" s="5">
        <f>B87*Opportunities!L8+C87*Opportunities!L9+D87*Opportunities!L10+E87*Opportunities!L11+F87*Opportunities!L12+G87*Opportunities!L13+H87*Opportunities!L14+I87*Opportunities!L15</f>
        <v>1728000.0</v>
      </c>
      <c r="K87" s="5">
        <f>SUM(B87:I87)</f>
        <v>3</v>
      </c>
      <c r="L87" s="5">
        <f>B87*Opportunities!P8+C87*Opportunities!P9+D87*Opportunities!P10+E87*Opportunities!P11+F87*Opportunities!P12+G87*Opportunities!P13+H87*Opportunities!P14+I87*Opportunities!P15</f>
        <v>-99363.63734565472</v>
      </c>
      <c r="M87" s="5">
        <f>IF(AND(J87&lt;=Assumptions!$B$6,K87&lt;=Assumptions!$B$7,B87*IF(Opportunities!S8="ELIGIBLE",0,1)+C87*IF(Opportunities!S9="ELIGIBLE",0,1)+D87*IF(Opportunities!S10="ELIGIBLE",0,1)+E87*IF(Opportunities!S11="ELIGIBLE",0,1)+F87*IF(Opportunities!S12="ELIGIBLE",0,1)+G87*IF(Opportunities!S13="ELIGIBLE",0,1)+H87*IF(Opportunities!S14="ELIGIBLE",0,1)+I87*IF(Opportunities!S15="ELIGIBLE",0,1)=0),1,0)</f>
        <v>0</v>
      </c>
      <c r="N87" s="5">
        <f>IF(M87=1,L87,-1E99)</f>
        <v>-1e+99</v>
      </c>
    </row>
    <row r="88">
      <c r="A88" s="12" t="n">
        <v>83</v>
      </c>
      <c r="B88" s="12" t="n">
        <v>1</v>
      </c>
      <c r="C88" s="12" t="n">
        <v>1</v>
      </c>
      <c r="D88" s="12" t="n">
        <v>0</v>
      </c>
      <c r="E88" s="12" t="n">
        <v>0</v>
      </c>
      <c r="F88" s="12" t="n">
        <v>1</v>
      </c>
      <c r="G88" s="12" t="n">
        <v>0</v>
      </c>
      <c r="H88" s="12" t="n">
        <v>1</v>
      </c>
      <c r="I88" s="12" t="n">
        <v>0</v>
      </c>
      <c r="J88" s="5">
        <f>B88*Opportunities!L8+C88*Opportunities!L9+D88*Opportunities!L10+E88*Opportunities!L11+F88*Opportunities!L12+G88*Opportunities!L13+H88*Opportunities!L14+I88*Opportunities!L15</f>
        <v>2597500.0</v>
      </c>
      <c r="K88" s="5">
        <f>SUM(B88:I88)</f>
        <v>4</v>
      </c>
      <c r="L88" s="5">
        <f>B88*Opportunities!P8+C88*Opportunities!P9+D88*Opportunities!P10+E88*Opportunities!P11+F88*Opportunities!P12+G88*Opportunities!P13+H88*Opportunities!P14+I88*Opportunities!P15</f>
        <v>-8467.120323208335</v>
      </c>
      <c r="M88" s="5">
        <f>IF(AND(J88&lt;=Assumptions!$B$6,K88&lt;=Assumptions!$B$7,B88*IF(Opportunities!S8="ELIGIBLE",0,1)+C88*IF(Opportunities!S9="ELIGIBLE",0,1)+D88*IF(Opportunities!S10="ELIGIBLE",0,1)+E88*IF(Opportunities!S11="ELIGIBLE",0,1)+F88*IF(Opportunities!S12="ELIGIBLE",0,1)+G88*IF(Opportunities!S13="ELIGIBLE",0,1)+H88*IF(Opportunities!S14="ELIGIBLE",0,1)+I88*IF(Opportunities!S15="ELIGIBLE",0,1)=0),1,0)</f>
        <v>0</v>
      </c>
      <c r="N88" s="5">
        <f>IF(M88=1,L88,-1E99)</f>
        <v>-1e+99</v>
      </c>
    </row>
    <row r="89">
      <c r="A89" s="12" t="n">
        <v>84</v>
      </c>
      <c r="B89" s="12" t="n">
        <v>0</v>
      </c>
      <c r="C89" s="12" t="n">
        <v>0</v>
      </c>
      <c r="D89" s="12" t="n">
        <v>1</v>
      </c>
      <c r="E89" s="12" t="n">
        <v>0</v>
      </c>
      <c r="F89" s="12" t="n">
        <v>1</v>
      </c>
      <c r="G89" s="12" t="n">
        <v>0</v>
      </c>
      <c r="H89" s="12" t="n">
        <v>1</v>
      </c>
      <c r="I89" s="12" t="n">
        <v>0</v>
      </c>
      <c r="J89" s="5">
        <f>B89*Opportunities!L8+C89*Opportunities!L9+D89*Opportunities!L10+E89*Opportunities!L11+F89*Opportunities!L12+G89*Opportunities!L13+H89*Opportunities!L14+I89*Opportunities!L15</f>
        <v>2724000.0</v>
      </c>
      <c r="K89" s="5">
        <f>SUM(B89:I89)</f>
        <v>3</v>
      </c>
      <c r="L89" s="5">
        <f>B89*Opportunities!P8+C89*Opportunities!P9+D89*Opportunities!P10+E89*Opportunities!P11+F89*Opportunities!P12+G89*Opportunities!P13+H89*Opportunities!P14+I89*Opportunities!P15</f>
        <v>-120708.32466422289</v>
      </c>
      <c r="M89" s="5">
        <f>IF(AND(J89&lt;=Assumptions!$B$6,K89&lt;=Assumptions!$B$7,B89*IF(Opportunities!S8="ELIGIBLE",0,1)+C89*IF(Opportunities!S9="ELIGIBLE",0,1)+D89*IF(Opportunities!S10="ELIGIBLE",0,1)+E89*IF(Opportunities!S11="ELIGIBLE",0,1)+F89*IF(Opportunities!S12="ELIGIBLE",0,1)+G89*IF(Opportunities!S13="ELIGIBLE",0,1)+H89*IF(Opportunities!S14="ELIGIBLE",0,1)+I89*IF(Opportunities!S15="ELIGIBLE",0,1)=0),1,0)</f>
        <v>0</v>
      </c>
      <c r="N89" s="5">
        <f>IF(M89=1,L89,-1E99)</f>
        <v>-1e+99</v>
      </c>
    </row>
    <row r="90">
      <c r="A90" s="12" t="n">
        <v>85</v>
      </c>
      <c r="B90" s="12" t="n">
        <v>1</v>
      </c>
      <c r="C90" s="12" t="n">
        <v>0</v>
      </c>
      <c r="D90" s="12" t="n">
        <v>1</v>
      </c>
      <c r="E90" s="12" t="n">
        <v>0</v>
      </c>
      <c r="F90" s="12" t="n">
        <v>1</v>
      </c>
      <c r="G90" s="12" t="n">
        <v>0</v>
      </c>
      <c r="H90" s="12" t="n">
        <v>1</v>
      </c>
      <c r="I90" s="12" t="n">
        <v>0</v>
      </c>
      <c r="J90" s="5">
        <f>B90*Opportunities!L8+C90*Opportunities!L9+D90*Opportunities!L10+E90*Opportunities!L11+F90*Opportunities!L12+G90*Opportunities!L13+H90*Opportunities!L14+I90*Opportunities!L15</f>
        <v>3593500.0</v>
      </c>
      <c r="K90" s="5">
        <f>SUM(B90:I90)</f>
        <v>4</v>
      </c>
      <c r="L90" s="5">
        <f>B90*Opportunities!P8+C90*Opportunities!P9+D90*Opportunities!P10+E90*Opportunities!P11+F90*Opportunities!P12+G90*Opportunities!P13+H90*Opportunities!P14+I90*Opportunities!P15</f>
        <v>-29811.80764177651</v>
      </c>
      <c r="M90" s="5">
        <f>IF(AND(J90&lt;=Assumptions!$B$6,K90&lt;=Assumptions!$B$7,B90*IF(Opportunities!S8="ELIGIBLE",0,1)+C90*IF(Opportunities!S9="ELIGIBLE",0,1)+D90*IF(Opportunities!S10="ELIGIBLE",0,1)+E90*IF(Opportunities!S11="ELIGIBLE",0,1)+F90*IF(Opportunities!S12="ELIGIBLE",0,1)+G90*IF(Opportunities!S13="ELIGIBLE",0,1)+H90*IF(Opportunities!S14="ELIGIBLE",0,1)+I90*IF(Opportunities!S15="ELIGIBLE",0,1)=0),1,0)</f>
        <v>0</v>
      </c>
      <c r="N90" s="5">
        <f>IF(M90=1,L90,-1E99)</f>
        <v>-1e+99</v>
      </c>
    </row>
    <row r="91">
      <c r="A91" s="12" t="n">
        <v>86</v>
      </c>
      <c r="B91" s="12" t="n">
        <v>0</v>
      </c>
      <c r="C91" s="12" t="n">
        <v>1</v>
      </c>
      <c r="D91" s="12" t="n">
        <v>1</v>
      </c>
      <c r="E91" s="12" t="n">
        <v>0</v>
      </c>
      <c r="F91" s="12" t="n">
        <v>1</v>
      </c>
      <c r="G91" s="12" t="n">
        <v>0</v>
      </c>
      <c r="H91" s="12" t="n">
        <v>1</v>
      </c>
      <c r="I91" s="12" t="n">
        <v>0</v>
      </c>
      <c r="J91" s="5">
        <f>B91*Opportunities!L8+C91*Opportunities!L9+D91*Opportunities!L10+E91*Opportunities!L11+F91*Opportunities!L12+G91*Opportunities!L13+H91*Opportunities!L14+I91*Opportunities!L15</f>
        <v>3309000.0</v>
      </c>
      <c r="K91" s="5">
        <f>SUM(B91:I91)</f>
        <v>4</v>
      </c>
      <c r="L91" s="5">
        <f>B91*Opportunities!P8+C91*Opportunities!P9+D91*Opportunities!P10+E91*Opportunities!P11+F91*Opportunities!P12+G91*Opportunities!P13+H91*Opportunities!P14+I91*Opportunities!P15</f>
        <v>-44579.92217279441</v>
      </c>
      <c r="M91" s="5">
        <f>IF(AND(J91&lt;=Assumptions!$B$6,K91&lt;=Assumptions!$B$7,B91*IF(Opportunities!S8="ELIGIBLE",0,1)+C91*IF(Opportunities!S9="ELIGIBLE",0,1)+D91*IF(Opportunities!S10="ELIGIBLE",0,1)+E91*IF(Opportunities!S11="ELIGIBLE",0,1)+F91*IF(Opportunities!S12="ELIGIBLE",0,1)+G91*IF(Opportunities!S13="ELIGIBLE",0,1)+H91*IF(Opportunities!S14="ELIGIBLE",0,1)+I91*IF(Opportunities!S15="ELIGIBLE",0,1)=0),1,0)</f>
        <v>0</v>
      </c>
      <c r="N91" s="5">
        <f>IF(M91=1,L91,-1E99)</f>
        <v>-1e+99</v>
      </c>
    </row>
    <row r="92">
      <c r="A92" s="12" t="n">
        <v>87</v>
      </c>
      <c r="B92" s="12" t="n">
        <v>1</v>
      </c>
      <c r="C92" s="12" t="n">
        <v>1</v>
      </c>
      <c r="D92" s="12" t="n">
        <v>1</v>
      </c>
      <c r="E92" s="12" t="n">
        <v>0</v>
      </c>
      <c r="F92" s="12" t="n">
        <v>1</v>
      </c>
      <c r="G92" s="12" t="n">
        <v>0</v>
      </c>
      <c r="H92" s="12" t="n">
        <v>1</v>
      </c>
      <c r="I92" s="12" t="n">
        <v>0</v>
      </c>
      <c r="J92" s="5">
        <f>B92*Opportunities!L8+C92*Opportunities!L9+D92*Opportunities!L10+E92*Opportunities!L11+F92*Opportunities!L12+G92*Opportunities!L13+H92*Opportunities!L14+I92*Opportunities!L15</f>
        <v>4178500.0</v>
      </c>
      <c r="K92" s="5">
        <f>SUM(B92:I92)</f>
        <v>5</v>
      </c>
      <c r="L92" s="5">
        <f>B92*Opportunities!P8+C92*Opportunities!P9+D92*Opportunities!P10+E92*Opportunities!P11+F92*Opportunities!P12+G92*Opportunities!P13+H92*Opportunities!P14+I92*Opportunities!P15</f>
        <v>46316.59484965197</v>
      </c>
      <c r="M92" s="5">
        <f>IF(AND(J92&lt;=Assumptions!$B$6,K92&lt;=Assumptions!$B$7,B92*IF(Opportunities!S8="ELIGIBLE",0,1)+C92*IF(Opportunities!S9="ELIGIBLE",0,1)+D92*IF(Opportunities!S10="ELIGIBLE",0,1)+E92*IF(Opportunities!S11="ELIGIBLE",0,1)+F92*IF(Opportunities!S12="ELIGIBLE",0,1)+G92*IF(Opportunities!S13="ELIGIBLE",0,1)+H92*IF(Opportunities!S14="ELIGIBLE",0,1)+I92*IF(Opportunities!S15="ELIGIBLE",0,1)=0),1,0)</f>
        <v>0</v>
      </c>
      <c r="N92" s="5">
        <f>IF(M92=1,L92,-1E99)</f>
        <v>-1e+99</v>
      </c>
    </row>
    <row r="93">
      <c r="A93" s="12" t="n">
        <v>88</v>
      </c>
      <c r="B93" s="12" t="n">
        <v>0</v>
      </c>
      <c r="C93" s="12" t="n">
        <v>0</v>
      </c>
      <c r="D93" s="12" t="n">
        <v>0</v>
      </c>
      <c r="E93" s="12" t="n">
        <v>1</v>
      </c>
      <c r="F93" s="12" t="n">
        <v>1</v>
      </c>
      <c r="G93" s="12" t="n">
        <v>0</v>
      </c>
      <c r="H93" s="12" t="n">
        <v>1</v>
      </c>
      <c r="I93" s="12" t="n">
        <v>0</v>
      </c>
      <c r="J93" s="5">
        <f>B93*Opportunities!L8+C93*Opportunities!L9+D93*Opportunities!L10+E93*Opportunities!L11+F93*Opportunities!L12+G93*Opportunities!L13+H93*Opportunities!L14+I93*Opportunities!L15</f>
        <v>1475250.0</v>
      </c>
      <c r="K93" s="5">
        <f>SUM(B93:I93)</f>
        <v>3</v>
      </c>
      <c r="L93" s="5">
        <f>B93*Opportunities!P8+C93*Opportunities!P9+D93*Opportunities!P10+E93*Opportunities!P11+F93*Opportunities!P12+G93*Opportunities!P13+H93*Opportunities!P14+I93*Opportunities!P15</f>
        <v>-153603.9170641207</v>
      </c>
      <c r="M93" s="5">
        <f>IF(AND(J93&lt;=Assumptions!$B$6,K93&lt;=Assumptions!$B$7,B93*IF(Opportunities!S8="ELIGIBLE",0,1)+C93*IF(Opportunities!S9="ELIGIBLE",0,1)+D93*IF(Opportunities!S10="ELIGIBLE",0,1)+E93*IF(Opportunities!S11="ELIGIBLE",0,1)+F93*IF(Opportunities!S12="ELIGIBLE",0,1)+G93*IF(Opportunities!S13="ELIGIBLE",0,1)+H93*IF(Opportunities!S14="ELIGIBLE",0,1)+I93*IF(Opportunities!S15="ELIGIBLE",0,1)=0),1,0)</f>
        <v>0</v>
      </c>
      <c r="N93" s="5">
        <f>IF(M93=1,L93,-1E99)</f>
        <v>-1e+99</v>
      </c>
    </row>
    <row r="94">
      <c r="A94" s="12" t="n">
        <v>89</v>
      </c>
      <c r="B94" s="12" t="n">
        <v>1</v>
      </c>
      <c r="C94" s="12" t="n">
        <v>0</v>
      </c>
      <c r="D94" s="12" t="n">
        <v>0</v>
      </c>
      <c r="E94" s="12" t="n">
        <v>1</v>
      </c>
      <c r="F94" s="12" t="n">
        <v>1</v>
      </c>
      <c r="G94" s="12" t="n">
        <v>0</v>
      </c>
      <c r="H94" s="12" t="n">
        <v>1</v>
      </c>
      <c r="I94" s="12" t="n">
        <v>0</v>
      </c>
      <c r="J94" s="5">
        <f>B94*Opportunities!L8+C94*Opportunities!L9+D94*Opportunities!L10+E94*Opportunities!L11+F94*Opportunities!L12+G94*Opportunities!L13+H94*Opportunities!L14+I94*Opportunities!L15</f>
        <v>2344750.0</v>
      </c>
      <c r="K94" s="5">
        <f>SUM(B94:I94)</f>
        <v>4</v>
      </c>
      <c r="L94" s="5">
        <f>B94*Opportunities!P8+C94*Opportunities!P9+D94*Opportunities!P10+E94*Opportunities!P11+F94*Opportunities!P12+G94*Opportunities!P13+H94*Opportunities!P14+I94*Opportunities!P15</f>
        <v>-62707.40004167432</v>
      </c>
      <c r="M94" s="5">
        <f>IF(AND(J94&lt;=Assumptions!$B$6,K94&lt;=Assumptions!$B$7,B94*IF(Opportunities!S8="ELIGIBLE",0,1)+C94*IF(Opportunities!S9="ELIGIBLE",0,1)+D94*IF(Opportunities!S10="ELIGIBLE",0,1)+E94*IF(Opportunities!S11="ELIGIBLE",0,1)+F94*IF(Opportunities!S12="ELIGIBLE",0,1)+G94*IF(Opportunities!S13="ELIGIBLE",0,1)+H94*IF(Opportunities!S14="ELIGIBLE",0,1)+I94*IF(Opportunities!S15="ELIGIBLE",0,1)=0),1,0)</f>
        <v>0</v>
      </c>
      <c r="N94" s="5">
        <f>IF(M94=1,L94,-1E99)</f>
        <v>-1e+99</v>
      </c>
    </row>
    <row r="95">
      <c r="A95" s="12" t="n">
        <v>90</v>
      </c>
      <c r="B95" s="12" t="n">
        <v>0</v>
      </c>
      <c r="C95" s="12" t="n">
        <v>1</v>
      </c>
      <c r="D95" s="12" t="n">
        <v>0</v>
      </c>
      <c r="E95" s="12" t="n">
        <v>1</v>
      </c>
      <c r="F95" s="12" t="n">
        <v>1</v>
      </c>
      <c r="G95" s="12" t="n">
        <v>0</v>
      </c>
      <c r="H95" s="12" t="n">
        <v>1</v>
      </c>
      <c r="I95" s="12" t="n">
        <v>0</v>
      </c>
      <c r="J95" s="5">
        <f>B95*Opportunities!L8+C95*Opportunities!L9+D95*Opportunities!L10+E95*Opportunities!L11+F95*Opportunities!L12+G95*Opportunities!L13+H95*Opportunities!L14+I95*Opportunities!L15</f>
        <v>2060250.0</v>
      </c>
      <c r="K95" s="5">
        <f>SUM(B95:I95)</f>
        <v>4</v>
      </c>
      <c r="L95" s="5">
        <f>B95*Opportunities!P8+C95*Opportunities!P9+D95*Opportunities!P10+E95*Opportunities!P11+F95*Opportunities!P12+G95*Opportunities!P13+H95*Opportunities!P14+I95*Opportunities!P15</f>
        <v>-77475.51457269222</v>
      </c>
      <c r="M95" s="5">
        <f>IF(AND(J95&lt;=Assumptions!$B$6,K95&lt;=Assumptions!$B$7,B95*IF(Opportunities!S8="ELIGIBLE",0,1)+C95*IF(Opportunities!S9="ELIGIBLE",0,1)+D95*IF(Opportunities!S10="ELIGIBLE",0,1)+E95*IF(Opportunities!S11="ELIGIBLE",0,1)+F95*IF(Opportunities!S12="ELIGIBLE",0,1)+G95*IF(Opportunities!S13="ELIGIBLE",0,1)+H95*IF(Opportunities!S14="ELIGIBLE",0,1)+I95*IF(Opportunities!S15="ELIGIBLE",0,1)=0),1,0)</f>
        <v>0</v>
      </c>
      <c r="N95" s="5">
        <f>IF(M95=1,L95,-1E99)</f>
        <v>-1e+99</v>
      </c>
    </row>
    <row r="96">
      <c r="A96" s="12" t="n">
        <v>91</v>
      </c>
      <c r="B96" s="12" t="n">
        <v>1</v>
      </c>
      <c r="C96" s="12" t="n">
        <v>1</v>
      </c>
      <c r="D96" s="12" t="n">
        <v>0</v>
      </c>
      <c r="E96" s="12" t="n">
        <v>1</v>
      </c>
      <c r="F96" s="12" t="n">
        <v>1</v>
      </c>
      <c r="G96" s="12" t="n">
        <v>0</v>
      </c>
      <c r="H96" s="12" t="n">
        <v>1</v>
      </c>
      <c r="I96" s="12" t="n">
        <v>0</v>
      </c>
      <c r="J96" s="5">
        <f>B96*Opportunities!L8+C96*Opportunities!L9+D96*Opportunities!L10+E96*Opportunities!L11+F96*Opportunities!L12+G96*Opportunities!L13+H96*Opportunities!L14+I96*Opportunities!L15</f>
        <v>2929750.0</v>
      </c>
      <c r="K96" s="5">
        <f>SUM(B96:I96)</f>
        <v>5</v>
      </c>
      <c r="L96" s="5">
        <f>B96*Opportunities!P8+C96*Opportunities!P9+D96*Opportunities!P10+E96*Opportunities!P11+F96*Opportunities!P12+G96*Opportunities!P13+H96*Opportunities!P14+I96*Opportunities!P15</f>
        <v>13421.00244975416</v>
      </c>
      <c r="M96" s="5">
        <f>IF(AND(J96&lt;=Assumptions!$B$6,K96&lt;=Assumptions!$B$7,B96*IF(Opportunities!S8="ELIGIBLE",0,1)+C96*IF(Opportunities!S9="ELIGIBLE",0,1)+D96*IF(Opportunities!S10="ELIGIBLE",0,1)+E96*IF(Opportunities!S11="ELIGIBLE",0,1)+F96*IF(Opportunities!S12="ELIGIBLE",0,1)+G96*IF(Opportunities!S13="ELIGIBLE",0,1)+H96*IF(Opportunities!S14="ELIGIBLE",0,1)+I96*IF(Opportunities!S15="ELIGIBLE",0,1)=0),1,0)</f>
        <v>0</v>
      </c>
      <c r="N96" s="5">
        <f>IF(M96=1,L96,-1E99)</f>
        <v>-1e+99</v>
      </c>
    </row>
    <row r="97">
      <c r="A97" s="12" t="n">
        <v>92</v>
      </c>
      <c r="B97" s="12" t="n">
        <v>0</v>
      </c>
      <c r="C97" s="12" t="n">
        <v>0</v>
      </c>
      <c r="D97" s="12" t="n">
        <v>1</v>
      </c>
      <c r="E97" s="12" t="n">
        <v>1</v>
      </c>
      <c r="F97" s="12" t="n">
        <v>1</v>
      </c>
      <c r="G97" s="12" t="n">
        <v>0</v>
      </c>
      <c r="H97" s="12" t="n">
        <v>1</v>
      </c>
      <c r="I97" s="12" t="n">
        <v>0</v>
      </c>
      <c r="J97" s="5">
        <f>B97*Opportunities!L8+C97*Opportunities!L9+D97*Opportunities!L10+E97*Opportunities!L11+F97*Opportunities!L12+G97*Opportunities!L13+H97*Opportunities!L14+I97*Opportunities!L15</f>
        <v>3056250.0</v>
      </c>
      <c r="K97" s="5">
        <f>SUM(B97:I97)</f>
        <v>4</v>
      </c>
      <c r="L97" s="5">
        <f>B97*Opportunities!P8+C97*Opportunities!P9+D97*Opportunities!P10+E97*Opportunities!P11+F97*Opportunities!P12+G97*Opportunities!P13+H97*Opportunities!P14+I97*Opportunities!P15</f>
        <v>-98820.2018912604</v>
      </c>
      <c r="M97" s="5">
        <f>IF(AND(J97&lt;=Assumptions!$B$6,K97&lt;=Assumptions!$B$7,B97*IF(Opportunities!S8="ELIGIBLE",0,1)+C97*IF(Opportunities!S9="ELIGIBLE",0,1)+D97*IF(Opportunities!S10="ELIGIBLE",0,1)+E97*IF(Opportunities!S11="ELIGIBLE",0,1)+F97*IF(Opportunities!S12="ELIGIBLE",0,1)+G97*IF(Opportunities!S13="ELIGIBLE",0,1)+H97*IF(Opportunities!S14="ELIGIBLE",0,1)+I97*IF(Opportunities!S15="ELIGIBLE",0,1)=0),1,0)</f>
        <v>0</v>
      </c>
      <c r="N97" s="5">
        <f>IF(M97=1,L97,-1E99)</f>
        <v>-1e+99</v>
      </c>
    </row>
    <row r="98">
      <c r="A98" s="12" t="n">
        <v>93</v>
      </c>
      <c r="B98" s="12" t="n">
        <v>1</v>
      </c>
      <c r="C98" s="12" t="n">
        <v>0</v>
      </c>
      <c r="D98" s="12" t="n">
        <v>1</v>
      </c>
      <c r="E98" s="12" t="n">
        <v>1</v>
      </c>
      <c r="F98" s="12" t="n">
        <v>1</v>
      </c>
      <c r="G98" s="12" t="n">
        <v>0</v>
      </c>
      <c r="H98" s="12" t="n">
        <v>1</v>
      </c>
      <c r="I98" s="12" t="n">
        <v>0</v>
      </c>
      <c r="J98" s="5">
        <f>B98*Opportunities!L8+C98*Opportunities!L9+D98*Opportunities!L10+E98*Opportunities!L11+F98*Opportunities!L12+G98*Opportunities!L13+H98*Opportunities!L14+I98*Opportunities!L15</f>
        <v>3925750.0</v>
      </c>
      <c r="K98" s="5">
        <f>SUM(B98:I98)</f>
        <v>5</v>
      </c>
      <c r="L98" s="5">
        <f>B98*Opportunities!P8+C98*Opportunities!P9+D98*Opportunities!P10+E98*Opportunities!P11+F98*Opportunities!P12+G98*Opportunities!P13+H98*Opportunities!P14+I98*Opportunities!P15</f>
        <v>-7923.684868814016</v>
      </c>
      <c r="M98" s="5">
        <f>IF(AND(J98&lt;=Assumptions!$B$6,K98&lt;=Assumptions!$B$7,B98*IF(Opportunities!S8="ELIGIBLE",0,1)+C98*IF(Opportunities!S9="ELIGIBLE",0,1)+D98*IF(Opportunities!S10="ELIGIBLE",0,1)+E98*IF(Opportunities!S11="ELIGIBLE",0,1)+F98*IF(Opportunities!S12="ELIGIBLE",0,1)+G98*IF(Opportunities!S13="ELIGIBLE",0,1)+H98*IF(Opportunities!S14="ELIGIBLE",0,1)+I98*IF(Opportunities!S15="ELIGIBLE",0,1)=0),1,0)</f>
        <v>0</v>
      </c>
      <c r="N98" s="5">
        <f>IF(M98=1,L98,-1E99)</f>
        <v>-1e+99</v>
      </c>
    </row>
    <row r="99">
      <c r="A99" s="12" t="n">
        <v>94</v>
      </c>
      <c r="B99" s="12" t="n">
        <v>0</v>
      </c>
      <c r="C99" s="12" t="n">
        <v>1</v>
      </c>
      <c r="D99" s="12" t="n">
        <v>1</v>
      </c>
      <c r="E99" s="12" t="n">
        <v>1</v>
      </c>
      <c r="F99" s="12" t="n">
        <v>1</v>
      </c>
      <c r="G99" s="12" t="n">
        <v>0</v>
      </c>
      <c r="H99" s="12" t="n">
        <v>1</v>
      </c>
      <c r="I99" s="12" t="n">
        <v>0</v>
      </c>
      <c r="J99" s="5">
        <f>B99*Opportunities!L8+C99*Opportunities!L9+D99*Opportunities!L10+E99*Opportunities!L11+F99*Opportunities!L12+G99*Opportunities!L13+H99*Opportunities!L14+I99*Opportunities!L15</f>
        <v>3641250.0</v>
      </c>
      <c r="K99" s="5">
        <f>SUM(B99:I99)</f>
        <v>5</v>
      </c>
      <c r="L99" s="5">
        <f>B99*Opportunities!P8+C99*Opportunities!P9+D99*Opportunities!P10+E99*Opportunities!P11+F99*Opportunities!P12+G99*Opportunities!P13+H99*Opportunities!P14+I99*Opportunities!P15</f>
        <v>-22691.799399831914</v>
      </c>
      <c r="M99" s="5">
        <f>IF(AND(J99&lt;=Assumptions!$B$6,K99&lt;=Assumptions!$B$7,B99*IF(Opportunities!S8="ELIGIBLE",0,1)+C99*IF(Opportunities!S9="ELIGIBLE",0,1)+D99*IF(Opportunities!S10="ELIGIBLE",0,1)+E99*IF(Opportunities!S11="ELIGIBLE",0,1)+F99*IF(Opportunities!S12="ELIGIBLE",0,1)+G99*IF(Opportunities!S13="ELIGIBLE",0,1)+H99*IF(Opportunities!S14="ELIGIBLE",0,1)+I99*IF(Opportunities!S15="ELIGIBLE",0,1)=0),1,0)</f>
        <v>0</v>
      </c>
      <c r="N99" s="5">
        <f>IF(M99=1,L99,-1E99)</f>
        <v>-1e+99</v>
      </c>
    </row>
    <row r="100">
      <c r="A100" s="12" t="n">
        <v>95</v>
      </c>
      <c r="B100" s="12" t="n">
        <v>1</v>
      </c>
      <c r="C100" s="12" t="n">
        <v>1</v>
      </c>
      <c r="D100" s="12" t="n">
        <v>1</v>
      </c>
      <c r="E100" s="12" t="n">
        <v>1</v>
      </c>
      <c r="F100" s="12" t="n">
        <v>1</v>
      </c>
      <c r="G100" s="12" t="n">
        <v>0</v>
      </c>
      <c r="H100" s="12" t="n">
        <v>1</v>
      </c>
      <c r="I100" s="12" t="n">
        <v>0</v>
      </c>
      <c r="J100" s="5">
        <f>B100*Opportunities!L8+C100*Opportunities!L9+D100*Opportunities!L10+E100*Opportunities!L11+F100*Opportunities!L12+G100*Opportunities!L13+H100*Opportunities!L14+I100*Opportunities!L15</f>
        <v>4510750.0</v>
      </c>
      <c r="K100" s="5">
        <f>SUM(B100:I100)</f>
        <v>6</v>
      </c>
      <c r="L100" s="5">
        <f>B100*Opportunities!P8+C100*Opportunities!P9+D100*Opportunities!P10+E100*Opportunities!P11+F100*Opportunities!P12+G100*Opportunities!P13+H100*Opportunities!P14+I100*Opportunities!P15</f>
        <v>68204.71762261447</v>
      </c>
      <c r="M100" s="5">
        <f>IF(AND(J100&lt;=Assumptions!$B$6,K100&lt;=Assumptions!$B$7,B100*IF(Opportunities!S8="ELIGIBLE",0,1)+C100*IF(Opportunities!S9="ELIGIBLE",0,1)+D100*IF(Opportunities!S10="ELIGIBLE",0,1)+E100*IF(Opportunities!S11="ELIGIBLE",0,1)+F100*IF(Opportunities!S12="ELIGIBLE",0,1)+G100*IF(Opportunities!S13="ELIGIBLE",0,1)+H100*IF(Opportunities!S14="ELIGIBLE",0,1)+I100*IF(Opportunities!S15="ELIGIBLE",0,1)=0),1,0)</f>
        <v>0</v>
      </c>
      <c r="N100" s="5">
        <f>IF(M100=1,L100,-1E99)</f>
        <v>-1e+99</v>
      </c>
    </row>
    <row r="101">
      <c r="A101" s="12" t="n">
        <v>96</v>
      </c>
      <c r="B101" s="12" t="n">
        <v>0</v>
      </c>
      <c r="C101" s="12" t="n">
        <v>0</v>
      </c>
      <c r="D101" s="12" t="n">
        <v>0</v>
      </c>
      <c r="E101" s="12" t="n">
        <v>0</v>
      </c>
      <c r="F101" s="12" t="n">
        <v>0</v>
      </c>
      <c r="G101" s="12" t="n">
        <v>1</v>
      </c>
      <c r="H101" s="12" t="n">
        <v>1</v>
      </c>
      <c r="I101" s="12" t="n">
        <v>0</v>
      </c>
      <c r="J101" s="5">
        <f>B101*Opportunities!L8+C101*Opportunities!L9+D101*Opportunities!L10+E101*Opportunities!L11+F101*Opportunities!L12+G101*Opportunities!L13+H101*Opportunities!L14+I101*Opportunities!L15</f>
        <v>799250.0000000001</v>
      </c>
      <c r="K101" s="5">
        <f>SUM(B101:I101)</f>
        <v>2</v>
      </c>
      <c r="L101" s="5">
        <f>B101*Opportunities!P8+C101*Opportunities!P9+D101*Opportunities!P10+E101*Opportunities!P11+F101*Opportunities!P12+G101*Opportunities!P13+H101*Opportunities!P14+I101*Opportunities!P15</f>
        <v>72646.65879214031</v>
      </c>
      <c r="M101" s="5">
        <f>IF(AND(J101&lt;=Assumptions!$B$6,K101&lt;=Assumptions!$B$7,B101*IF(Opportunities!S8="ELIGIBLE",0,1)+C101*IF(Opportunities!S9="ELIGIBLE",0,1)+D101*IF(Opportunities!S10="ELIGIBLE",0,1)+E101*IF(Opportunities!S11="ELIGIBLE",0,1)+F101*IF(Opportunities!S12="ELIGIBLE",0,1)+G101*IF(Opportunities!S13="ELIGIBLE",0,1)+H101*IF(Opportunities!S14="ELIGIBLE",0,1)+I101*IF(Opportunities!S15="ELIGIBLE",0,1)=0),1,0)</f>
        <v>0</v>
      </c>
      <c r="N101" s="5">
        <f>IF(M101=1,L101,-1E99)</f>
        <v>-1e+99</v>
      </c>
    </row>
    <row r="102">
      <c r="A102" s="12" t="n">
        <v>97</v>
      </c>
      <c r="B102" s="12" t="n">
        <v>1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1</v>
      </c>
      <c r="H102" s="12" t="n">
        <v>1</v>
      </c>
      <c r="I102" s="12" t="n">
        <v>0</v>
      </c>
      <c r="J102" s="5">
        <f>B102*Opportunities!L8+C102*Opportunities!L9+D102*Opportunities!L10+E102*Opportunities!L11+F102*Opportunities!L12+G102*Opportunities!L13+H102*Opportunities!L14+I102*Opportunities!L15</f>
        <v>1668750.0000000002</v>
      </c>
      <c r="K102" s="5">
        <f>SUM(B102:I102)</f>
        <v>3</v>
      </c>
      <c r="L102" s="5">
        <f>B102*Opportunities!P8+C102*Opportunities!P9+D102*Opportunities!P10+E102*Opportunities!P11+F102*Opportunities!P12+G102*Opportunities!P13+H102*Opportunities!P14+I102*Opportunities!P15</f>
        <v>163543.1758145867</v>
      </c>
      <c r="M102" s="5">
        <f>IF(AND(J102&lt;=Assumptions!$B$6,K102&lt;=Assumptions!$B$7,B102*IF(Opportunities!S8="ELIGIBLE",0,1)+C102*IF(Opportunities!S9="ELIGIBLE",0,1)+D102*IF(Opportunities!S10="ELIGIBLE",0,1)+E102*IF(Opportunities!S11="ELIGIBLE",0,1)+F102*IF(Opportunities!S12="ELIGIBLE",0,1)+G102*IF(Opportunities!S13="ELIGIBLE",0,1)+H102*IF(Opportunities!S14="ELIGIBLE",0,1)+I102*IF(Opportunities!S15="ELIGIBLE",0,1)=0),1,0)</f>
        <v>0</v>
      </c>
      <c r="N102" s="5">
        <f>IF(M102=1,L102,-1E99)</f>
        <v>-1e+99</v>
      </c>
    </row>
    <row r="103">
      <c r="A103" s="12" t="n">
        <v>98</v>
      </c>
      <c r="B103" s="12" t="n">
        <v>0</v>
      </c>
      <c r="C103" s="12" t="n">
        <v>1</v>
      </c>
      <c r="D103" s="12" t="n">
        <v>0</v>
      </c>
      <c r="E103" s="12" t="n">
        <v>0</v>
      </c>
      <c r="F103" s="12" t="n">
        <v>0</v>
      </c>
      <c r="G103" s="12" t="n">
        <v>1</v>
      </c>
      <c r="H103" s="12" t="n">
        <v>1</v>
      </c>
      <c r="I103" s="12" t="n">
        <v>0</v>
      </c>
      <c r="J103" s="5">
        <f>B103*Opportunities!L8+C103*Opportunities!L9+D103*Opportunities!L10+E103*Opportunities!L11+F103*Opportunities!L12+G103*Opportunities!L13+H103*Opportunities!L14+I103*Opportunities!L15</f>
        <v>1384250.0</v>
      </c>
      <c r="K103" s="5">
        <f>SUM(B103:I103)</f>
        <v>3</v>
      </c>
      <c r="L103" s="5">
        <f>B103*Opportunities!P8+C103*Opportunities!P9+D103*Opportunities!P10+E103*Opportunities!P11+F103*Opportunities!P12+G103*Opportunities!P13+H103*Opportunities!P14+I103*Opportunities!P15</f>
        <v>148775.0612835688</v>
      </c>
      <c r="M103" s="5">
        <f>IF(AND(J103&lt;=Assumptions!$B$6,K103&lt;=Assumptions!$B$7,B103*IF(Opportunities!S8="ELIGIBLE",0,1)+C103*IF(Opportunities!S9="ELIGIBLE",0,1)+D103*IF(Opportunities!S10="ELIGIBLE",0,1)+E103*IF(Opportunities!S11="ELIGIBLE",0,1)+F103*IF(Opportunities!S12="ELIGIBLE",0,1)+G103*IF(Opportunities!S13="ELIGIBLE",0,1)+H103*IF(Opportunities!S14="ELIGIBLE",0,1)+I103*IF(Opportunities!S15="ELIGIBLE",0,1)=0),1,0)</f>
        <v>0</v>
      </c>
      <c r="N103" s="5">
        <f>IF(M103=1,L103,-1E99)</f>
        <v>-1e+99</v>
      </c>
    </row>
    <row r="104">
      <c r="A104" s="12" t="n">
        <v>99</v>
      </c>
      <c r="B104" s="12" t="n">
        <v>1</v>
      </c>
      <c r="C104" s="12" t="n">
        <v>1</v>
      </c>
      <c r="D104" s="12" t="n">
        <v>0</v>
      </c>
      <c r="E104" s="12" t="n">
        <v>0</v>
      </c>
      <c r="F104" s="12" t="n">
        <v>0</v>
      </c>
      <c r="G104" s="12" t="n">
        <v>1</v>
      </c>
      <c r="H104" s="12" t="n">
        <v>1</v>
      </c>
      <c r="I104" s="12" t="n">
        <v>0</v>
      </c>
      <c r="J104" s="5">
        <f>B104*Opportunities!L8+C104*Opportunities!L9+D104*Opportunities!L10+E104*Opportunities!L11+F104*Opportunities!L12+G104*Opportunities!L13+H104*Opportunities!L14+I104*Opportunities!L15</f>
        <v>2253750.0</v>
      </c>
      <c r="K104" s="5">
        <f>SUM(B104:I104)</f>
        <v>4</v>
      </c>
      <c r="L104" s="5">
        <f>B104*Opportunities!P8+C104*Opportunities!P9+D104*Opportunities!P10+E104*Opportunities!P11+F104*Opportunities!P12+G104*Opportunities!P13+H104*Opportunities!P14+I104*Opportunities!P15</f>
        <v>239671.57830601517</v>
      </c>
      <c r="M104" s="5">
        <f>IF(AND(J104&lt;=Assumptions!$B$6,K104&lt;=Assumptions!$B$7,B104*IF(Opportunities!S8="ELIGIBLE",0,1)+C104*IF(Opportunities!S9="ELIGIBLE",0,1)+D104*IF(Opportunities!S10="ELIGIBLE",0,1)+E104*IF(Opportunities!S11="ELIGIBLE",0,1)+F104*IF(Opportunities!S12="ELIGIBLE",0,1)+G104*IF(Opportunities!S13="ELIGIBLE",0,1)+H104*IF(Opportunities!S14="ELIGIBLE",0,1)+I104*IF(Opportunities!S15="ELIGIBLE",0,1)=0),1,0)</f>
        <v>0</v>
      </c>
      <c r="N104" s="5">
        <f>IF(M104=1,L104,-1E99)</f>
        <v>-1e+99</v>
      </c>
    </row>
    <row r="105">
      <c r="A105" s="12" t="n">
        <v>100</v>
      </c>
      <c r="B105" s="12" t="n">
        <v>0</v>
      </c>
      <c r="C105" s="12" t="n">
        <v>0</v>
      </c>
      <c r="D105" s="12" t="n">
        <v>1</v>
      </c>
      <c r="E105" s="12" t="n">
        <v>0</v>
      </c>
      <c r="F105" s="12" t="n">
        <v>0</v>
      </c>
      <c r="G105" s="12" t="n">
        <v>1</v>
      </c>
      <c r="H105" s="12" t="n">
        <v>1</v>
      </c>
      <c r="I105" s="12" t="n">
        <v>0</v>
      </c>
      <c r="J105" s="5">
        <f>B105*Opportunities!L8+C105*Opportunities!L9+D105*Opportunities!L10+E105*Opportunities!L11+F105*Opportunities!L12+G105*Opportunities!L13+H105*Opportunities!L14+I105*Opportunities!L15</f>
        <v>2380250.0</v>
      </c>
      <c r="K105" s="5">
        <f>SUM(B105:I105)</f>
        <v>3</v>
      </c>
      <c r="L105" s="5">
        <f>B105*Opportunities!P8+C105*Opportunities!P9+D105*Opportunities!P10+E105*Opportunities!P11+F105*Opportunities!P12+G105*Opportunities!P13+H105*Opportunities!P14+I105*Opportunities!P15</f>
        <v>127430.37396500062</v>
      </c>
      <c r="M105" s="5">
        <f>IF(AND(J105&lt;=Assumptions!$B$6,K105&lt;=Assumptions!$B$7,B105*IF(Opportunities!S8="ELIGIBLE",0,1)+C105*IF(Opportunities!S9="ELIGIBLE",0,1)+D105*IF(Opportunities!S10="ELIGIBLE",0,1)+E105*IF(Opportunities!S11="ELIGIBLE",0,1)+F105*IF(Opportunities!S12="ELIGIBLE",0,1)+G105*IF(Opportunities!S13="ELIGIBLE",0,1)+H105*IF(Opportunities!S14="ELIGIBLE",0,1)+I105*IF(Opportunities!S15="ELIGIBLE",0,1)=0),1,0)</f>
        <v>0</v>
      </c>
      <c r="N105" s="5">
        <f>IF(M105=1,L105,-1E99)</f>
        <v>-1e+99</v>
      </c>
    </row>
    <row r="106">
      <c r="A106" s="12" t="n">
        <v>101</v>
      </c>
      <c r="B106" s="12" t="n">
        <v>1</v>
      </c>
      <c r="C106" s="12" t="n">
        <v>0</v>
      </c>
      <c r="D106" s="12" t="n">
        <v>1</v>
      </c>
      <c r="E106" s="12" t="n">
        <v>0</v>
      </c>
      <c r="F106" s="12" t="n">
        <v>0</v>
      </c>
      <c r="G106" s="12" t="n">
        <v>1</v>
      </c>
      <c r="H106" s="12" t="n">
        <v>1</v>
      </c>
      <c r="I106" s="12" t="n">
        <v>0</v>
      </c>
      <c r="J106" s="5">
        <f>B106*Opportunities!L8+C106*Opportunities!L9+D106*Opportunities!L10+E106*Opportunities!L11+F106*Opportunities!L12+G106*Opportunities!L13+H106*Opportunities!L14+I106*Opportunities!L15</f>
        <v>3249750.0</v>
      </c>
      <c r="K106" s="5">
        <f>SUM(B106:I106)</f>
        <v>4</v>
      </c>
      <c r="L106" s="5">
        <f>B106*Opportunities!P8+C106*Opportunities!P9+D106*Opportunities!P10+E106*Opportunities!P11+F106*Opportunities!P12+G106*Opportunities!P13+H106*Opportunities!P14+I106*Opportunities!P15</f>
        <v>218326.890987447</v>
      </c>
      <c r="M106" s="5">
        <f>IF(AND(J106&lt;=Assumptions!$B$6,K106&lt;=Assumptions!$B$7,B106*IF(Opportunities!S8="ELIGIBLE",0,1)+C106*IF(Opportunities!S9="ELIGIBLE",0,1)+D106*IF(Opportunities!S10="ELIGIBLE",0,1)+E106*IF(Opportunities!S11="ELIGIBLE",0,1)+F106*IF(Opportunities!S12="ELIGIBLE",0,1)+G106*IF(Opportunities!S13="ELIGIBLE",0,1)+H106*IF(Opportunities!S14="ELIGIBLE",0,1)+I106*IF(Opportunities!S15="ELIGIBLE",0,1)=0),1,0)</f>
        <v>0</v>
      </c>
      <c r="N106" s="5">
        <f>IF(M106=1,L106,-1E99)</f>
        <v>-1e+99</v>
      </c>
    </row>
    <row r="107">
      <c r="A107" s="12" t="n">
        <v>102</v>
      </c>
      <c r="B107" s="12" t="n">
        <v>0</v>
      </c>
      <c r="C107" s="12" t="n">
        <v>1</v>
      </c>
      <c r="D107" s="12" t="n">
        <v>1</v>
      </c>
      <c r="E107" s="12" t="n">
        <v>0</v>
      </c>
      <c r="F107" s="12" t="n">
        <v>0</v>
      </c>
      <c r="G107" s="12" t="n">
        <v>1</v>
      </c>
      <c r="H107" s="12" t="n">
        <v>1</v>
      </c>
      <c r="I107" s="12" t="n">
        <v>0</v>
      </c>
      <c r="J107" s="5">
        <f>B107*Opportunities!L8+C107*Opportunities!L9+D107*Opportunities!L10+E107*Opportunities!L11+F107*Opportunities!L12+G107*Opportunities!L13+H107*Opportunities!L14+I107*Opportunities!L15</f>
        <v>2965250.0</v>
      </c>
      <c r="K107" s="5">
        <f>SUM(B107:I107)</f>
        <v>4</v>
      </c>
      <c r="L107" s="5">
        <f>B107*Opportunities!P8+C107*Opportunities!P9+D107*Opportunities!P10+E107*Opportunities!P11+F107*Opportunities!P12+G107*Opportunities!P13+H107*Opportunities!P14+I107*Opportunities!P15</f>
        <v>203558.7764564291</v>
      </c>
      <c r="M107" s="5">
        <f>IF(AND(J107&lt;=Assumptions!$B$6,K107&lt;=Assumptions!$B$7,B107*IF(Opportunities!S8="ELIGIBLE",0,1)+C107*IF(Opportunities!S9="ELIGIBLE",0,1)+D107*IF(Opportunities!S10="ELIGIBLE",0,1)+E107*IF(Opportunities!S11="ELIGIBLE",0,1)+F107*IF(Opportunities!S12="ELIGIBLE",0,1)+G107*IF(Opportunities!S13="ELIGIBLE",0,1)+H107*IF(Opportunities!S14="ELIGIBLE",0,1)+I107*IF(Opportunities!S15="ELIGIBLE",0,1)=0),1,0)</f>
        <v>0</v>
      </c>
      <c r="N107" s="5">
        <f>IF(M107=1,L107,-1E99)</f>
        <v>-1e+99</v>
      </c>
    </row>
    <row r="108">
      <c r="A108" s="12" t="n">
        <v>103</v>
      </c>
      <c r="B108" s="12" t="n">
        <v>1</v>
      </c>
      <c r="C108" s="12" t="n">
        <v>1</v>
      </c>
      <c r="D108" s="12" t="n">
        <v>1</v>
      </c>
      <c r="E108" s="12" t="n">
        <v>0</v>
      </c>
      <c r="F108" s="12" t="n">
        <v>0</v>
      </c>
      <c r="G108" s="12" t="n">
        <v>1</v>
      </c>
      <c r="H108" s="12" t="n">
        <v>1</v>
      </c>
      <c r="I108" s="12" t="n">
        <v>0</v>
      </c>
      <c r="J108" s="5">
        <f>B108*Opportunities!L8+C108*Opportunities!L9+D108*Opportunities!L10+E108*Opportunities!L11+F108*Opportunities!L12+G108*Opportunities!L13+H108*Opportunities!L14+I108*Opportunities!L15</f>
        <v>3834750.0</v>
      </c>
      <c r="K108" s="5">
        <f>SUM(B108:I108)</f>
        <v>5</v>
      </c>
      <c r="L108" s="5">
        <f>B108*Opportunities!P8+C108*Opportunities!P9+D108*Opportunities!P10+E108*Opportunities!P11+F108*Opportunities!P12+G108*Opportunities!P13+H108*Opportunities!P14+I108*Opportunities!P15</f>
        <v>294455.2934788755</v>
      </c>
      <c r="M108" s="5">
        <f>IF(AND(J108&lt;=Assumptions!$B$6,K108&lt;=Assumptions!$B$7,B108*IF(Opportunities!S8="ELIGIBLE",0,1)+C108*IF(Opportunities!S9="ELIGIBLE",0,1)+D108*IF(Opportunities!S10="ELIGIBLE",0,1)+E108*IF(Opportunities!S11="ELIGIBLE",0,1)+F108*IF(Opportunities!S12="ELIGIBLE",0,1)+G108*IF(Opportunities!S13="ELIGIBLE",0,1)+H108*IF(Opportunities!S14="ELIGIBLE",0,1)+I108*IF(Opportunities!S15="ELIGIBLE",0,1)=0),1,0)</f>
        <v>0</v>
      </c>
      <c r="N108" s="5">
        <f>IF(M108=1,L108,-1E99)</f>
        <v>-1e+99</v>
      </c>
    </row>
    <row r="109">
      <c r="A109" s="12" t="n">
        <v>104</v>
      </c>
      <c r="B109" s="12" t="n">
        <v>0</v>
      </c>
      <c r="C109" s="12" t="n">
        <v>0</v>
      </c>
      <c r="D109" s="12" t="n">
        <v>0</v>
      </c>
      <c r="E109" s="12" t="n">
        <v>1</v>
      </c>
      <c r="F109" s="12" t="n">
        <v>0</v>
      </c>
      <c r="G109" s="12" t="n">
        <v>1</v>
      </c>
      <c r="H109" s="12" t="n">
        <v>1</v>
      </c>
      <c r="I109" s="12" t="n">
        <v>0</v>
      </c>
      <c r="J109" s="5">
        <f>B109*Opportunities!L8+C109*Opportunities!L9+D109*Opportunities!L10+E109*Opportunities!L11+F109*Opportunities!L12+G109*Opportunities!L13+H109*Opportunities!L14+I109*Opportunities!L15</f>
        <v>1131500.0</v>
      </c>
      <c r="K109" s="5">
        <f>SUM(B109:I109)</f>
        <v>3</v>
      </c>
      <c r="L109" s="5">
        <f>B109*Opportunities!P8+C109*Opportunities!P9+D109*Opportunities!P10+E109*Opportunities!P11+F109*Opportunities!P12+G109*Opportunities!P13+H109*Opportunities!P14+I109*Opportunities!P15</f>
        <v>94534.7815651028</v>
      </c>
      <c r="M109" s="5">
        <f>IF(AND(J109&lt;=Assumptions!$B$6,K109&lt;=Assumptions!$B$7,B109*IF(Opportunities!S8="ELIGIBLE",0,1)+C109*IF(Opportunities!S9="ELIGIBLE",0,1)+D109*IF(Opportunities!S10="ELIGIBLE",0,1)+E109*IF(Opportunities!S11="ELIGIBLE",0,1)+F109*IF(Opportunities!S12="ELIGIBLE",0,1)+G109*IF(Opportunities!S13="ELIGIBLE",0,1)+H109*IF(Opportunities!S14="ELIGIBLE",0,1)+I109*IF(Opportunities!S15="ELIGIBLE",0,1)=0),1,0)</f>
        <v>0</v>
      </c>
      <c r="N109" s="5">
        <f>IF(M109=1,L109,-1E99)</f>
        <v>-1e+99</v>
      </c>
    </row>
    <row r="110">
      <c r="A110" s="12" t="n">
        <v>105</v>
      </c>
      <c r="B110" s="12" t="n">
        <v>1</v>
      </c>
      <c r="C110" s="12" t="n">
        <v>0</v>
      </c>
      <c r="D110" s="12" t="n">
        <v>0</v>
      </c>
      <c r="E110" s="12" t="n">
        <v>1</v>
      </c>
      <c r="F110" s="12" t="n">
        <v>0</v>
      </c>
      <c r="G110" s="12" t="n">
        <v>1</v>
      </c>
      <c r="H110" s="12" t="n">
        <v>1</v>
      </c>
      <c r="I110" s="12" t="n">
        <v>0</v>
      </c>
      <c r="J110" s="5">
        <f>B110*Opportunities!L8+C110*Opportunities!L9+D110*Opportunities!L10+E110*Opportunities!L11+F110*Opportunities!L12+G110*Opportunities!L13+H110*Opportunities!L14+I110*Opportunities!L15</f>
        <v>2001000.0</v>
      </c>
      <c r="K110" s="5">
        <f>SUM(B110:I110)</f>
        <v>4</v>
      </c>
      <c r="L110" s="5">
        <f>B110*Opportunities!P8+C110*Opportunities!P9+D110*Opportunities!P10+E110*Opportunities!P11+F110*Opportunities!P12+G110*Opportunities!P13+H110*Opportunities!P14+I110*Opportunities!P15</f>
        <v>185431.2985875492</v>
      </c>
      <c r="M110" s="5">
        <f>IF(AND(J110&lt;=Assumptions!$B$6,K110&lt;=Assumptions!$B$7,B110*IF(Opportunities!S8="ELIGIBLE",0,1)+C110*IF(Opportunities!S9="ELIGIBLE",0,1)+D110*IF(Opportunities!S10="ELIGIBLE",0,1)+E110*IF(Opportunities!S11="ELIGIBLE",0,1)+F110*IF(Opportunities!S12="ELIGIBLE",0,1)+G110*IF(Opportunities!S13="ELIGIBLE",0,1)+H110*IF(Opportunities!S14="ELIGIBLE",0,1)+I110*IF(Opportunities!S15="ELIGIBLE",0,1)=0),1,0)</f>
        <v>0</v>
      </c>
      <c r="N110" s="5">
        <f>IF(M110=1,L110,-1E99)</f>
        <v>-1e+99</v>
      </c>
    </row>
    <row r="111">
      <c r="A111" s="12" t="n">
        <v>106</v>
      </c>
      <c r="B111" s="12" t="n">
        <v>0</v>
      </c>
      <c r="C111" s="12" t="n">
        <v>1</v>
      </c>
      <c r="D111" s="12" t="n">
        <v>0</v>
      </c>
      <c r="E111" s="12" t="n">
        <v>1</v>
      </c>
      <c r="F111" s="12" t="n">
        <v>0</v>
      </c>
      <c r="G111" s="12" t="n">
        <v>1</v>
      </c>
      <c r="H111" s="12" t="n">
        <v>1</v>
      </c>
      <c r="I111" s="12" t="n">
        <v>0</v>
      </c>
      <c r="J111" s="5">
        <f>B111*Opportunities!L8+C111*Opportunities!L9+D111*Opportunities!L10+E111*Opportunities!L11+F111*Opportunities!L12+G111*Opportunities!L13+H111*Opportunities!L14+I111*Opportunities!L15</f>
        <v>1716500.0</v>
      </c>
      <c r="K111" s="5">
        <f>SUM(B111:I111)</f>
        <v>4</v>
      </c>
      <c r="L111" s="5">
        <f>B111*Opportunities!P8+C111*Opportunities!P9+D111*Opportunities!P10+E111*Opportunities!P11+F111*Opportunities!P12+G111*Opportunities!P13+H111*Opportunities!P14+I111*Opportunities!P15</f>
        <v>170663.1840565313</v>
      </c>
      <c r="M111" s="5">
        <f>IF(AND(J111&lt;=Assumptions!$B$6,K111&lt;=Assumptions!$B$7,B111*IF(Opportunities!S8="ELIGIBLE",0,1)+C111*IF(Opportunities!S9="ELIGIBLE",0,1)+D111*IF(Opportunities!S10="ELIGIBLE",0,1)+E111*IF(Opportunities!S11="ELIGIBLE",0,1)+F111*IF(Opportunities!S12="ELIGIBLE",0,1)+G111*IF(Opportunities!S13="ELIGIBLE",0,1)+H111*IF(Opportunities!S14="ELIGIBLE",0,1)+I111*IF(Opportunities!S15="ELIGIBLE",0,1)=0),1,0)</f>
        <v>0</v>
      </c>
      <c r="N111" s="5">
        <f>IF(M111=1,L111,-1E99)</f>
        <v>-1e+99</v>
      </c>
    </row>
    <row r="112">
      <c r="A112" s="12" t="n">
        <v>107</v>
      </c>
      <c r="B112" s="12" t="n">
        <v>1</v>
      </c>
      <c r="C112" s="12" t="n">
        <v>1</v>
      </c>
      <c r="D112" s="12" t="n">
        <v>0</v>
      </c>
      <c r="E112" s="12" t="n">
        <v>1</v>
      </c>
      <c r="F112" s="12" t="n">
        <v>0</v>
      </c>
      <c r="G112" s="12" t="n">
        <v>1</v>
      </c>
      <c r="H112" s="12" t="n">
        <v>1</v>
      </c>
      <c r="I112" s="12" t="n">
        <v>0</v>
      </c>
      <c r="J112" s="5">
        <f>B112*Opportunities!L8+C112*Opportunities!L9+D112*Opportunities!L10+E112*Opportunities!L11+F112*Opportunities!L12+G112*Opportunities!L13+H112*Opportunities!L14+I112*Opportunities!L15</f>
        <v>2586000.0</v>
      </c>
      <c r="K112" s="5">
        <f>SUM(B112:I112)</f>
        <v>5</v>
      </c>
      <c r="L112" s="5">
        <f>B112*Opportunities!P8+C112*Opportunities!P9+D112*Opportunities!P10+E112*Opportunities!P11+F112*Opportunities!P12+G112*Opportunities!P13+H112*Opportunities!P14+I112*Opportunities!P15</f>
        <v>261559.70107897767</v>
      </c>
      <c r="M112" s="5">
        <f>IF(AND(J112&lt;=Assumptions!$B$6,K112&lt;=Assumptions!$B$7,B112*IF(Opportunities!S8="ELIGIBLE",0,1)+C112*IF(Opportunities!S9="ELIGIBLE",0,1)+D112*IF(Opportunities!S10="ELIGIBLE",0,1)+E112*IF(Opportunities!S11="ELIGIBLE",0,1)+F112*IF(Opportunities!S12="ELIGIBLE",0,1)+G112*IF(Opportunities!S13="ELIGIBLE",0,1)+H112*IF(Opportunities!S14="ELIGIBLE",0,1)+I112*IF(Opportunities!S15="ELIGIBLE",0,1)=0),1,0)</f>
        <v>0</v>
      </c>
      <c r="N112" s="5">
        <f>IF(M112=1,L112,-1E99)</f>
        <v>-1e+99</v>
      </c>
    </row>
    <row r="113">
      <c r="A113" s="12" t="n">
        <v>108</v>
      </c>
      <c r="B113" s="12" t="n">
        <v>0</v>
      </c>
      <c r="C113" s="12" t="n">
        <v>0</v>
      </c>
      <c r="D113" s="12" t="n">
        <v>1</v>
      </c>
      <c r="E113" s="12" t="n">
        <v>1</v>
      </c>
      <c r="F113" s="12" t="n">
        <v>0</v>
      </c>
      <c r="G113" s="12" t="n">
        <v>1</v>
      </c>
      <c r="H113" s="12" t="n">
        <v>1</v>
      </c>
      <c r="I113" s="12" t="n">
        <v>0</v>
      </c>
      <c r="J113" s="5">
        <f>B113*Opportunities!L8+C113*Opportunities!L9+D113*Opportunities!L10+E113*Opportunities!L11+F113*Opportunities!L12+G113*Opportunities!L13+H113*Opportunities!L14+I113*Opportunities!L15</f>
        <v>2712500.0</v>
      </c>
      <c r="K113" s="5">
        <f>SUM(B113:I113)</f>
        <v>4</v>
      </c>
      <c r="L113" s="5">
        <f>B113*Opportunities!P8+C113*Opportunities!P9+D113*Opportunities!P10+E113*Opportunities!P11+F113*Opportunities!P12+G113*Opportunities!P13+H113*Opportunities!P14+I113*Opportunities!P15</f>
        <v>149318.4967379631</v>
      </c>
      <c r="M113" s="5">
        <f>IF(AND(J113&lt;=Assumptions!$B$6,K113&lt;=Assumptions!$B$7,B113*IF(Opportunities!S8="ELIGIBLE",0,1)+C113*IF(Opportunities!S9="ELIGIBLE",0,1)+D113*IF(Opportunities!S10="ELIGIBLE",0,1)+E113*IF(Opportunities!S11="ELIGIBLE",0,1)+F113*IF(Opportunities!S12="ELIGIBLE",0,1)+G113*IF(Opportunities!S13="ELIGIBLE",0,1)+H113*IF(Opportunities!S14="ELIGIBLE",0,1)+I113*IF(Opportunities!S15="ELIGIBLE",0,1)=0),1,0)</f>
        <v>0</v>
      </c>
      <c r="N113" s="5">
        <f>IF(M113=1,L113,-1E99)</f>
        <v>-1e+99</v>
      </c>
    </row>
    <row r="114">
      <c r="A114" s="12" t="n">
        <v>109</v>
      </c>
      <c r="B114" s="12" t="n">
        <v>1</v>
      </c>
      <c r="C114" s="12" t="n">
        <v>0</v>
      </c>
      <c r="D114" s="12" t="n">
        <v>1</v>
      </c>
      <c r="E114" s="12" t="n">
        <v>1</v>
      </c>
      <c r="F114" s="12" t="n">
        <v>0</v>
      </c>
      <c r="G114" s="12" t="n">
        <v>1</v>
      </c>
      <c r="H114" s="12" t="n">
        <v>1</v>
      </c>
      <c r="I114" s="12" t="n">
        <v>0</v>
      </c>
      <c r="J114" s="5">
        <f>B114*Opportunities!L8+C114*Opportunities!L9+D114*Opportunities!L10+E114*Opportunities!L11+F114*Opportunities!L12+G114*Opportunities!L13+H114*Opportunities!L14+I114*Opportunities!L15</f>
        <v>3582000.0</v>
      </c>
      <c r="K114" s="5">
        <f>SUM(B114:I114)</f>
        <v>5</v>
      </c>
      <c r="L114" s="5">
        <f>B114*Opportunities!P8+C114*Opportunities!P9+D114*Opportunities!P10+E114*Opportunities!P11+F114*Opportunities!P12+G114*Opportunities!P13+H114*Opportunities!P14+I114*Opportunities!P15</f>
        <v>240215.0137604095</v>
      </c>
      <c r="M114" s="5">
        <f>IF(AND(J114&lt;=Assumptions!$B$6,K114&lt;=Assumptions!$B$7,B114*IF(Opportunities!S8="ELIGIBLE",0,1)+C114*IF(Opportunities!S9="ELIGIBLE",0,1)+D114*IF(Opportunities!S10="ELIGIBLE",0,1)+E114*IF(Opportunities!S11="ELIGIBLE",0,1)+F114*IF(Opportunities!S12="ELIGIBLE",0,1)+G114*IF(Opportunities!S13="ELIGIBLE",0,1)+H114*IF(Opportunities!S14="ELIGIBLE",0,1)+I114*IF(Opportunities!S15="ELIGIBLE",0,1)=0),1,0)</f>
        <v>0</v>
      </c>
      <c r="N114" s="5">
        <f>IF(M114=1,L114,-1E99)</f>
        <v>-1e+99</v>
      </c>
    </row>
    <row r="115">
      <c r="A115" s="12" t="n">
        <v>110</v>
      </c>
      <c r="B115" s="12" t="n">
        <v>0</v>
      </c>
      <c r="C115" s="12" t="n">
        <v>1</v>
      </c>
      <c r="D115" s="12" t="n">
        <v>1</v>
      </c>
      <c r="E115" s="12" t="n">
        <v>1</v>
      </c>
      <c r="F115" s="12" t="n">
        <v>0</v>
      </c>
      <c r="G115" s="12" t="n">
        <v>1</v>
      </c>
      <c r="H115" s="12" t="n">
        <v>1</v>
      </c>
      <c r="I115" s="12" t="n">
        <v>0</v>
      </c>
      <c r="J115" s="5">
        <f>B115*Opportunities!L8+C115*Opportunities!L9+D115*Opportunities!L10+E115*Opportunities!L11+F115*Opportunities!L12+G115*Opportunities!L13+H115*Opportunities!L14+I115*Opportunities!L15</f>
        <v>3297500.0</v>
      </c>
      <c r="K115" s="5">
        <f>SUM(B115:I115)</f>
        <v>5</v>
      </c>
      <c r="L115" s="5">
        <f>B115*Opportunities!P8+C115*Opportunities!P9+D115*Opportunities!P10+E115*Opportunities!P11+F115*Opportunities!P12+G115*Opportunities!P13+H115*Opportunities!P14+I115*Opportunities!P15</f>
        <v>225446.8992293916</v>
      </c>
      <c r="M115" s="5">
        <f>IF(AND(J115&lt;=Assumptions!$B$6,K115&lt;=Assumptions!$B$7,B115*IF(Opportunities!S8="ELIGIBLE",0,1)+C115*IF(Opportunities!S9="ELIGIBLE",0,1)+D115*IF(Opportunities!S10="ELIGIBLE",0,1)+E115*IF(Opportunities!S11="ELIGIBLE",0,1)+F115*IF(Opportunities!S12="ELIGIBLE",0,1)+G115*IF(Opportunities!S13="ELIGIBLE",0,1)+H115*IF(Opportunities!S14="ELIGIBLE",0,1)+I115*IF(Opportunities!S15="ELIGIBLE",0,1)=0),1,0)</f>
        <v>0</v>
      </c>
      <c r="N115" s="5">
        <f>IF(M115=1,L115,-1E99)</f>
        <v>-1e+99</v>
      </c>
    </row>
    <row r="116">
      <c r="A116" s="12" t="n">
        <v>111</v>
      </c>
      <c r="B116" s="12" t="n">
        <v>1</v>
      </c>
      <c r="C116" s="12" t="n">
        <v>1</v>
      </c>
      <c r="D116" s="12" t="n">
        <v>1</v>
      </c>
      <c r="E116" s="12" t="n">
        <v>1</v>
      </c>
      <c r="F116" s="12" t="n">
        <v>0</v>
      </c>
      <c r="G116" s="12" t="n">
        <v>1</v>
      </c>
      <c r="H116" s="12" t="n">
        <v>1</v>
      </c>
      <c r="I116" s="12" t="n">
        <v>0</v>
      </c>
      <c r="J116" s="5">
        <f>B116*Opportunities!L8+C116*Opportunities!L9+D116*Opportunities!L10+E116*Opportunities!L11+F116*Opportunities!L12+G116*Opportunities!L13+H116*Opportunities!L14+I116*Opportunities!L15</f>
        <v>4167000.0</v>
      </c>
      <c r="K116" s="5">
        <f>SUM(B116:I116)</f>
        <v>6</v>
      </c>
      <c r="L116" s="5">
        <f>B116*Opportunities!P8+C116*Opportunities!P9+D116*Opportunities!P10+E116*Opportunities!P11+F116*Opportunities!P12+G116*Opportunities!P13+H116*Opportunities!P14+I116*Opportunities!P15</f>
        <v>316343.416251838</v>
      </c>
      <c r="M116" s="5">
        <f>IF(AND(J116&lt;=Assumptions!$B$6,K116&lt;=Assumptions!$B$7,B116*IF(Opportunities!S8="ELIGIBLE",0,1)+C116*IF(Opportunities!S9="ELIGIBLE",0,1)+D116*IF(Opportunities!S10="ELIGIBLE",0,1)+E116*IF(Opportunities!S11="ELIGIBLE",0,1)+F116*IF(Opportunities!S12="ELIGIBLE",0,1)+G116*IF(Opportunities!S13="ELIGIBLE",0,1)+H116*IF(Opportunities!S14="ELIGIBLE",0,1)+I116*IF(Opportunities!S15="ELIGIBLE",0,1)=0),1,0)</f>
        <v>0</v>
      </c>
      <c r="N116" s="5">
        <f>IF(M116=1,L116,-1E99)</f>
        <v>-1e+99</v>
      </c>
    </row>
    <row r="117">
      <c r="A117" s="12" t="n">
        <v>112</v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1</v>
      </c>
      <c r="G117" s="12" t="n">
        <v>1</v>
      </c>
      <c r="H117" s="12" t="n">
        <v>1</v>
      </c>
      <c r="I117" s="12" t="n">
        <v>0</v>
      </c>
      <c r="J117" s="5">
        <f>B117*Opportunities!L8+C117*Opportunities!L9+D117*Opportunities!L10+E117*Opportunities!L11+F117*Opportunities!L12+G117*Opportunities!L13+H117*Opportunities!L14+I117*Opportunities!L15</f>
        <v>1942250.0</v>
      </c>
      <c r="K117" s="5">
        <f>SUM(B117:I117)</f>
        <v>3</v>
      </c>
      <c r="L117" s="5">
        <f>B117*Opportunities!P8+C117*Opportunities!P9+D117*Opportunities!P10+E117*Opportunities!P11+F117*Opportunities!P12+G117*Opportunities!P13+H117*Opportunities!P14+I117*Opportunities!P15</f>
        <v>-102845.38104494289</v>
      </c>
      <c r="M117" s="5">
        <f>IF(AND(J117&lt;=Assumptions!$B$6,K117&lt;=Assumptions!$B$7,B117*IF(Opportunities!S8="ELIGIBLE",0,1)+C117*IF(Opportunities!S9="ELIGIBLE",0,1)+D117*IF(Opportunities!S10="ELIGIBLE",0,1)+E117*IF(Opportunities!S11="ELIGIBLE",0,1)+F117*IF(Opportunities!S12="ELIGIBLE",0,1)+G117*IF(Opportunities!S13="ELIGIBLE",0,1)+H117*IF(Opportunities!S14="ELIGIBLE",0,1)+I117*IF(Opportunities!S15="ELIGIBLE",0,1)=0),1,0)</f>
        <v>0</v>
      </c>
      <c r="N117" s="5">
        <f>IF(M117=1,L117,-1E99)</f>
        <v>-1e+99</v>
      </c>
    </row>
    <row r="118">
      <c r="A118" s="12" t="n">
        <v>113</v>
      </c>
      <c r="B118" s="12" t="n">
        <v>1</v>
      </c>
      <c r="C118" s="12" t="n">
        <v>0</v>
      </c>
      <c r="D118" s="12" t="n">
        <v>0</v>
      </c>
      <c r="E118" s="12" t="n">
        <v>0</v>
      </c>
      <c r="F118" s="12" t="n">
        <v>1</v>
      </c>
      <c r="G118" s="12" t="n">
        <v>1</v>
      </c>
      <c r="H118" s="12" t="n">
        <v>1</v>
      </c>
      <c r="I118" s="12" t="n">
        <v>0</v>
      </c>
      <c r="J118" s="5">
        <f>B118*Opportunities!L8+C118*Opportunities!L9+D118*Opportunities!L10+E118*Opportunities!L11+F118*Opportunities!L12+G118*Opportunities!L13+H118*Opportunities!L14+I118*Opportunities!L15</f>
        <v>2811750.0</v>
      </c>
      <c r="K118" s="5">
        <f>SUM(B118:I118)</f>
        <v>4</v>
      </c>
      <c r="L118" s="5">
        <f>B118*Opportunities!P8+C118*Opportunities!P9+D118*Opportunities!P10+E118*Opportunities!P11+F118*Opportunities!P12+G118*Opportunities!P13+H118*Opportunities!P14+I118*Opportunities!P15</f>
        <v>-11948.864022496506</v>
      </c>
      <c r="M118" s="5">
        <f>IF(AND(J118&lt;=Assumptions!$B$6,K118&lt;=Assumptions!$B$7,B118*IF(Opportunities!S8="ELIGIBLE",0,1)+C118*IF(Opportunities!S9="ELIGIBLE",0,1)+D118*IF(Opportunities!S10="ELIGIBLE",0,1)+E118*IF(Opportunities!S11="ELIGIBLE",0,1)+F118*IF(Opportunities!S12="ELIGIBLE",0,1)+G118*IF(Opportunities!S13="ELIGIBLE",0,1)+H118*IF(Opportunities!S14="ELIGIBLE",0,1)+I118*IF(Opportunities!S15="ELIGIBLE",0,1)=0),1,0)</f>
        <v>0</v>
      </c>
      <c r="N118" s="5">
        <f>IF(M118=1,L118,-1E99)</f>
        <v>-1e+99</v>
      </c>
    </row>
    <row r="119">
      <c r="A119" s="12" t="n">
        <v>114</v>
      </c>
      <c r="B119" s="12" t="n">
        <v>0</v>
      </c>
      <c r="C119" s="12" t="n">
        <v>1</v>
      </c>
      <c r="D119" s="12" t="n">
        <v>0</v>
      </c>
      <c r="E119" s="12" t="n">
        <v>0</v>
      </c>
      <c r="F119" s="12" t="n">
        <v>1</v>
      </c>
      <c r="G119" s="12" t="n">
        <v>1</v>
      </c>
      <c r="H119" s="12" t="n">
        <v>1</v>
      </c>
      <c r="I119" s="12" t="n">
        <v>0</v>
      </c>
      <c r="J119" s="5">
        <f>B119*Opportunities!L8+C119*Opportunities!L9+D119*Opportunities!L10+E119*Opportunities!L11+F119*Opportunities!L12+G119*Opportunities!L13+H119*Opportunities!L14+I119*Opportunities!L15</f>
        <v>2527250.0</v>
      </c>
      <c r="K119" s="5">
        <f>SUM(B119:I119)</f>
        <v>4</v>
      </c>
      <c r="L119" s="5">
        <f>B119*Opportunities!P8+C119*Opportunities!P9+D119*Opportunities!P10+E119*Opportunities!P11+F119*Opportunities!P12+G119*Opportunities!P13+H119*Opportunities!P14+I119*Opportunities!P15</f>
        <v>-26716.978553514404</v>
      </c>
      <c r="M119" s="5">
        <f>IF(AND(J119&lt;=Assumptions!$B$6,K119&lt;=Assumptions!$B$7,B119*IF(Opportunities!S8="ELIGIBLE",0,1)+C119*IF(Opportunities!S9="ELIGIBLE",0,1)+D119*IF(Opportunities!S10="ELIGIBLE",0,1)+E119*IF(Opportunities!S11="ELIGIBLE",0,1)+F119*IF(Opportunities!S12="ELIGIBLE",0,1)+G119*IF(Opportunities!S13="ELIGIBLE",0,1)+H119*IF(Opportunities!S14="ELIGIBLE",0,1)+I119*IF(Opportunities!S15="ELIGIBLE",0,1)=0),1,0)</f>
        <v>0</v>
      </c>
      <c r="N119" s="5">
        <f>IF(M119=1,L119,-1E99)</f>
        <v>-1e+99</v>
      </c>
    </row>
    <row r="120">
      <c r="A120" s="12" t="n">
        <v>115</v>
      </c>
      <c r="B120" s="12" t="n">
        <v>1</v>
      </c>
      <c r="C120" s="12" t="n">
        <v>1</v>
      </c>
      <c r="D120" s="12" t="n">
        <v>0</v>
      </c>
      <c r="E120" s="12" t="n">
        <v>0</v>
      </c>
      <c r="F120" s="12" t="n">
        <v>1</v>
      </c>
      <c r="G120" s="12" t="n">
        <v>1</v>
      </c>
      <c r="H120" s="12" t="n">
        <v>1</v>
      </c>
      <c r="I120" s="12" t="n">
        <v>0</v>
      </c>
      <c r="J120" s="5">
        <f>B120*Opportunities!L8+C120*Opportunities!L9+D120*Opportunities!L10+E120*Opportunities!L11+F120*Opportunities!L12+G120*Opportunities!L13+H120*Opportunities!L14+I120*Opportunities!L15</f>
        <v>3396750.0</v>
      </c>
      <c r="K120" s="5">
        <f>SUM(B120:I120)</f>
        <v>5</v>
      </c>
      <c r="L120" s="5">
        <f>B120*Opportunities!P8+C120*Opportunities!P9+D120*Opportunities!P10+E120*Opportunities!P11+F120*Opportunities!P12+G120*Opportunities!P13+H120*Opportunities!P14+I120*Opportunities!P15</f>
        <v>64179.538468931976</v>
      </c>
      <c r="M120" s="5">
        <f>IF(AND(J120&lt;=Assumptions!$B$6,K120&lt;=Assumptions!$B$7,B120*IF(Opportunities!S8="ELIGIBLE",0,1)+C120*IF(Opportunities!S9="ELIGIBLE",0,1)+D120*IF(Opportunities!S10="ELIGIBLE",0,1)+E120*IF(Opportunities!S11="ELIGIBLE",0,1)+F120*IF(Opportunities!S12="ELIGIBLE",0,1)+G120*IF(Opportunities!S13="ELIGIBLE",0,1)+H120*IF(Opportunities!S14="ELIGIBLE",0,1)+I120*IF(Opportunities!S15="ELIGIBLE",0,1)=0),1,0)</f>
        <v>0</v>
      </c>
      <c r="N120" s="5">
        <f>IF(M120=1,L120,-1E99)</f>
        <v>-1e+99</v>
      </c>
    </row>
    <row r="121">
      <c r="A121" s="12" t="n">
        <v>116</v>
      </c>
      <c r="B121" s="12" t="n">
        <v>0</v>
      </c>
      <c r="C121" s="12" t="n">
        <v>0</v>
      </c>
      <c r="D121" s="12" t="n">
        <v>1</v>
      </c>
      <c r="E121" s="12" t="n">
        <v>0</v>
      </c>
      <c r="F121" s="12" t="n">
        <v>1</v>
      </c>
      <c r="G121" s="12" t="n">
        <v>1</v>
      </c>
      <c r="H121" s="12" t="n">
        <v>1</v>
      </c>
      <c r="I121" s="12" t="n">
        <v>0</v>
      </c>
      <c r="J121" s="5">
        <f>B121*Opportunities!L8+C121*Opportunities!L9+D121*Opportunities!L10+E121*Opportunities!L11+F121*Opportunities!L12+G121*Opportunities!L13+H121*Opportunities!L14+I121*Opportunities!L15</f>
        <v>3523250.0</v>
      </c>
      <c r="K121" s="5">
        <f>SUM(B121:I121)</f>
        <v>4</v>
      </c>
      <c r="L121" s="5">
        <f>B121*Opportunities!P8+C121*Opportunities!P9+D121*Opportunities!P10+E121*Opportunities!P11+F121*Opportunities!P12+G121*Opportunities!P13+H121*Opportunities!P14+I121*Opportunities!P15</f>
        <v>-48061.66587208258</v>
      </c>
      <c r="M121" s="5">
        <f>IF(AND(J121&lt;=Assumptions!$B$6,K121&lt;=Assumptions!$B$7,B121*IF(Opportunities!S8="ELIGIBLE",0,1)+C121*IF(Opportunities!S9="ELIGIBLE",0,1)+D121*IF(Opportunities!S10="ELIGIBLE",0,1)+E121*IF(Opportunities!S11="ELIGIBLE",0,1)+F121*IF(Opportunities!S12="ELIGIBLE",0,1)+G121*IF(Opportunities!S13="ELIGIBLE",0,1)+H121*IF(Opportunities!S14="ELIGIBLE",0,1)+I121*IF(Opportunities!S15="ELIGIBLE",0,1)=0),1,0)</f>
        <v>0</v>
      </c>
      <c r="N121" s="5">
        <f>IF(M121=1,L121,-1E99)</f>
        <v>-1e+99</v>
      </c>
    </row>
    <row r="122">
      <c r="A122" s="12" t="n">
        <v>117</v>
      </c>
      <c r="B122" s="12" t="n">
        <v>1</v>
      </c>
      <c r="C122" s="12" t="n">
        <v>0</v>
      </c>
      <c r="D122" s="12" t="n">
        <v>1</v>
      </c>
      <c r="E122" s="12" t="n">
        <v>0</v>
      </c>
      <c r="F122" s="12" t="n">
        <v>1</v>
      </c>
      <c r="G122" s="12" t="n">
        <v>1</v>
      </c>
      <c r="H122" s="12" t="n">
        <v>1</v>
      </c>
      <c r="I122" s="12" t="n">
        <v>0</v>
      </c>
      <c r="J122" s="5">
        <f>B122*Opportunities!L8+C122*Opportunities!L9+D122*Opportunities!L10+E122*Opportunities!L11+F122*Opportunities!L12+G122*Opportunities!L13+H122*Opportunities!L14+I122*Opportunities!L15</f>
        <v>4392750.0</v>
      </c>
      <c r="K122" s="5">
        <f>SUM(B122:I122)</f>
        <v>5</v>
      </c>
      <c r="L122" s="5">
        <f>B122*Opportunities!P8+C122*Opportunities!P9+D122*Opportunities!P10+E122*Opportunities!P11+F122*Opportunities!P12+G122*Opportunities!P13+H122*Opportunities!P14+I122*Opportunities!P15</f>
        <v>42834.8511503638</v>
      </c>
      <c r="M122" s="5">
        <f>IF(AND(J122&lt;=Assumptions!$B$6,K122&lt;=Assumptions!$B$7,B122*IF(Opportunities!S8="ELIGIBLE",0,1)+C122*IF(Opportunities!S9="ELIGIBLE",0,1)+D122*IF(Opportunities!S10="ELIGIBLE",0,1)+E122*IF(Opportunities!S11="ELIGIBLE",0,1)+F122*IF(Opportunities!S12="ELIGIBLE",0,1)+G122*IF(Opportunities!S13="ELIGIBLE",0,1)+H122*IF(Opportunities!S14="ELIGIBLE",0,1)+I122*IF(Opportunities!S15="ELIGIBLE",0,1)=0),1,0)</f>
        <v>0</v>
      </c>
      <c r="N122" s="5">
        <f>IF(M122=1,L122,-1E99)</f>
        <v>-1e+99</v>
      </c>
    </row>
    <row r="123">
      <c r="A123" s="12" t="n">
        <v>118</v>
      </c>
      <c r="B123" s="12" t="n">
        <v>0</v>
      </c>
      <c r="C123" s="12" t="n">
        <v>1</v>
      </c>
      <c r="D123" s="12" t="n">
        <v>1</v>
      </c>
      <c r="E123" s="12" t="n">
        <v>0</v>
      </c>
      <c r="F123" s="12" t="n">
        <v>1</v>
      </c>
      <c r="G123" s="12" t="n">
        <v>1</v>
      </c>
      <c r="H123" s="12" t="n">
        <v>1</v>
      </c>
      <c r="I123" s="12" t="n">
        <v>0</v>
      </c>
      <c r="J123" s="5">
        <f>B123*Opportunities!L8+C123*Opportunities!L9+D123*Opportunities!L10+E123*Opportunities!L11+F123*Opportunities!L12+G123*Opportunities!L13+H123*Opportunities!L14+I123*Opportunities!L15</f>
        <v>4108250.0</v>
      </c>
      <c r="K123" s="5">
        <f>SUM(B123:I123)</f>
        <v>5</v>
      </c>
      <c r="L123" s="5">
        <f>B123*Opportunities!P8+C123*Opportunities!P9+D123*Opportunities!P10+E123*Opportunities!P11+F123*Opportunities!P12+G123*Opportunities!P13+H123*Opportunities!P14+I123*Opportunities!P15</f>
        <v>28066.736619345902</v>
      </c>
      <c r="M123" s="5">
        <f>IF(AND(J123&lt;=Assumptions!$B$6,K123&lt;=Assumptions!$B$7,B123*IF(Opportunities!S8="ELIGIBLE",0,1)+C123*IF(Opportunities!S9="ELIGIBLE",0,1)+D123*IF(Opportunities!S10="ELIGIBLE",0,1)+E123*IF(Opportunities!S11="ELIGIBLE",0,1)+F123*IF(Opportunities!S12="ELIGIBLE",0,1)+G123*IF(Opportunities!S13="ELIGIBLE",0,1)+H123*IF(Opportunities!S14="ELIGIBLE",0,1)+I123*IF(Opportunities!S15="ELIGIBLE",0,1)=0),1,0)</f>
        <v>0</v>
      </c>
      <c r="N123" s="5">
        <f>IF(M123=1,L123,-1E99)</f>
        <v>-1e+99</v>
      </c>
    </row>
    <row r="124">
      <c r="A124" s="12" t="n">
        <v>119</v>
      </c>
      <c r="B124" s="12" t="n">
        <v>1</v>
      </c>
      <c r="C124" s="12" t="n">
        <v>1</v>
      </c>
      <c r="D124" s="12" t="n">
        <v>1</v>
      </c>
      <c r="E124" s="12" t="n">
        <v>0</v>
      </c>
      <c r="F124" s="12" t="n">
        <v>1</v>
      </c>
      <c r="G124" s="12" t="n">
        <v>1</v>
      </c>
      <c r="H124" s="12" t="n">
        <v>1</v>
      </c>
      <c r="I124" s="12" t="n">
        <v>0</v>
      </c>
      <c r="J124" s="5">
        <f>B124*Opportunities!L8+C124*Opportunities!L9+D124*Opportunities!L10+E124*Opportunities!L11+F124*Opportunities!L12+G124*Opportunities!L13+H124*Opportunities!L14+I124*Opportunities!L15</f>
        <v>4977750.0</v>
      </c>
      <c r="K124" s="5">
        <f>SUM(B124:I124)</f>
        <v>6</v>
      </c>
      <c r="L124" s="5">
        <f>B124*Opportunities!P8+C124*Opportunities!P9+D124*Opportunities!P10+E124*Opportunities!P11+F124*Opportunities!P12+G124*Opportunities!P13+H124*Opportunities!P14+I124*Opportunities!P15</f>
        <v>118963.25364179228</v>
      </c>
      <c r="M124" s="5">
        <f>IF(AND(J124&lt;=Assumptions!$B$6,K124&lt;=Assumptions!$B$7,B124*IF(Opportunities!S8="ELIGIBLE",0,1)+C124*IF(Opportunities!S9="ELIGIBLE",0,1)+D124*IF(Opportunities!S10="ELIGIBLE",0,1)+E124*IF(Opportunities!S11="ELIGIBLE",0,1)+F124*IF(Opportunities!S12="ELIGIBLE",0,1)+G124*IF(Opportunities!S13="ELIGIBLE",0,1)+H124*IF(Opportunities!S14="ELIGIBLE",0,1)+I124*IF(Opportunities!S15="ELIGIBLE",0,1)=0),1,0)</f>
        <v>0</v>
      </c>
      <c r="N124" s="5">
        <f>IF(M124=1,L124,-1E99)</f>
        <v>-1e+99</v>
      </c>
    </row>
    <row r="125">
      <c r="A125" s="12" t="n">
        <v>120</v>
      </c>
      <c r="B125" s="12" t="n">
        <v>0</v>
      </c>
      <c r="C125" s="12" t="n">
        <v>0</v>
      </c>
      <c r="D125" s="12" t="n">
        <v>0</v>
      </c>
      <c r="E125" s="12" t="n">
        <v>1</v>
      </c>
      <c r="F125" s="12" t="n">
        <v>1</v>
      </c>
      <c r="G125" s="12" t="n">
        <v>1</v>
      </c>
      <c r="H125" s="12" t="n">
        <v>1</v>
      </c>
      <c r="I125" s="12" t="n">
        <v>0</v>
      </c>
      <c r="J125" s="5">
        <f>B125*Opportunities!L8+C125*Opportunities!L9+D125*Opportunities!L10+E125*Opportunities!L11+F125*Opportunities!L12+G125*Opportunities!L13+H125*Opportunities!L14+I125*Opportunities!L15</f>
        <v>2274500.0</v>
      </c>
      <c r="K125" s="5">
        <f>SUM(B125:I125)</f>
        <v>4</v>
      </c>
      <c r="L125" s="5">
        <f>B125*Opportunities!P8+C125*Opportunities!P9+D125*Opportunities!P10+E125*Opportunities!P11+F125*Opportunities!P12+G125*Opportunities!P13+H125*Opportunities!P14+I125*Opportunities!P15</f>
        <v>-80957.25827198039</v>
      </c>
      <c r="M125" s="5">
        <f>IF(AND(J125&lt;=Assumptions!$B$6,K125&lt;=Assumptions!$B$7,B125*IF(Opportunities!S8="ELIGIBLE",0,1)+C125*IF(Opportunities!S9="ELIGIBLE",0,1)+D125*IF(Opportunities!S10="ELIGIBLE",0,1)+E125*IF(Opportunities!S11="ELIGIBLE",0,1)+F125*IF(Opportunities!S12="ELIGIBLE",0,1)+G125*IF(Opportunities!S13="ELIGIBLE",0,1)+H125*IF(Opportunities!S14="ELIGIBLE",0,1)+I125*IF(Opportunities!S15="ELIGIBLE",0,1)=0),1,0)</f>
        <v>0</v>
      </c>
      <c r="N125" s="5">
        <f>IF(M125=1,L125,-1E99)</f>
        <v>-1e+99</v>
      </c>
    </row>
    <row r="126">
      <c r="A126" s="12" t="n">
        <v>121</v>
      </c>
      <c r="B126" s="12" t="n">
        <v>1</v>
      </c>
      <c r="C126" s="12" t="n">
        <v>0</v>
      </c>
      <c r="D126" s="12" t="n">
        <v>0</v>
      </c>
      <c r="E126" s="12" t="n">
        <v>1</v>
      </c>
      <c r="F126" s="12" t="n">
        <v>1</v>
      </c>
      <c r="G126" s="12" t="n">
        <v>1</v>
      </c>
      <c r="H126" s="12" t="n">
        <v>1</v>
      </c>
      <c r="I126" s="12" t="n">
        <v>0</v>
      </c>
      <c r="J126" s="5">
        <f>B126*Opportunities!L8+C126*Opportunities!L9+D126*Opportunities!L10+E126*Opportunities!L11+F126*Opportunities!L12+G126*Opportunities!L13+H126*Opportunities!L14+I126*Opportunities!L15</f>
        <v>3144000.0</v>
      </c>
      <c r="K126" s="5">
        <f>SUM(B126:I126)</f>
        <v>5</v>
      </c>
      <c r="L126" s="5">
        <f>B126*Opportunities!P8+C126*Opportunities!P9+D126*Opportunities!P10+E126*Opportunities!P11+F126*Opportunities!P12+G126*Opportunities!P13+H126*Opportunities!P14+I126*Opportunities!P15</f>
        <v>9939.25875046599</v>
      </c>
      <c r="M126" s="5">
        <f>IF(AND(J126&lt;=Assumptions!$B$6,K126&lt;=Assumptions!$B$7,B126*IF(Opportunities!S8="ELIGIBLE",0,1)+C126*IF(Opportunities!S9="ELIGIBLE",0,1)+D126*IF(Opportunities!S10="ELIGIBLE",0,1)+E126*IF(Opportunities!S11="ELIGIBLE",0,1)+F126*IF(Opportunities!S12="ELIGIBLE",0,1)+G126*IF(Opportunities!S13="ELIGIBLE",0,1)+H126*IF(Opportunities!S14="ELIGIBLE",0,1)+I126*IF(Opportunities!S15="ELIGIBLE",0,1)=0),1,0)</f>
        <v>0</v>
      </c>
      <c r="N126" s="5">
        <f>IF(M126=1,L126,-1E99)</f>
        <v>-1e+99</v>
      </c>
    </row>
    <row r="127">
      <c r="A127" s="12" t="n">
        <v>122</v>
      </c>
      <c r="B127" s="12" t="n">
        <v>0</v>
      </c>
      <c r="C127" s="12" t="n">
        <v>1</v>
      </c>
      <c r="D127" s="12" t="n">
        <v>0</v>
      </c>
      <c r="E127" s="12" t="n">
        <v>1</v>
      </c>
      <c r="F127" s="12" t="n">
        <v>1</v>
      </c>
      <c r="G127" s="12" t="n">
        <v>1</v>
      </c>
      <c r="H127" s="12" t="n">
        <v>1</v>
      </c>
      <c r="I127" s="12" t="n">
        <v>0</v>
      </c>
      <c r="J127" s="5">
        <f>B127*Opportunities!L8+C127*Opportunities!L9+D127*Opportunities!L10+E127*Opportunities!L11+F127*Opportunities!L12+G127*Opportunities!L13+H127*Opportunities!L14+I127*Opportunities!L15</f>
        <v>2859500.0</v>
      </c>
      <c r="K127" s="5">
        <f>SUM(B127:I127)</f>
        <v>5</v>
      </c>
      <c r="L127" s="5">
        <f>B127*Opportunities!P8+C127*Opportunities!P9+D127*Opportunities!P10+E127*Opportunities!P11+F127*Opportunities!P12+G127*Opportunities!P13+H127*Opportunities!P14+I127*Opportunities!P15</f>
        <v>-4828.8557805519085</v>
      </c>
      <c r="M127" s="5">
        <f>IF(AND(J127&lt;=Assumptions!$B$6,K127&lt;=Assumptions!$B$7,B127*IF(Opportunities!S8="ELIGIBLE",0,1)+C127*IF(Opportunities!S9="ELIGIBLE",0,1)+D127*IF(Opportunities!S10="ELIGIBLE",0,1)+E127*IF(Opportunities!S11="ELIGIBLE",0,1)+F127*IF(Opportunities!S12="ELIGIBLE",0,1)+G127*IF(Opportunities!S13="ELIGIBLE",0,1)+H127*IF(Opportunities!S14="ELIGIBLE",0,1)+I127*IF(Opportunities!S15="ELIGIBLE",0,1)=0),1,0)</f>
        <v>0</v>
      </c>
      <c r="N127" s="5">
        <f>IF(M127=1,L127,-1E99)</f>
        <v>-1e+99</v>
      </c>
    </row>
    <row r="128">
      <c r="A128" s="12" t="n">
        <v>123</v>
      </c>
      <c r="B128" s="12" t="n">
        <v>1</v>
      </c>
      <c r="C128" s="12" t="n">
        <v>1</v>
      </c>
      <c r="D128" s="12" t="n">
        <v>0</v>
      </c>
      <c r="E128" s="12" t="n">
        <v>1</v>
      </c>
      <c r="F128" s="12" t="n">
        <v>1</v>
      </c>
      <c r="G128" s="12" t="n">
        <v>1</v>
      </c>
      <c r="H128" s="12" t="n">
        <v>1</v>
      </c>
      <c r="I128" s="12" t="n">
        <v>0</v>
      </c>
      <c r="J128" s="5">
        <f>B128*Opportunities!L8+C128*Opportunities!L9+D128*Opportunities!L10+E128*Opportunities!L11+F128*Opportunities!L12+G128*Opportunities!L13+H128*Opportunities!L14+I128*Opportunities!L15</f>
        <v>3729000.0</v>
      </c>
      <c r="K128" s="5">
        <f>SUM(B128:I128)</f>
        <v>6</v>
      </c>
      <c r="L128" s="5">
        <f>B128*Opportunities!P8+C128*Opportunities!P9+D128*Opportunities!P10+E128*Opportunities!P11+F128*Opportunities!P12+G128*Opportunities!P13+H128*Opportunities!P14+I128*Opportunities!P15</f>
        <v>86067.66124189447</v>
      </c>
      <c r="M128" s="5">
        <f>IF(AND(J128&lt;=Assumptions!$B$6,K128&lt;=Assumptions!$B$7,B128*IF(Opportunities!S8="ELIGIBLE",0,1)+C128*IF(Opportunities!S9="ELIGIBLE",0,1)+D128*IF(Opportunities!S10="ELIGIBLE",0,1)+E128*IF(Opportunities!S11="ELIGIBLE",0,1)+F128*IF(Opportunities!S12="ELIGIBLE",0,1)+G128*IF(Opportunities!S13="ELIGIBLE",0,1)+H128*IF(Opportunities!S14="ELIGIBLE",0,1)+I128*IF(Opportunities!S15="ELIGIBLE",0,1)=0),1,0)</f>
        <v>0</v>
      </c>
      <c r="N128" s="5">
        <f>IF(M128=1,L128,-1E99)</f>
        <v>-1e+99</v>
      </c>
    </row>
    <row r="129">
      <c r="A129" s="12" t="n">
        <v>124</v>
      </c>
      <c r="B129" s="12" t="n">
        <v>0</v>
      </c>
      <c r="C129" s="12" t="n">
        <v>0</v>
      </c>
      <c r="D129" s="12" t="n">
        <v>1</v>
      </c>
      <c r="E129" s="12" t="n">
        <v>1</v>
      </c>
      <c r="F129" s="12" t="n">
        <v>1</v>
      </c>
      <c r="G129" s="12" t="n">
        <v>1</v>
      </c>
      <c r="H129" s="12" t="n">
        <v>1</v>
      </c>
      <c r="I129" s="12" t="n">
        <v>0</v>
      </c>
      <c r="J129" s="5">
        <f>B129*Opportunities!L8+C129*Opportunities!L9+D129*Opportunities!L10+E129*Opportunities!L11+F129*Opportunities!L12+G129*Opportunities!L13+H129*Opportunities!L14+I129*Opportunities!L15</f>
        <v>3855500.0</v>
      </c>
      <c r="K129" s="5">
        <f>SUM(B129:I129)</f>
        <v>5</v>
      </c>
      <c r="L129" s="5">
        <f>B129*Opportunities!P8+C129*Opportunities!P9+D129*Opportunities!P10+E129*Opportunities!P11+F129*Opportunities!P12+G129*Opportunities!P13+H129*Opportunities!P14+I129*Opportunities!P15</f>
        <v>-26173.543099120085</v>
      </c>
      <c r="M129" s="5">
        <f>IF(AND(J129&lt;=Assumptions!$B$6,K129&lt;=Assumptions!$B$7,B129*IF(Opportunities!S8="ELIGIBLE",0,1)+C129*IF(Opportunities!S9="ELIGIBLE",0,1)+D129*IF(Opportunities!S10="ELIGIBLE",0,1)+E129*IF(Opportunities!S11="ELIGIBLE",0,1)+F129*IF(Opportunities!S12="ELIGIBLE",0,1)+G129*IF(Opportunities!S13="ELIGIBLE",0,1)+H129*IF(Opportunities!S14="ELIGIBLE",0,1)+I129*IF(Opportunities!S15="ELIGIBLE",0,1)=0),1,0)</f>
        <v>0</v>
      </c>
      <c r="N129" s="5">
        <f>IF(M129=1,L129,-1E99)</f>
        <v>-1e+99</v>
      </c>
    </row>
    <row r="130">
      <c r="A130" s="12" t="n">
        <v>125</v>
      </c>
      <c r="B130" s="12" t="n">
        <v>1</v>
      </c>
      <c r="C130" s="12" t="n">
        <v>0</v>
      </c>
      <c r="D130" s="12" t="n">
        <v>1</v>
      </c>
      <c r="E130" s="12" t="n">
        <v>1</v>
      </c>
      <c r="F130" s="12" t="n">
        <v>1</v>
      </c>
      <c r="G130" s="12" t="n">
        <v>1</v>
      </c>
      <c r="H130" s="12" t="n">
        <v>1</v>
      </c>
      <c r="I130" s="12" t="n">
        <v>0</v>
      </c>
      <c r="J130" s="5">
        <f>B130*Opportunities!L8+C130*Opportunities!L9+D130*Opportunities!L10+E130*Opportunities!L11+F130*Opportunities!L12+G130*Opportunities!L13+H130*Opportunities!L14+I130*Opportunities!L15</f>
        <v>4725000.0</v>
      </c>
      <c r="K130" s="5">
        <f>SUM(B130:I130)</f>
        <v>6</v>
      </c>
      <c r="L130" s="5">
        <f>B130*Opportunities!P8+C130*Opportunities!P9+D130*Opportunities!P10+E130*Opportunities!P11+F130*Opportunities!P12+G130*Opportunities!P13+H130*Opportunities!P14+I130*Opportunities!P15</f>
        <v>64722.973923326295</v>
      </c>
      <c r="M130" s="5">
        <f>IF(AND(J130&lt;=Assumptions!$B$6,K130&lt;=Assumptions!$B$7,B130*IF(Opportunities!S8="ELIGIBLE",0,1)+C130*IF(Opportunities!S9="ELIGIBLE",0,1)+D130*IF(Opportunities!S10="ELIGIBLE",0,1)+E130*IF(Opportunities!S11="ELIGIBLE",0,1)+F130*IF(Opportunities!S12="ELIGIBLE",0,1)+G130*IF(Opportunities!S13="ELIGIBLE",0,1)+H130*IF(Opportunities!S14="ELIGIBLE",0,1)+I130*IF(Opportunities!S15="ELIGIBLE",0,1)=0),1,0)</f>
        <v>0</v>
      </c>
      <c r="N130" s="5">
        <f>IF(M130=1,L130,-1E99)</f>
        <v>-1e+99</v>
      </c>
    </row>
    <row r="131">
      <c r="A131" s="12" t="n">
        <v>126</v>
      </c>
      <c r="B131" s="12" t="n">
        <v>0</v>
      </c>
      <c r="C131" s="12" t="n">
        <v>1</v>
      </c>
      <c r="D131" s="12" t="n">
        <v>1</v>
      </c>
      <c r="E131" s="12" t="n">
        <v>1</v>
      </c>
      <c r="F131" s="12" t="n">
        <v>1</v>
      </c>
      <c r="G131" s="12" t="n">
        <v>1</v>
      </c>
      <c r="H131" s="12" t="n">
        <v>1</v>
      </c>
      <c r="I131" s="12" t="n">
        <v>0</v>
      </c>
      <c r="J131" s="5">
        <f>B131*Opportunities!L8+C131*Opportunities!L9+D131*Opportunities!L10+E131*Opportunities!L11+F131*Opportunities!L12+G131*Opportunities!L13+H131*Opportunities!L14+I131*Opportunities!L15</f>
        <v>4440500.0</v>
      </c>
      <c r="K131" s="5">
        <f>SUM(B131:I131)</f>
        <v>6</v>
      </c>
      <c r="L131" s="5">
        <f>B131*Opportunities!P8+C131*Opportunities!P9+D131*Opportunities!P10+E131*Opportunities!P11+F131*Opportunities!P12+G131*Opportunities!P13+H131*Opportunities!P14+I131*Opportunities!P15</f>
        <v>49954.8593923084</v>
      </c>
      <c r="M131" s="5">
        <f>IF(AND(J131&lt;=Assumptions!$B$6,K131&lt;=Assumptions!$B$7,B131*IF(Opportunities!S8="ELIGIBLE",0,1)+C131*IF(Opportunities!S9="ELIGIBLE",0,1)+D131*IF(Opportunities!S10="ELIGIBLE",0,1)+E131*IF(Opportunities!S11="ELIGIBLE",0,1)+F131*IF(Opportunities!S12="ELIGIBLE",0,1)+G131*IF(Opportunities!S13="ELIGIBLE",0,1)+H131*IF(Opportunities!S14="ELIGIBLE",0,1)+I131*IF(Opportunities!S15="ELIGIBLE",0,1)=0),1,0)</f>
        <v>0</v>
      </c>
      <c r="N131" s="5">
        <f>IF(M131=1,L131,-1E99)</f>
        <v>-1e+99</v>
      </c>
    </row>
    <row r="132">
      <c r="A132" s="12" t="n">
        <v>127</v>
      </c>
      <c r="B132" s="12" t="n">
        <v>1</v>
      </c>
      <c r="C132" s="12" t="n">
        <v>1</v>
      </c>
      <c r="D132" s="12" t="n">
        <v>1</v>
      </c>
      <c r="E132" s="12" t="n">
        <v>1</v>
      </c>
      <c r="F132" s="12" t="n">
        <v>1</v>
      </c>
      <c r="G132" s="12" t="n">
        <v>1</v>
      </c>
      <c r="H132" s="12" t="n">
        <v>1</v>
      </c>
      <c r="I132" s="12" t="n">
        <v>0</v>
      </c>
      <c r="J132" s="5">
        <f>B132*Opportunities!L8+C132*Opportunities!L9+D132*Opportunities!L10+E132*Opportunities!L11+F132*Opportunities!L12+G132*Opportunities!L13+H132*Opportunities!L14+I132*Opportunities!L15</f>
        <v>5310000.0</v>
      </c>
      <c r="K132" s="5">
        <f>SUM(B132:I132)</f>
        <v>7</v>
      </c>
      <c r="L132" s="5">
        <f>B132*Opportunities!P8+C132*Opportunities!P9+D132*Opportunities!P10+E132*Opportunities!P11+F132*Opportunities!P12+G132*Opportunities!P13+H132*Opportunities!P14+I132*Opportunities!P15</f>
        <v>140851.37641475478</v>
      </c>
      <c r="M132" s="5">
        <f>IF(AND(J132&lt;=Assumptions!$B$6,K132&lt;=Assumptions!$B$7,B132*IF(Opportunities!S8="ELIGIBLE",0,1)+C132*IF(Opportunities!S9="ELIGIBLE",0,1)+D132*IF(Opportunities!S10="ELIGIBLE",0,1)+E132*IF(Opportunities!S11="ELIGIBLE",0,1)+F132*IF(Opportunities!S12="ELIGIBLE",0,1)+G132*IF(Opportunities!S13="ELIGIBLE",0,1)+H132*IF(Opportunities!S14="ELIGIBLE",0,1)+I132*IF(Opportunities!S15="ELIGIBLE",0,1)=0),1,0)</f>
        <v>0</v>
      </c>
      <c r="N132" s="5">
        <f>IF(M132=1,L132,-1E99)</f>
        <v>-1e+99</v>
      </c>
    </row>
    <row r="133">
      <c r="A133" s="12" t="n">
        <v>128</v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1</v>
      </c>
      <c r="J133" s="5">
        <f>B133*Opportunities!L8+C133*Opportunities!L9+D133*Opportunities!L10+E133*Opportunities!L11+F133*Opportunities!L12+G133*Opportunities!L13+H133*Opportunities!L14+I133*Opportunities!L15</f>
        <v>0</v>
      </c>
      <c r="K133" s="5">
        <f>SUM(B133:I133)</f>
        <v>1</v>
      </c>
      <c r="L133" s="5">
        <f>B133*Opportunities!P8+C133*Opportunities!P9+D133*Opportunities!P10+E133*Opportunities!P11+F133*Opportunities!P12+G133*Opportunities!P13+H133*Opportunities!P14+I133*Opportunities!P15</f>
        <v>0.0</v>
      </c>
      <c r="M133" s="5">
        <f>IF(AND(J133&lt;=Assumptions!$B$6,K133&lt;=Assumptions!$B$7,B133*IF(Opportunities!S8="ELIGIBLE",0,1)+C133*IF(Opportunities!S9="ELIGIBLE",0,1)+D133*IF(Opportunities!S10="ELIGIBLE",0,1)+E133*IF(Opportunities!S11="ELIGIBLE",0,1)+F133*IF(Opportunities!S12="ELIGIBLE",0,1)+G133*IF(Opportunities!S13="ELIGIBLE",0,1)+H133*IF(Opportunities!S14="ELIGIBLE",0,1)+I133*IF(Opportunities!S15="ELIGIBLE",0,1)=0),1,0)</f>
        <v>0</v>
      </c>
      <c r="N133" s="5">
        <f>IF(M133=1,L133,-1E99)</f>
        <v>-1e+99</v>
      </c>
    </row>
    <row r="134">
      <c r="A134" s="12" t="n">
        <v>129</v>
      </c>
      <c r="B134" s="12" t="n">
        <v>1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1</v>
      </c>
      <c r="J134" s="5">
        <f>B134*Opportunities!L8+C134*Opportunities!L9+D134*Opportunities!L10+E134*Opportunities!L11+F134*Opportunities!L12+G134*Opportunities!L13+H134*Opportunities!L14+I134*Opportunities!L15</f>
        <v>869500.0000000001</v>
      </c>
      <c r="K134" s="5">
        <f>SUM(B134:I134)</f>
        <v>2</v>
      </c>
      <c r="L134" s="5">
        <f>B134*Opportunities!P8+C134*Opportunities!P9+D134*Opportunities!P10+E134*Opportunities!P11+F134*Opportunities!P12+G134*Opportunities!P13+H134*Opportunities!P14+I134*Opportunities!P15</f>
        <v>90896.51702244638</v>
      </c>
      <c r="M134" s="5">
        <f>IF(AND(J134&lt;=Assumptions!$B$6,K134&lt;=Assumptions!$B$7,B134*IF(Opportunities!S8="ELIGIBLE",0,1)+C134*IF(Opportunities!S9="ELIGIBLE",0,1)+D134*IF(Opportunities!S10="ELIGIBLE",0,1)+E134*IF(Opportunities!S11="ELIGIBLE",0,1)+F134*IF(Opportunities!S12="ELIGIBLE",0,1)+G134*IF(Opportunities!S13="ELIGIBLE",0,1)+H134*IF(Opportunities!S14="ELIGIBLE",0,1)+I134*IF(Opportunities!S15="ELIGIBLE",0,1)=0),1,0)</f>
        <v>0</v>
      </c>
      <c r="N134" s="5">
        <f>IF(M134=1,L134,-1E99)</f>
        <v>-1e+99</v>
      </c>
    </row>
    <row r="135">
      <c r="A135" s="12" t="n">
        <v>130</v>
      </c>
      <c r="B135" s="12" t="n">
        <v>0</v>
      </c>
      <c r="C135" s="12" t="n">
        <v>1</v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1</v>
      </c>
      <c r="J135" s="5">
        <f>B135*Opportunities!L8+C135*Opportunities!L9+D135*Opportunities!L10+E135*Opportunities!L11+F135*Opportunities!L12+G135*Opportunities!L13+H135*Opportunities!L14+I135*Opportunities!L15</f>
        <v>585000.0</v>
      </c>
      <c r="K135" s="5">
        <f>SUM(B135:I135)</f>
        <v>2</v>
      </c>
      <c r="L135" s="5">
        <f>B135*Opportunities!P8+C135*Opportunities!P9+D135*Opportunities!P10+E135*Opportunities!P11+F135*Opportunities!P12+G135*Opportunities!P13+H135*Opportunities!P14+I135*Opportunities!P15</f>
        <v>76128.40249142848</v>
      </c>
      <c r="M135" s="5">
        <f>IF(AND(J135&lt;=Assumptions!$B$6,K135&lt;=Assumptions!$B$7,B135*IF(Opportunities!S8="ELIGIBLE",0,1)+C135*IF(Opportunities!S9="ELIGIBLE",0,1)+D135*IF(Opportunities!S10="ELIGIBLE",0,1)+E135*IF(Opportunities!S11="ELIGIBLE",0,1)+F135*IF(Opportunities!S12="ELIGIBLE",0,1)+G135*IF(Opportunities!S13="ELIGIBLE",0,1)+H135*IF(Opportunities!S14="ELIGIBLE",0,1)+I135*IF(Opportunities!S15="ELIGIBLE",0,1)=0),1,0)</f>
        <v>0</v>
      </c>
      <c r="N135" s="5">
        <f>IF(M135=1,L135,-1E99)</f>
        <v>-1e+99</v>
      </c>
    </row>
    <row r="136">
      <c r="A136" s="12" t="n">
        <v>131</v>
      </c>
      <c r="B136" s="12" t="n">
        <v>1</v>
      </c>
      <c r="C136" s="12" t="n">
        <v>1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1</v>
      </c>
      <c r="J136" s="5">
        <f>B136*Opportunities!L8+C136*Opportunities!L9+D136*Opportunities!L10+E136*Opportunities!L11+F136*Opportunities!L12+G136*Opportunities!L13+H136*Opportunities!L14+I136*Opportunities!L15</f>
        <v>1454500.0</v>
      </c>
      <c r="K136" s="5">
        <f>SUM(B136:I136)</f>
        <v>3</v>
      </c>
      <c r="L136" s="5">
        <f>B136*Opportunities!P8+C136*Opportunities!P9+D136*Opportunities!P10+E136*Opportunities!P11+F136*Opportunities!P12+G136*Opportunities!P13+H136*Opportunities!P14+I136*Opportunities!P15</f>
        <v>167024.91951387486</v>
      </c>
      <c r="M136" s="5">
        <f>IF(AND(J136&lt;=Assumptions!$B$6,K136&lt;=Assumptions!$B$7,B136*IF(Opportunities!S8="ELIGIBLE",0,1)+C136*IF(Opportunities!S9="ELIGIBLE",0,1)+D136*IF(Opportunities!S10="ELIGIBLE",0,1)+E136*IF(Opportunities!S11="ELIGIBLE",0,1)+F136*IF(Opportunities!S12="ELIGIBLE",0,1)+G136*IF(Opportunities!S13="ELIGIBLE",0,1)+H136*IF(Opportunities!S14="ELIGIBLE",0,1)+I136*IF(Opportunities!S15="ELIGIBLE",0,1)=0),1,0)</f>
        <v>0</v>
      </c>
      <c r="N136" s="5">
        <f>IF(M136=1,L136,-1E99)</f>
        <v>-1e+99</v>
      </c>
    </row>
    <row r="137">
      <c r="A137" s="12" t="n">
        <v>132</v>
      </c>
      <c r="B137" s="12" t="n">
        <v>0</v>
      </c>
      <c r="C137" s="12" t="n">
        <v>0</v>
      </c>
      <c r="D137" s="12" t="n">
        <v>1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1</v>
      </c>
      <c r="J137" s="5">
        <f>B137*Opportunities!L8+C137*Opportunities!L9+D137*Opportunities!L10+E137*Opportunities!L11+F137*Opportunities!L12+G137*Opportunities!L13+H137*Opportunities!L14+I137*Opportunities!L15</f>
        <v>1581000.0</v>
      </c>
      <c r="K137" s="5">
        <f>SUM(B137:I137)</f>
        <v>2</v>
      </c>
      <c r="L137" s="5">
        <f>B137*Opportunities!P8+C137*Opportunities!P9+D137*Opportunities!P10+E137*Opportunities!P11+F137*Opportunities!P12+G137*Opportunities!P13+H137*Opportunities!P14+I137*Opportunities!P15</f>
        <v>54783.715172860306</v>
      </c>
      <c r="M137" s="5">
        <f>IF(AND(J137&lt;=Assumptions!$B$6,K137&lt;=Assumptions!$B$7,B137*IF(Opportunities!S8="ELIGIBLE",0,1)+C137*IF(Opportunities!S9="ELIGIBLE",0,1)+D137*IF(Opportunities!S10="ELIGIBLE",0,1)+E137*IF(Opportunities!S11="ELIGIBLE",0,1)+F137*IF(Opportunities!S12="ELIGIBLE",0,1)+G137*IF(Opportunities!S13="ELIGIBLE",0,1)+H137*IF(Opportunities!S14="ELIGIBLE",0,1)+I137*IF(Opportunities!S15="ELIGIBLE",0,1)=0),1,0)</f>
        <v>0</v>
      </c>
      <c r="N137" s="5">
        <f>IF(M137=1,L137,-1E99)</f>
        <v>-1e+99</v>
      </c>
    </row>
    <row r="138">
      <c r="A138" s="12" t="n">
        <v>133</v>
      </c>
      <c r="B138" s="12" t="n">
        <v>1</v>
      </c>
      <c r="C138" s="12" t="n">
        <v>0</v>
      </c>
      <c r="D138" s="12" t="n">
        <v>1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1</v>
      </c>
      <c r="J138" s="5">
        <f>B138*Opportunities!L8+C138*Opportunities!L9+D138*Opportunities!L10+E138*Opportunities!L11+F138*Opportunities!L12+G138*Opportunities!L13+H138*Opportunities!L14+I138*Opportunities!L15</f>
        <v>2450500.0</v>
      </c>
      <c r="K138" s="5">
        <f>SUM(B138:I138)</f>
        <v>3</v>
      </c>
      <c r="L138" s="5">
        <f>B138*Opportunities!P8+C138*Opportunities!P9+D138*Opportunities!P10+E138*Opportunities!P11+F138*Opportunities!P12+G138*Opportunities!P13+H138*Opportunities!P14+I138*Opportunities!P15</f>
        <v>145680.2321953067</v>
      </c>
      <c r="M138" s="5">
        <f>IF(AND(J138&lt;=Assumptions!$B$6,K138&lt;=Assumptions!$B$7,B138*IF(Opportunities!S8="ELIGIBLE",0,1)+C138*IF(Opportunities!S9="ELIGIBLE",0,1)+D138*IF(Opportunities!S10="ELIGIBLE",0,1)+E138*IF(Opportunities!S11="ELIGIBLE",0,1)+F138*IF(Opportunities!S12="ELIGIBLE",0,1)+G138*IF(Opportunities!S13="ELIGIBLE",0,1)+H138*IF(Opportunities!S14="ELIGIBLE",0,1)+I138*IF(Opportunities!S15="ELIGIBLE",0,1)=0),1,0)</f>
        <v>0</v>
      </c>
      <c r="N138" s="5">
        <f>IF(M138=1,L138,-1E99)</f>
        <v>-1e+99</v>
      </c>
    </row>
    <row r="139">
      <c r="A139" s="12" t="n">
        <v>134</v>
      </c>
      <c r="B139" s="12" t="n">
        <v>0</v>
      </c>
      <c r="C139" s="12" t="n">
        <v>1</v>
      </c>
      <c r="D139" s="12" t="n">
        <v>1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1</v>
      </c>
      <c r="J139" s="5">
        <f>B139*Opportunities!L8+C139*Opportunities!L9+D139*Opportunities!L10+E139*Opportunities!L11+F139*Opportunities!L12+G139*Opportunities!L13+H139*Opportunities!L14+I139*Opportunities!L15</f>
        <v>2166000.0</v>
      </c>
      <c r="K139" s="5">
        <f>SUM(B139:I139)</f>
        <v>3</v>
      </c>
      <c r="L139" s="5">
        <f>B139*Opportunities!P8+C139*Opportunities!P9+D139*Opportunities!P10+E139*Opportunities!P11+F139*Opportunities!P12+G139*Opportunities!P13+H139*Opportunities!P14+I139*Opportunities!P15</f>
        <v>130912.11766428879</v>
      </c>
      <c r="M139" s="5">
        <f>IF(AND(J139&lt;=Assumptions!$B$6,K139&lt;=Assumptions!$B$7,B139*IF(Opportunities!S8="ELIGIBLE",0,1)+C139*IF(Opportunities!S9="ELIGIBLE",0,1)+D139*IF(Opportunities!S10="ELIGIBLE",0,1)+E139*IF(Opportunities!S11="ELIGIBLE",0,1)+F139*IF(Opportunities!S12="ELIGIBLE",0,1)+G139*IF(Opportunities!S13="ELIGIBLE",0,1)+H139*IF(Opportunities!S14="ELIGIBLE",0,1)+I139*IF(Opportunities!S15="ELIGIBLE",0,1)=0),1,0)</f>
        <v>0</v>
      </c>
      <c r="N139" s="5">
        <f>IF(M139=1,L139,-1E99)</f>
        <v>-1e+99</v>
      </c>
    </row>
    <row r="140">
      <c r="A140" s="12" t="n">
        <v>135</v>
      </c>
      <c r="B140" s="12" t="n">
        <v>1</v>
      </c>
      <c r="C140" s="12" t="n">
        <v>1</v>
      </c>
      <c r="D140" s="12" t="n">
        <v>1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1</v>
      </c>
      <c r="J140" s="5">
        <f>B140*Opportunities!L8+C140*Opportunities!L9+D140*Opportunities!L10+E140*Opportunities!L11+F140*Opportunities!L12+G140*Opportunities!L13+H140*Opportunities!L14+I140*Opportunities!L15</f>
        <v>3035500.0</v>
      </c>
      <c r="K140" s="5">
        <f>SUM(B140:I140)</f>
        <v>4</v>
      </c>
      <c r="L140" s="5">
        <f>B140*Opportunities!P8+C140*Opportunities!P9+D140*Opportunities!P10+E140*Opportunities!P11+F140*Opportunities!P12+G140*Opportunities!P13+H140*Opportunities!P14+I140*Opportunities!P15</f>
        <v>221808.63468673517</v>
      </c>
      <c r="M140" s="5">
        <f>IF(AND(J140&lt;=Assumptions!$B$6,K140&lt;=Assumptions!$B$7,B140*IF(Opportunities!S8="ELIGIBLE",0,1)+C140*IF(Opportunities!S9="ELIGIBLE",0,1)+D140*IF(Opportunities!S10="ELIGIBLE",0,1)+E140*IF(Opportunities!S11="ELIGIBLE",0,1)+F140*IF(Opportunities!S12="ELIGIBLE",0,1)+G140*IF(Opportunities!S13="ELIGIBLE",0,1)+H140*IF(Opportunities!S14="ELIGIBLE",0,1)+I140*IF(Opportunities!S15="ELIGIBLE",0,1)=0),1,0)</f>
        <v>0</v>
      </c>
      <c r="N140" s="5">
        <f>IF(M140=1,L140,-1E99)</f>
        <v>-1e+99</v>
      </c>
    </row>
    <row r="141">
      <c r="A141" s="12" t="n">
        <v>136</v>
      </c>
      <c r="B141" s="12" t="n">
        <v>0</v>
      </c>
      <c r="C141" s="12" t="n">
        <v>0</v>
      </c>
      <c r="D141" s="12" t="n">
        <v>0</v>
      </c>
      <c r="E141" s="12" t="n">
        <v>1</v>
      </c>
      <c r="F141" s="12" t="n">
        <v>0</v>
      </c>
      <c r="G141" s="12" t="n">
        <v>0</v>
      </c>
      <c r="H141" s="12" t="n">
        <v>0</v>
      </c>
      <c r="I141" s="12" t="n">
        <v>1</v>
      </c>
      <c r="J141" s="5">
        <f>B141*Opportunities!L8+C141*Opportunities!L9+D141*Opportunities!L10+E141*Opportunities!L11+F141*Opportunities!L12+G141*Opportunities!L13+H141*Opportunities!L14+I141*Opportunities!L15</f>
        <v>332250.0</v>
      </c>
      <c r="K141" s="5">
        <f>SUM(B141:I141)</f>
        <v>2</v>
      </c>
      <c r="L141" s="5">
        <f>B141*Opportunities!P8+C141*Opportunities!P9+D141*Opportunities!P10+E141*Opportunities!P11+F141*Opportunities!P12+G141*Opportunities!P13+H141*Opportunities!P14+I141*Opportunities!P15</f>
        <v>21888.122772962495</v>
      </c>
      <c r="M141" s="5">
        <f>IF(AND(J141&lt;=Assumptions!$B$6,K141&lt;=Assumptions!$B$7,B141*IF(Opportunities!S8="ELIGIBLE",0,1)+C141*IF(Opportunities!S9="ELIGIBLE",0,1)+D141*IF(Opportunities!S10="ELIGIBLE",0,1)+E141*IF(Opportunities!S11="ELIGIBLE",0,1)+F141*IF(Opportunities!S12="ELIGIBLE",0,1)+G141*IF(Opportunities!S13="ELIGIBLE",0,1)+H141*IF(Opportunities!S14="ELIGIBLE",0,1)+I141*IF(Opportunities!S15="ELIGIBLE",0,1)=0),1,0)</f>
        <v>0</v>
      </c>
      <c r="N141" s="5">
        <f>IF(M141=1,L141,-1E99)</f>
        <v>-1e+99</v>
      </c>
    </row>
    <row r="142">
      <c r="A142" s="12" t="n">
        <v>137</v>
      </c>
      <c r="B142" s="12" t="n">
        <v>1</v>
      </c>
      <c r="C142" s="12" t="n">
        <v>0</v>
      </c>
      <c r="D142" s="12" t="n">
        <v>0</v>
      </c>
      <c r="E142" s="12" t="n">
        <v>1</v>
      </c>
      <c r="F142" s="12" t="n">
        <v>0</v>
      </c>
      <c r="G142" s="12" t="n">
        <v>0</v>
      </c>
      <c r="H142" s="12" t="n">
        <v>0</v>
      </c>
      <c r="I142" s="12" t="n">
        <v>1</v>
      </c>
      <c r="J142" s="5">
        <f>B142*Opportunities!L8+C142*Opportunities!L9+D142*Opportunities!L10+E142*Opportunities!L11+F142*Opportunities!L12+G142*Opportunities!L13+H142*Opportunities!L14+I142*Opportunities!L15</f>
        <v>1201750.0</v>
      </c>
      <c r="K142" s="5">
        <f>SUM(B142:I142)</f>
        <v>3</v>
      </c>
      <c r="L142" s="5">
        <f>B142*Opportunities!P8+C142*Opportunities!P9+D142*Opportunities!P10+E142*Opportunities!P11+F142*Opportunities!P12+G142*Opportunities!P13+H142*Opportunities!P14+I142*Opportunities!P15</f>
        <v>112784.63979540888</v>
      </c>
      <c r="M142" s="5">
        <f>IF(AND(J142&lt;=Assumptions!$B$6,K142&lt;=Assumptions!$B$7,B142*IF(Opportunities!S8="ELIGIBLE",0,1)+C142*IF(Opportunities!S9="ELIGIBLE",0,1)+D142*IF(Opportunities!S10="ELIGIBLE",0,1)+E142*IF(Opportunities!S11="ELIGIBLE",0,1)+F142*IF(Opportunities!S12="ELIGIBLE",0,1)+G142*IF(Opportunities!S13="ELIGIBLE",0,1)+H142*IF(Opportunities!S14="ELIGIBLE",0,1)+I142*IF(Opportunities!S15="ELIGIBLE",0,1)=0),1,0)</f>
        <v>0</v>
      </c>
      <c r="N142" s="5">
        <f>IF(M142=1,L142,-1E99)</f>
        <v>-1e+99</v>
      </c>
    </row>
    <row r="143">
      <c r="A143" s="12" t="n">
        <v>138</v>
      </c>
      <c r="B143" s="12" t="n">
        <v>0</v>
      </c>
      <c r="C143" s="12" t="n">
        <v>1</v>
      </c>
      <c r="D143" s="12" t="n">
        <v>0</v>
      </c>
      <c r="E143" s="12" t="n">
        <v>1</v>
      </c>
      <c r="F143" s="12" t="n">
        <v>0</v>
      </c>
      <c r="G143" s="12" t="n">
        <v>0</v>
      </c>
      <c r="H143" s="12" t="n">
        <v>0</v>
      </c>
      <c r="I143" s="12" t="n">
        <v>1</v>
      </c>
      <c r="J143" s="5">
        <f>B143*Opportunities!L8+C143*Opportunities!L9+D143*Opportunities!L10+E143*Opportunities!L11+F143*Opportunities!L12+G143*Opportunities!L13+H143*Opportunities!L14+I143*Opportunities!L15</f>
        <v>917250.0</v>
      </c>
      <c r="K143" s="5">
        <f>SUM(B143:I143)</f>
        <v>3</v>
      </c>
      <c r="L143" s="5">
        <f>B143*Opportunities!P8+C143*Opportunities!P9+D143*Opportunities!P10+E143*Opportunities!P11+F143*Opportunities!P12+G143*Opportunities!P13+H143*Opportunities!P14+I143*Opportunities!P15</f>
        <v>98016.52526439098</v>
      </c>
      <c r="M143" s="5">
        <f>IF(AND(J143&lt;=Assumptions!$B$6,K143&lt;=Assumptions!$B$7,B143*IF(Opportunities!S8="ELIGIBLE",0,1)+C143*IF(Opportunities!S9="ELIGIBLE",0,1)+D143*IF(Opportunities!S10="ELIGIBLE",0,1)+E143*IF(Opportunities!S11="ELIGIBLE",0,1)+F143*IF(Opportunities!S12="ELIGIBLE",0,1)+G143*IF(Opportunities!S13="ELIGIBLE",0,1)+H143*IF(Opportunities!S14="ELIGIBLE",0,1)+I143*IF(Opportunities!S15="ELIGIBLE",0,1)=0),1,0)</f>
        <v>0</v>
      </c>
      <c r="N143" s="5">
        <f>IF(M143=1,L143,-1E99)</f>
        <v>-1e+99</v>
      </c>
    </row>
    <row r="144">
      <c r="A144" s="12" t="n">
        <v>139</v>
      </c>
      <c r="B144" s="12" t="n">
        <v>1</v>
      </c>
      <c r="C144" s="12" t="n">
        <v>1</v>
      </c>
      <c r="D144" s="12" t="n">
        <v>0</v>
      </c>
      <c r="E144" s="12" t="n">
        <v>1</v>
      </c>
      <c r="F144" s="12" t="n">
        <v>0</v>
      </c>
      <c r="G144" s="12" t="n">
        <v>0</v>
      </c>
      <c r="H144" s="12" t="n">
        <v>0</v>
      </c>
      <c r="I144" s="12" t="n">
        <v>1</v>
      </c>
      <c r="J144" s="5">
        <f>B144*Opportunities!L8+C144*Opportunities!L9+D144*Opportunities!L10+E144*Opportunities!L11+F144*Opportunities!L12+G144*Opportunities!L13+H144*Opportunities!L14+I144*Opportunities!L15</f>
        <v>1786750.0</v>
      </c>
      <c r="K144" s="5">
        <f>SUM(B144:I144)</f>
        <v>4</v>
      </c>
      <c r="L144" s="5">
        <f>B144*Opportunities!P8+C144*Opportunities!P9+D144*Opportunities!P10+E144*Opportunities!P11+F144*Opportunities!P12+G144*Opportunities!P13+H144*Opportunities!P14+I144*Opportunities!P15</f>
        <v>188913.04228683736</v>
      </c>
      <c r="M144" s="5">
        <f>IF(AND(J144&lt;=Assumptions!$B$6,K144&lt;=Assumptions!$B$7,B144*IF(Opportunities!S8="ELIGIBLE",0,1)+C144*IF(Opportunities!S9="ELIGIBLE",0,1)+D144*IF(Opportunities!S10="ELIGIBLE",0,1)+E144*IF(Opportunities!S11="ELIGIBLE",0,1)+F144*IF(Opportunities!S12="ELIGIBLE",0,1)+G144*IF(Opportunities!S13="ELIGIBLE",0,1)+H144*IF(Opportunities!S14="ELIGIBLE",0,1)+I144*IF(Opportunities!S15="ELIGIBLE",0,1)=0),1,0)</f>
        <v>0</v>
      </c>
      <c r="N144" s="5">
        <f>IF(M144=1,L144,-1E99)</f>
        <v>-1e+99</v>
      </c>
    </row>
    <row r="145">
      <c r="A145" s="12" t="n">
        <v>140</v>
      </c>
      <c r="B145" s="12" t="n">
        <v>0</v>
      </c>
      <c r="C145" s="12" t="n">
        <v>0</v>
      </c>
      <c r="D145" s="12" t="n">
        <v>1</v>
      </c>
      <c r="E145" s="12" t="n">
        <v>1</v>
      </c>
      <c r="F145" s="12" t="n">
        <v>0</v>
      </c>
      <c r="G145" s="12" t="n">
        <v>0</v>
      </c>
      <c r="H145" s="12" t="n">
        <v>0</v>
      </c>
      <c r="I145" s="12" t="n">
        <v>1</v>
      </c>
      <c r="J145" s="5">
        <f>B145*Opportunities!L8+C145*Opportunities!L9+D145*Opportunities!L10+E145*Opportunities!L11+F145*Opportunities!L12+G145*Opportunities!L13+H145*Opportunities!L14+I145*Opportunities!L15</f>
        <v>1913250.0</v>
      </c>
      <c r="K145" s="5">
        <f>SUM(B145:I145)</f>
        <v>3</v>
      </c>
      <c r="L145" s="5">
        <f>B145*Opportunities!P8+C145*Opportunities!P9+D145*Opportunities!P10+E145*Opportunities!P11+F145*Opportunities!P12+G145*Opportunities!P13+H145*Opportunities!P14+I145*Opportunities!P15</f>
        <v>76671.8379458228</v>
      </c>
      <c r="M145" s="5">
        <f>IF(AND(J145&lt;=Assumptions!$B$6,K145&lt;=Assumptions!$B$7,B145*IF(Opportunities!S8="ELIGIBLE",0,1)+C145*IF(Opportunities!S9="ELIGIBLE",0,1)+D145*IF(Opportunities!S10="ELIGIBLE",0,1)+E145*IF(Opportunities!S11="ELIGIBLE",0,1)+F145*IF(Opportunities!S12="ELIGIBLE",0,1)+G145*IF(Opportunities!S13="ELIGIBLE",0,1)+H145*IF(Opportunities!S14="ELIGIBLE",0,1)+I145*IF(Opportunities!S15="ELIGIBLE",0,1)=0),1,0)</f>
        <v>0</v>
      </c>
      <c r="N145" s="5">
        <f>IF(M145=1,L145,-1E99)</f>
        <v>-1e+99</v>
      </c>
    </row>
    <row r="146">
      <c r="A146" s="12" t="n">
        <v>141</v>
      </c>
      <c r="B146" s="12" t="n">
        <v>1</v>
      </c>
      <c r="C146" s="12" t="n">
        <v>0</v>
      </c>
      <c r="D146" s="12" t="n">
        <v>1</v>
      </c>
      <c r="E146" s="12" t="n">
        <v>1</v>
      </c>
      <c r="F146" s="12" t="n">
        <v>0</v>
      </c>
      <c r="G146" s="12" t="n">
        <v>0</v>
      </c>
      <c r="H146" s="12" t="n">
        <v>0</v>
      </c>
      <c r="I146" s="12" t="n">
        <v>1</v>
      </c>
      <c r="J146" s="5">
        <f>B146*Opportunities!L8+C146*Opportunities!L9+D146*Opportunities!L10+E146*Opportunities!L11+F146*Opportunities!L12+G146*Opportunities!L13+H146*Opportunities!L14+I146*Opportunities!L15</f>
        <v>2782750.0</v>
      </c>
      <c r="K146" s="5">
        <f>SUM(B146:I146)</f>
        <v>4</v>
      </c>
      <c r="L146" s="5">
        <f>B146*Opportunities!P8+C146*Opportunities!P9+D146*Opportunities!P10+E146*Opportunities!P11+F146*Opportunities!P12+G146*Opportunities!P13+H146*Opportunities!P14+I146*Opportunities!P15</f>
        <v>167568.35496826918</v>
      </c>
      <c r="M146" s="5">
        <f>IF(AND(J146&lt;=Assumptions!$B$6,K146&lt;=Assumptions!$B$7,B146*IF(Opportunities!S8="ELIGIBLE",0,1)+C146*IF(Opportunities!S9="ELIGIBLE",0,1)+D146*IF(Opportunities!S10="ELIGIBLE",0,1)+E146*IF(Opportunities!S11="ELIGIBLE",0,1)+F146*IF(Opportunities!S12="ELIGIBLE",0,1)+G146*IF(Opportunities!S13="ELIGIBLE",0,1)+H146*IF(Opportunities!S14="ELIGIBLE",0,1)+I146*IF(Opportunities!S15="ELIGIBLE",0,1)=0),1,0)</f>
        <v>0</v>
      </c>
      <c r="N146" s="5">
        <f>IF(M146=1,L146,-1E99)</f>
        <v>-1e+99</v>
      </c>
    </row>
    <row r="147">
      <c r="A147" s="12" t="n">
        <v>142</v>
      </c>
      <c r="B147" s="12" t="n">
        <v>0</v>
      </c>
      <c r="C147" s="12" t="n">
        <v>1</v>
      </c>
      <c r="D147" s="12" t="n">
        <v>1</v>
      </c>
      <c r="E147" s="12" t="n">
        <v>1</v>
      </c>
      <c r="F147" s="12" t="n">
        <v>0</v>
      </c>
      <c r="G147" s="12" t="n">
        <v>0</v>
      </c>
      <c r="H147" s="12" t="n">
        <v>0</v>
      </c>
      <c r="I147" s="12" t="n">
        <v>1</v>
      </c>
      <c r="J147" s="5">
        <f>B147*Opportunities!L8+C147*Opportunities!L9+D147*Opportunities!L10+E147*Opportunities!L11+F147*Opportunities!L12+G147*Opportunities!L13+H147*Opportunities!L14+I147*Opportunities!L15</f>
        <v>2498250.0</v>
      </c>
      <c r="K147" s="5">
        <f>SUM(B147:I147)</f>
        <v>4</v>
      </c>
      <c r="L147" s="5">
        <f>B147*Opportunities!P8+C147*Opportunities!P9+D147*Opportunities!P10+E147*Opportunities!P11+F147*Opportunities!P12+G147*Opportunities!P13+H147*Opportunities!P14+I147*Opportunities!P15</f>
        <v>152800.24043725128</v>
      </c>
      <c r="M147" s="5">
        <f>IF(AND(J147&lt;=Assumptions!$B$6,K147&lt;=Assumptions!$B$7,B147*IF(Opportunities!S8="ELIGIBLE",0,1)+C147*IF(Opportunities!S9="ELIGIBLE",0,1)+D147*IF(Opportunities!S10="ELIGIBLE",0,1)+E147*IF(Opportunities!S11="ELIGIBLE",0,1)+F147*IF(Opportunities!S12="ELIGIBLE",0,1)+G147*IF(Opportunities!S13="ELIGIBLE",0,1)+H147*IF(Opportunities!S14="ELIGIBLE",0,1)+I147*IF(Opportunities!S15="ELIGIBLE",0,1)=0),1,0)</f>
        <v>0</v>
      </c>
      <c r="N147" s="5">
        <f>IF(M147=1,L147,-1E99)</f>
        <v>-1e+99</v>
      </c>
    </row>
    <row r="148">
      <c r="A148" s="12" t="n">
        <v>143</v>
      </c>
      <c r="B148" s="12" t="n">
        <v>1</v>
      </c>
      <c r="C148" s="12" t="n">
        <v>1</v>
      </c>
      <c r="D148" s="12" t="n">
        <v>1</v>
      </c>
      <c r="E148" s="12" t="n">
        <v>1</v>
      </c>
      <c r="F148" s="12" t="n">
        <v>0</v>
      </c>
      <c r="G148" s="12" t="n">
        <v>0</v>
      </c>
      <c r="H148" s="12" t="n">
        <v>0</v>
      </c>
      <c r="I148" s="12" t="n">
        <v>1</v>
      </c>
      <c r="J148" s="5">
        <f>B148*Opportunities!L8+C148*Opportunities!L9+D148*Opportunities!L10+E148*Opportunities!L11+F148*Opportunities!L12+G148*Opportunities!L13+H148*Opportunities!L14+I148*Opportunities!L15</f>
        <v>3367750.0</v>
      </c>
      <c r="K148" s="5">
        <f>SUM(B148:I148)</f>
        <v>5</v>
      </c>
      <c r="L148" s="5">
        <f>B148*Opportunities!P8+C148*Opportunities!P9+D148*Opportunities!P10+E148*Opportunities!P11+F148*Opportunities!P12+G148*Opportunities!P13+H148*Opportunities!P14+I148*Opportunities!P15</f>
        <v>243696.75745969766</v>
      </c>
      <c r="M148" s="5">
        <f>IF(AND(J148&lt;=Assumptions!$B$6,K148&lt;=Assumptions!$B$7,B148*IF(Opportunities!S8="ELIGIBLE",0,1)+C148*IF(Opportunities!S9="ELIGIBLE",0,1)+D148*IF(Opportunities!S10="ELIGIBLE",0,1)+E148*IF(Opportunities!S11="ELIGIBLE",0,1)+F148*IF(Opportunities!S12="ELIGIBLE",0,1)+G148*IF(Opportunities!S13="ELIGIBLE",0,1)+H148*IF(Opportunities!S14="ELIGIBLE",0,1)+I148*IF(Opportunities!S15="ELIGIBLE",0,1)=0),1,0)</f>
        <v>0</v>
      </c>
      <c r="N148" s="5">
        <f>IF(M148=1,L148,-1E99)</f>
        <v>-1e+99</v>
      </c>
    </row>
    <row r="149">
      <c r="A149" s="12" t="n">
        <v>144</v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1</v>
      </c>
      <c r="G149" s="12" t="n">
        <v>0</v>
      </c>
      <c r="H149" s="12" t="n">
        <v>0</v>
      </c>
      <c r="I149" s="12" t="n">
        <v>1</v>
      </c>
      <c r="J149" s="5">
        <f>B149*Opportunities!L8+C149*Opportunities!L9+D149*Opportunities!L10+E149*Opportunities!L11+F149*Opportunities!L12+G149*Opportunities!L13+H149*Opportunities!L14+I149*Opportunities!L15</f>
        <v>1143000.0</v>
      </c>
      <c r="K149" s="5">
        <f>SUM(B149:I149)</f>
        <v>2</v>
      </c>
      <c r="L149" s="5">
        <f>B149*Opportunities!P8+C149*Opportunities!P9+D149*Opportunities!P10+E149*Opportunities!P11+F149*Opportunities!P12+G149*Opportunities!P13+H149*Opportunities!P14+I149*Opportunities!P15</f>
        <v>-175492.0398370832</v>
      </c>
      <c r="M149" s="5">
        <f>IF(AND(J149&lt;=Assumptions!$B$6,K149&lt;=Assumptions!$B$7,B149*IF(Opportunities!S8="ELIGIBLE",0,1)+C149*IF(Opportunities!S9="ELIGIBLE",0,1)+D149*IF(Opportunities!S10="ELIGIBLE",0,1)+E149*IF(Opportunities!S11="ELIGIBLE",0,1)+F149*IF(Opportunities!S12="ELIGIBLE",0,1)+G149*IF(Opportunities!S13="ELIGIBLE",0,1)+H149*IF(Opportunities!S14="ELIGIBLE",0,1)+I149*IF(Opportunities!S15="ELIGIBLE",0,1)=0),1,0)</f>
        <v>0</v>
      </c>
      <c r="N149" s="5">
        <f>IF(M149=1,L149,-1E99)</f>
        <v>-1e+99</v>
      </c>
    </row>
    <row r="150">
      <c r="A150" s="12" t="n">
        <v>145</v>
      </c>
      <c r="B150" s="12" t="n">
        <v>1</v>
      </c>
      <c r="C150" s="12" t="n">
        <v>0</v>
      </c>
      <c r="D150" s="12" t="n">
        <v>0</v>
      </c>
      <c r="E150" s="12" t="n">
        <v>0</v>
      </c>
      <c r="F150" s="12" t="n">
        <v>1</v>
      </c>
      <c r="G150" s="12" t="n">
        <v>0</v>
      </c>
      <c r="H150" s="12" t="n">
        <v>0</v>
      </c>
      <c r="I150" s="12" t="n">
        <v>1</v>
      </c>
      <c r="J150" s="5">
        <f>B150*Opportunities!L8+C150*Opportunities!L9+D150*Opportunities!L10+E150*Opportunities!L11+F150*Opportunities!L12+G150*Opportunities!L13+H150*Opportunities!L14+I150*Opportunities!L15</f>
        <v>2012500.0</v>
      </c>
      <c r="K150" s="5">
        <f>SUM(B150:I150)</f>
        <v>3</v>
      </c>
      <c r="L150" s="5">
        <f>B150*Opportunities!P8+C150*Opportunities!P9+D150*Opportunities!P10+E150*Opportunities!P11+F150*Opportunities!P12+G150*Opportunities!P13+H150*Opportunities!P14+I150*Opportunities!P15</f>
        <v>-84595.52281463682</v>
      </c>
      <c r="M150" s="5">
        <f>IF(AND(J150&lt;=Assumptions!$B$6,K150&lt;=Assumptions!$B$7,B150*IF(Opportunities!S8="ELIGIBLE",0,1)+C150*IF(Opportunities!S9="ELIGIBLE",0,1)+D150*IF(Opportunities!S10="ELIGIBLE",0,1)+E150*IF(Opportunities!S11="ELIGIBLE",0,1)+F150*IF(Opportunities!S12="ELIGIBLE",0,1)+G150*IF(Opportunities!S13="ELIGIBLE",0,1)+H150*IF(Opportunities!S14="ELIGIBLE",0,1)+I150*IF(Opportunities!S15="ELIGIBLE",0,1)=0),1,0)</f>
        <v>0</v>
      </c>
      <c r="N150" s="5">
        <f>IF(M150=1,L150,-1E99)</f>
        <v>-1e+99</v>
      </c>
    </row>
    <row r="151">
      <c r="A151" s="12" t="n">
        <v>146</v>
      </c>
      <c r="B151" s="12" t="n">
        <v>0</v>
      </c>
      <c r="C151" s="12" t="n">
        <v>1</v>
      </c>
      <c r="D151" s="12" t="n">
        <v>0</v>
      </c>
      <c r="E151" s="12" t="n">
        <v>0</v>
      </c>
      <c r="F151" s="12" t="n">
        <v>1</v>
      </c>
      <c r="G151" s="12" t="n">
        <v>0</v>
      </c>
      <c r="H151" s="12" t="n">
        <v>0</v>
      </c>
      <c r="I151" s="12" t="n">
        <v>1</v>
      </c>
      <c r="J151" s="5">
        <f>B151*Opportunities!L8+C151*Opportunities!L9+D151*Opportunities!L10+E151*Opportunities!L11+F151*Opportunities!L12+G151*Opportunities!L13+H151*Opportunities!L14+I151*Opportunities!L15</f>
        <v>1728000.0</v>
      </c>
      <c r="K151" s="5">
        <f>SUM(B151:I151)</f>
        <v>3</v>
      </c>
      <c r="L151" s="5">
        <f>B151*Opportunities!P8+C151*Opportunities!P9+D151*Opportunities!P10+E151*Opportunities!P11+F151*Opportunities!P12+G151*Opportunities!P13+H151*Opportunities!P14+I151*Opportunities!P15</f>
        <v>-99363.63734565472</v>
      </c>
      <c r="M151" s="5">
        <f>IF(AND(J151&lt;=Assumptions!$B$6,K151&lt;=Assumptions!$B$7,B151*IF(Opportunities!S8="ELIGIBLE",0,1)+C151*IF(Opportunities!S9="ELIGIBLE",0,1)+D151*IF(Opportunities!S10="ELIGIBLE",0,1)+E151*IF(Opportunities!S11="ELIGIBLE",0,1)+F151*IF(Opportunities!S12="ELIGIBLE",0,1)+G151*IF(Opportunities!S13="ELIGIBLE",0,1)+H151*IF(Opportunities!S14="ELIGIBLE",0,1)+I151*IF(Opportunities!S15="ELIGIBLE",0,1)=0),1,0)</f>
        <v>0</v>
      </c>
      <c r="N151" s="5">
        <f>IF(M151=1,L151,-1E99)</f>
        <v>-1e+99</v>
      </c>
    </row>
    <row r="152">
      <c r="A152" s="12" t="n">
        <v>147</v>
      </c>
      <c r="B152" s="12" t="n">
        <v>1</v>
      </c>
      <c r="C152" s="12" t="n">
        <v>1</v>
      </c>
      <c r="D152" s="12" t="n">
        <v>0</v>
      </c>
      <c r="E152" s="12" t="n">
        <v>0</v>
      </c>
      <c r="F152" s="12" t="n">
        <v>1</v>
      </c>
      <c r="G152" s="12" t="n">
        <v>0</v>
      </c>
      <c r="H152" s="12" t="n">
        <v>0</v>
      </c>
      <c r="I152" s="12" t="n">
        <v>1</v>
      </c>
      <c r="J152" s="5">
        <f>B152*Opportunities!L8+C152*Opportunities!L9+D152*Opportunities!L10+E152*Opportunities!L11+F152*Opportunities!L12+G152*Opportunities!L13+H152*Opportunities!L14+I152*Opportunities!L15</f>
        <v>2597500.0</v>
      </c>
      <c r="K152" s="5">
        <f>SUM(B152:I152)</f>
        <v>4</v>
      </c>
      <c r="L152" s="5">
        <f>B152*Opportunities!P8+C152*Opportunities!P9+D152*Opportunities!P10+E152*Opportunities!P11+F152*Opportunities!P12+G152*Opportunities!P13+H152*Opportunities!P14+I152*Opportunities!P15</f>
        <v>-8467.120323208335</v>
      </c>
      <c r="M152" s="5">
        <f>IF(AND(J152&lt;=Assumptions!$B$6,K152&lt;=Assumptions!$B$7,B152*IF(Opportunities!S8="ELIGIBLE",0,1)+C152*IF(Opportunities!S9="ELIGIBLE",0,1)+D152*IF(Opportunities!S10="ELIGIBLE",0,1)+E152*IF(Opportunities!S11="ELIGIBLE",0,1)+F152*IF(Opportunities!S12="ELIGIBLE",0,1)+G152*IF(Opportunities!S13="ELIGIBLE",0,1)+H152*IF(Opportunities!S14="ELIGIBLE",0,1)+I152*IF(Opportunities!S15="ELIGIBLE",0,1)=0),1,0)</f>
        <v>0</v>
      </c>
      <c r="N152" s="5">
        <f>IF(M152=1,L152,-1E99)</f>
        <v>-1e+99</v>
      </c>
    </row>
    <row r="153">
      <c r="A153" s="12" t="n">
        <v>148</v>
      </c>
      <c r="B153" s="12" t="n">
        <v>0</v>
      </c>
      <c r="C153" s="12" t="n">
        <v>0</v>
      </c>
      <c r="D153" s="12" t="n">
        <v>1</v>
      </c>
      <c r="E153" s="12" t="n">
        <v>0</v>
      </c>
      <c r="F153" s="12" t="n">
        <v>1</v>
      </c>
      <c r="G153" s="12" t="n">
        <v>0</v>
      </c>
      <c r="H153" s="12" t="n">
        <v>0</v>
      </c>
      <c r="I153" s="12" t="n">
        <v>1</v>
      </c>
      <c r="J153" s="5">
        <f>B153*Opportunities!L8+C153*Opportunities!L9+D153*Opportunities!L10+E153*Opportunities!L11+F153*Opportunities!L12+G153*Opportunities!L13+H153*Opportunities!L14+I153*Opportunities!L15</f>
        <v>2724000.0</v>
      </c>
      <c r="K153" s="5">
        <f>SUM(B153:I153)</f>
        <v>3</v>
      </c>
      <c r="L153" s="5">
        <f>B153*Opportunities!P8+C153*Opportunities!P9+D153*Opportunities!P10+E153*Opportunities!P11+F153*Opportunities!P12+G153*Opportunities!P13+H153*Opportunities!P14+I153*Opportunities!P15</f>
        <v>-120708.32466422289</v>
      </c>
      <c r="M153" s="5">
        <f>IF(AND(J153&lt;=Assumptions!$B$6,K153&lt;=Assumptions!$B$7,B153*IF(Opportunities!S8="ELIGIBLE",0,1)+C153*IF(Opportunities!S9="ELIGIBLE",0,1)+D153*IF(Opportunities!S10="ELIGIBLE",0,1)+E153*IF(Opportunities!S11="ELIGIBLE",0,1)+F153*IF(Opportunities!S12="ELIGIBLE",0,1)+G153*IF(Opportunities!S13="ELIGIBLE",0,1)+H153*IF(Opportunities!S14="ELIGIBLE",0,1)+I153*IF(Opportunities!S15="ELIGIBLE",0,1)=0),1,0)</f>
        <v>0</v>
      </c>
      <c r="N153" s="5">
        <f>IF(M153=1,L153,-1E99)</f>
        <v>-1e+99</v>
      </c>
    </row>
    <row r="154">
      <c r="A154" s="12" t="n">
        <v>149</v>
      </c>
      <c r="B154" s="12" t="n">
        <v>1</v>
      </c>
      <c r="C154" s="12" t="n">
        <v>0</v>
      </c>
      <c r="D154" s="12" t="n">
        <v>1</v>
      </c>
      <c r="E154" s="12" t="n">
        <v>0</v>
      </c>
      <c r="F154" s="12" t="n">
        <v>1</v>
      </c>
      <c r="G154" s="12" t="n">
        <v>0</v>
      </c>
      <c r="H154" s="12" t="n">
        <v>0</v>
      </c>
      <c r="I154" s="12" t="n">
        <v>1</v>
      </c>
      <c r="J154" s="5">
        <f>B154*Opportunities!L8+C154*Opportunities!L9+D154*Opportunities!L10+E154*Opportunities!L11+F154*Opportunities!L12+G154*Opportunities!L13+H154*Opportunities!L14+I154*Opportunities!L15</f>
        <v>3593500.0</v>
      </c>
      <c r="K154" s="5">
        <f>SUM(B154:I154)</f>
        <v>4</v>
      </c>
      <c r="L154" s="5">
        <f>B154*Opportunities!P8+C154*Opportunities!P9+D154*Opportunities!P10+E154*Opportunities!P11+F154*Opportunities!P12+G154*Opportunities!P13+H154*Opportunities!P14+I154*Opportunities!P15</f>
        <v>-29811.80764177651</v>
      </c>
      <c r="M154" s="5">
        <f>IF(AND(J154&lt;=Assumptions!$B$6,K154&lt;=Assumptions!$B$7,B154*IF(Opportunities!S8="ELIGIBLE",0,1)+C154*IF(Opportunities!S9="ELIGIBLE",0,1)+D154*IF(Opportunities!S10="ELIGIBLE",0,1)+E154*IF(Opportunities!S11="ELIGIBLE",0,1)+F154*IF(Opportunities!S12="ELIGIBLE",0,1)+G154*IF(Opportunities!S13="ELIGIBLE",0,1)+H154*IF(Opportunities!S14="ELIGIBLE",0,1)+I154*IF(Opportunities!S15="ELIGIBLE",0,1)=0),1,0)</f>
        <v>0</v>
      </c>
      <c r="N154" s="5">
        <f>IF(M154=1,L154,-1E99)</f>
        <v>-1e+99</v>
      </c>
    </row>
    <row r="155">
      <c r="A155" s="12" t="n">
        <v>150</v>
      </c>
      <c r="B155" s="12" t="n">
        <v>0</v>
      </c>
      <c r="C155" s="12" t="n">
        <v>1</v>
      </c>
      <c r="D155" s="12" t="n">
        <v>1</v>
      </c>
      <c r="E155" s="12" t="n">
        <v>0</v>
      </c>
      <c r="F155" s="12" t="n">
        <v>1</v>
      </c>
      <c r="G155" s="12" t="n">
        <v>0</v>
      </c>
      <c r="H155" s="12" t="n">
        <v>0</v>
      </c>
      <c r="I155" s="12" t="n">
        <v>1</v>
      </c>
      <c r="J155" s="5">
        <f>B155*Opportunities!L8+C155*Opportunities!L9+D155*Opportunities!L10+E155*Opportunities!L11+F155*Opportunities!L12+G155*Opportunities!L13+H155*Opportunities!L14+I155*Opportunities!L15</f>
        <v>3309000.0</v>
      </c>
      <c r="K155" s="5">
        <f>SUM(B155:I155)</f>
        <v>4</v>
      </c>
      <c r="L155" s="5">
        <f>B155*Opportunities!P8+C155*Opportunities!P9+D155*Opportunities!P10+E155*Opportunities!P11+F155*Opportunities!P12+G155*Opportunities!P13+H155*Opportunities!P14+I155*Opportunities!P15</f>
        <v>-44579.92217279441</v>
      </c>
      <c r="M155" s="5">
        <f>IF(AND(J155&lt;=Assumptions!$B$6,K155&lt;=Assumptions!$B$7,B155*IF(Opportunities!S8="ELIGIBLE",0,1)+C155*IF(Opportunities!S9="ELIGIBLE",0,1)+D155*IF(Opportunities!S10="ELIGIBLE",0,1)+E155*IF(Opportunities!S11="ELIGIBLE",0,1)+F155*IF(Opportunities!S12="ELIGIBLE",0,1)+G155*IF(Opportunities!S13="ELIGIBLE",0,1)+H155*IF(Opportunities!S14="ELIGIBLE",0,1)+I155*IF(Opportunities!S15="ELIGIBLE",0,1)=0),1,0)</f>
        <v>0</v>
      </c>
      <c r="N155" s="5">
        <f>IF(M155=1,L155,-1E99)</f>
        <v>-1e+99</v>
      </c>
    </row>
    <row r="156">
      <c r="A156" s="12" t="n">
        <v>151</v>
      </c>
      <c r="B156" s="12" t="n">
        <v>1</v>
      </c>
      <c r="C156" s="12" t="n">
        <v>1</v>
      </c>
      <c r="D156" s="12" t="n">
        <v>1</v>
      </c>
      <c r="E156" s="12" t="n">
        <v>0</v>
      </c>
      <c r="F156" s="12" t="n">
        <v>1</v>
      </c>
      <c r="G156" s="12" t="n">
        <v>0</v>
      </c>
      <c r="H156" s="12" t="n">
        <v>0</v>
      </c>
      <c r="I156" s="12" t="n">
        <v>1</v>
      </c>
      <c r="J156" s="5">
        <f>B156*Opportunities!L8+C156*Opportunities!L9+D156*Opportunities!L10+E156*Opportunities!L11+F156*Opportunities!L12+G156*Opportunities!L13+H156*Opportunities!L14+I156*Opportunities!L15</f>
        <v>4178500.0</v>
      </c>
      <c r="K156" s="5">
        <f>SUM(B156:I156)</f>
        <v>5</v>
      </c>
      <c r="L156" s="5">
        <f>B156*Opportunities!P8+C156*Opportunities!P9+D156*Opportunities!P10+E156*Opportunities!P11+F156*Opportunities!P12+G156*Opportunities!P13+H156*Opportunities!P14+I156*Opportunities!P15</f>
        <v>46316.59484965197</v>
      </c>
      <c r="M156" s="5">
        <f>IF(AND(J156&lt;=Assumptions!$B$6,K156&lt;=Assumptions!$B$7,B156*IF(Opportunities!S8="ELIGIBLE",0,1)+C156*IF(Opportunities!S9="ELIGIBLE",0,1)+D156*IF(Opportunities!S10="ELIGIBLE",0,1)+E156*IF(Opportunities!S11="ELIGIBLE",0,1)+F156*IF(Opportunities!S12="ELIGIBLE",0,1)+G156*IF(Opportunities!S13="ELIGIBLE",0,1)+H156*IF(Opportunities!S14="ELIGIBLE",0,1)+I156*IF(Opportunities!S15="ELIGIBLE",0,1)=0),1,0)</f>
        <v>0</v>
      </c>
      <c r="N156" s="5">
        <f>IF(M156=1,L156,-1E99)</f>
        <v>-1e+99</v>
      </c>
    </row>
    <row r="157">
      <c r="A157" s="12" t="n">
        <v>152</v>
      </c>
      <c r="B157" s="12" t="n">
        <v>0</v>
      </c>
      <c r="C157" s="12" t="n">
        <v>0</v>
      </c>
      <c r="D157" s="12" t="n">
        <v>0</v>
      </c>
      <c r="E157" s="12" t="n">
        <v>1</v>
      </c>
      <c r="F157" s="12" t="n">
        <v>1</v>
      </c>
      <c r="G157" s="12" t="n">
        <v>0</v>
      </c>
      <c r="H157" s="12" t="n">
        <v>0</v>
      </c>
      <c r="I157" s="12" t="n">
        <v>1</v>
      </c>
      <c r="J157" s="5">
        <f>B157*Opportunities!L8+C157*Opportunities!L9+D157*Opportunities!L10+E157*Opportunities!L11+F157*Opportunities!L12+G157*Opportunities!L13+H157*Opportunities!L14+I157*Opportunities!L15</f>
        <v>1475250.0</v>
      </c>
      <c r="K157" s="5">
        <f>SUM(B157:I157)</f>
        <v>3</v>
      </c>
      <c r="L157" s="5">
        <f>B157*Opportunities!P8+C157*Opportunities!P9+D157*Opportunities!P10+E157*Opportunities!P11+F157*Opportunities!P12+G157*Opportunities!P13+H157*Opportunities!P14+I157*Opportunities!P15</f>
        <v>-153603.9170641207</v>
      </c>
      <c r="M157" s="5">
        <f>IF(AND(J157&lt;=Assumptions!$B$6,K157&lt;=Assumptions!$B$7,B157*IF(Opportunities!S8="ELIGIBLE",0,1)+C157*IF(Opportunities!S9="ELIGIBLE",0,1)+D157*IF(Opportunities!S10="ELIGIBLE",0,1)+E157*IF(Opportunities!S11="ELIGIBLE",0,1)+F157*IF(Opportunities!S12="ELIGIBLE",0,1)+G157*IF(Opportunities!S13="ELIGIBLE",0,1)+H157*IF(Opportunities!S14="ELIGIBLE",0,1)+I157*IF(Opportunities!S15="ELIGIBLE",0,1)=0),1,0)</f>
        <v>0</v>
      </c>
      <c r="N157" s="5">
        <f>IF(M157=1,L157,-1E99)</f>
        <v>-1e+99</v>
      </c>
    </row>
    <row r="158">
      <c r="A158" s="12" t="n">
        <v>153</v>
      </c>
      <c r="B158" s="12" t="n">
        <v>1</v>
      </c>
      <c r="C158" s="12" t="n">
        <v>0</v>
      </c>
      <c r="D158" s="12" t="n">
        <v>0</v>
      </c>
      <c r="E158" s="12" t="n">
        <v>1</v>
      </c>
      <c r="F158" s="12" t="n">
        <v>1</v>
      </c>
      <c r="G158" s="12" t="n">
        <v>0</v>
      </c>
      <c r="H158" s="12" t="n">
        <v>0</v>
      </c>
      <c r="I158" s="12" t="n">
        <v>1</v>
      </c>
      <c r="J158" s="5">
        <f>B158*Opportunities!L8+C158*Opportunities!L9+D158*Opportunities!L10+E158*Opportunities!L11+F158*Opportunities!L12+G158*Opportunities!L13+H158*Opportunities!L14+I158*Opportunities!L15</f>
        <v>2344750.0</v>
      </c>
      <c r="K158" s="5">
        <f>SUM(B158:I158)</f>
        <v>4</v>
      </c>
      <c r="L158" s="5">
        <f>B158*Opportunities!P8+C158*Opportunities!P9+D158*Opportunities!P10+E158*Opportunities!P11+F158*Opportunities!P12+G158*Opportunities!P13+H158*Opportunities!P14+I158*Opportunities!P15</f>
        <v>-62707.40004167432</v>
      </c>
      <c r="M158" s="5">
        <f>IF(AND(J158&lt;=Assumptions!$B$6,K158&lt;=Assumptions!$B$7,B158*IF(Opportunities!S8="ELIGIBLE",0,1)+C158*IF(Opportunities!S9="ELIGIBLE",0,1)+D158*IF(Opportunities!S10="ELIGIBLE",0,1)+E158*IF(Opportunities!S11="ELIGIBLE",0,1)+F158*IF(Opportunities!S12="ELIGIBLE",0,1)+G158*IF(Opportunities!S13="ELIGIBLE",0,1)+H158*IF(Opportunities!S14="ELIGIBLE",0,1)+I158*IF(Opportunities!S15="ELIGIBLE",0,1)=0),1,0)</f>
        <v>0</v>
      </c>
      <c r="N158" s="5">
        <f>IF(M158=1,L158,-1E99)</f>
        <v>-1e+99</v>
      </c>
    </row>
    <row r="159">
      <c r="A159" s="12" t="n">
        <v>154</v>
      </c>
      <c r="B159" s="12" t="n">
        <v>0</v>
      </c>
      <c r="C159" s="12" t="n">
        <v>1</v>
      </c>
      <c r="D159" s="12" t="n">
        <v>0</v>
      </c>
      <c r="E159" s="12" t="n">
        <v>1</v>
      </c>
      <c r="F159" s="12" t="n">
        <v>1</v>
      </c>
      <c r="G159" s="12" t="n">
        <v>0</v>
      </c>
      <c r="H159" s="12" t="n">
        <v>0</v>
      </c>
      <c r="I159" s="12" t="n">
        <v>1</v>
      </c>
      <c r="J159" s="5">
        <f>B159*Opportunities!L8+C159*Opportunities!L9+D159*Opportunities!L10+E159*Opportunities!L11+F159*Opportunities!L12+G159*Opportunities!L13+H159*Opportunities!L14+I159*Opportunities!L15</f>
        <v>2060250.0</v>
      </c>
      <c r="K159" s="5">
        <f>SUM(B159:I159)</f>
        <v>4</v>
      </c>
      <c r="L159" s="5">
        <f>B159*Opportunities!P8+C159*Opportunities!P9+D159*Opportunities!P10+E159*Opportunities!P11+F159*Opportunities!P12+G159*Opportunities!P13+H159*Opportunities!P14+I159*Opportunities!P15</f>
        <v>-77475.51457269222</v>
      </c>
      <c r="M159" s="5">
        <f>IF(AND(J159&lt;=Assumptions!$B$6,K159&lt;=Assumptions!$B$7,B159*IF(Opportunities!S8="ELIGIBLE",0,1)+C159*IF(Opportunities!S9="ELIGIBLE",0,1)+D159*IF(Opportunities!S10="ELIGIBLE",0,1)+E159*IF(Opportunities!S11="ELIGIBLE",0,1)+F159*IF(Opportunities!S12="ELIGIBLE",0,1)+G159*IF(Opportunities!S13="ELIGIBLE",0,1)+H159*IF(Opportunities!S14="ELIGIBLE",0,1)+I159*IF(Opportunities!S15="ELIGIBLE",0,1)=0),1,0)</f>
        <v>0</v>
      </c>
      <c r="N159" s="5">
        <f>IF(M159=1,L159,-1E99)</f>
        <v>-1e+99</v>
      </c>
    </row>
    <row r="160">
      <c r="A160" s="12" t="n">
        <v>155</v>
      </c>
      <c r="B160" s="12" t="n">
        <v>1</v>
      </c>
      <c r="C160" s="12" t="n">
        <v>1</v>
      </c>
      <c r="D160" s="12" t="n">
        <v>0</v>
      </c>
      <c r="E160" s="12" t="n">
        <v>1</v>
      </c>
      <c r="F160" s="12" t="n">
        <v>1</v>
      </c>
      <c r="G160" s="12" t="n">
        <v>0</v>
      </c>
      <c r="H160" s="12" t="n">
        <v>0</v>
      </c>
      <c r="I160" s="12" t="n">
        <v>1</v>
      </c>
      <c r="J160" s="5">
        <f>B160*Opportunities!L8+C160*Opportunities!L9+D160*Opportunities!L10+E160*Opportunities!L11+F160*Opportunities!L12+G160*Opportunities!L13+H160*Opportunities!L14+I160*Opportunities!L15</f>
        <v>2929750.0</v>
      </c>
      <c r="K160" s="5">
        <f>SUM(B160:I160)</f>
        <v>5</v>
      </c>
      <c r="L160" s="5">
        <f>B160*Opportunities!P8+C160*Opportunities!P9+D160*Opportunities!P10+E160*Opportunities!P11+F160*Opportunities!P12+G160*Opportunities!P13+H160*Opportunities!P14+I160*Opportunities!P15</f>
        <v>13421.00244975416</v>
      </c>
      <c r="M160" s="5">
        <f>IF(AND(J160&lt;=Assumptions!$B$6,K160&lt;=Assumptions!$B$7,B160*IF(Opportunities!S8="ELIGIBLE",0,1)+C160*IF(Opportunities!S9="ELIGIBLE",0,1)+D160*IF(Opportunities!S10="ELIGIBLE",0,1)+E160*IF(Opportunities!S11="ELIGIBLE",0,1)+F160*IF(Opportunities!S12="ELIGIBLE",0,1)+G160*IF(Opportunities!S13="ELIGIBLE",0,1)+H160*IF(Opportunities!S14="ELIGIBLE",0,1)+I160*IF(Opportunities!S15="ELIGIBLE",0,1)=0),1,0)</f>
        <v>0</v>
      </c>
      <c r="N160" s="5">
        <f>IF(M160=1,L160,-1E99)</f>
        <v>-1e+99</v>
      </c>
    </row>
    <row r="161">
      <c r="A161" s="12" t="n">
        <v>156</v>
      </c>
      <c r="B161" s="12" t="n">
        <v>0</v>
      </c>
      <c r="C161" s="12" t="n">
        <v>0</v>
      </c>
      <c r="D161" s="12" t="n">
        <v>1</v>
      </c>
      <c r="E161" s="12" t="n">
        <v>1</v>
      </c>
      <c r="F161" s="12" t="n">
        <v>1</v>
      </c>
      <c r="G161" s="12" t="n">
        <v>0</v>
      </c>
      <c r="H161" s="12" t="n">
        <v>0</v>
      </c>
      <c r="I161" s="12" t="n">
        <v>1</v>
      </c>
      <c r="J161" s="5">
        <f>B161*Opportunities!L8+C161*Opportunities!L9+D161*Opportunities!L10+E161*Opportunities!L11+F161*Opportunities!L12+G161*Opportunities!L13+H161*Opportunities!L14+I161*Opportunities!L15</f>
        <v>3056250.0</v>
      </c>
      <c r="K161" s="5">
        <f>SUM(B161:I161)</f>
        <v>4</v>
      </c>
      <c r="L161" s="5">
        <f>B161*Opportunities!P8+C161*Opportunities!P9+D161*Opportunities!P10+E161*Opportunities!P11+F161*Opportunities!P12+G161*Opportunities!P13+H161*Opportunities!P14+I161*Opportunities!P15</f>
        <v>-98820.2018912604</v>
      </c>
      <c r="M161" s="5">
        <f>IF(AND(J161&lt;=Assumptions!$B$6,K161&lt;=Assumptions!$B$7,B161*IF(Opportunities!S8="ELIGIBLE",0,1)+C161*IF(Opportunities!S9="ELIGIBLE",0,1)+D161*IF(Opportunities!S10="ELIGIBLE",0,1)+E161*IF(Opportunities!S11="ELIGIBLE",0,1)+F161*IF(Opportunities!S12="ELIGIBLE",0,1)+G161*IF(Opportunities!S13="ELIGIBLE",0,1)+H161*IF(Opportunities!S14="ELIGIBLE",0,1)+I161*IF(Opportunities!S15="ELIGIBLE",0,1)=0),1,0)</f>
        <v>0</v>
      </c>
      <c r="N161" s="5">
        <f>IF(M161=1,L161,-1E99)</f>
        <v>-1e+99</v>
      </c>
    </row>
    <row r="162">
      <c r="A162" s="12" t="n">
        <v>157</v>
      </c>
      <c r="B162" s="12" t="n">
        <v>1</v>
      </c>
      <c r="C162" s="12" t="n">
        <v>0</v>
      </c>
      <c r="D162" s="12" t="n">
        <v>1</v>
      </c>
      <c r="E162" s="12" t="n">
        <v>1</v>
      </c>
      <c r="F162" s="12" t="n">
        <v>1</v>
      </c>
      <c r="G162" s="12" t="n">
        <v>0</v>
      </c>
      <c r="H162" s="12" t="n">
        <v>0</v>
      </c>
      <c r="I162" s="12" t="n">
        <v>1</v>
      </c>
      <c r="J162" s="5">
        <f>B162*Opportunities!L8+C162*Opportunities!L9+D162*Opportunities!L10+E162*Opportunities!L11+F162*Opportunities!L12+G162*Opportunities!L13+H162*Opportunities!L14+I162*Opportunities!L15</f>
        <v>3925750.0</v>
      </c>
      <c r="K162" s="5">
        <f>SUM(B162:I162)</f>
        <v>5</v>
      </c>
      <c r="L162" s="5">
        <f>B162*Opportunities!P8+C162*Opportunities!P9+D162*Opportunities!P10+E162*Opportunities!P11+F162*Opportunities!P12+G162*Opportunities!P13+H162*Opportunities!P14+I162*Opportunities!P15</f>
        <v>-7923.684868814016</v>
      </c>
      <c r="M162" s="5">
        <f>IF(AND(J162&lt;=Assumptions!$B$6,K162&lt;=Assumptions!$B$7,B162*IF(Opportunities!S8="ELIGIBLE",0,1)+C162*IF(Opportunities!S9="ELIGIBLE",0,1)+D162*IF(Opportunities!S10="ELIGIBLE",0,1)+E162*IF(Opportunities!S11="ELIGIBLE",0,1)+F162*IF(Opportunities!S12="ELIGIBLE",0,1)+G162*IF(Opportunities!S13="ELIGIBLE",0,1)+H162*IF(Opportunities!S14="ELIGIBLE",0,1)+I162*IF(Opportunities!S15="ELIGIBLE",0,1)=0),1,0)</f>
        <v>0</v>
      </c>
      <c r="N162" s="5">
        <f>IF(M162=1,L162,-1E99)</f>
        <v>-1e+99</v>
      </c>
    </row>
    <row r="163">
      <c r="A163" s="12" t="n">
        <v>158</v>
      </c>
      <c r="B163" s="12" t="n">
        <v>0</v>
      </c>
      <c r="C163" s="12" t="n">
        <v>1</v>
      </c>
      <c r="D163" s="12" t="n">
        <v>1</v>
      </c>
      <c r="E163" s="12" t="n">
        <v>1</v>
      </c>
      <c r="F163" s="12" t="n">
        <v>1</v>
      </c>
      <c r="G163" s="12" t="n">
        <v>0</v>
      </c>
      <c r="H163" s="12" t="n">
        <v>0</v>
      </c>
      <c r="I163" s="12" t="n">
        <v>1</v>
      </c>
      <c r="J163" s="5">
        <f>B163*Opportunities!L8+C163*Opportunities!L9+D163*Opportunities!L10+E163*Opportunities!L11+F163*Opportunities!L12+G163*Opportunities!L13+H163*Opportunities!L14+I163*Opportunities!L15</f>
        <v>3641250.0</v>
      </c>
      <c r="K163" s="5">
        <f>SUM(B163:I163)</f>
        <v>5</v>
      </c>
      <c r="L163" s="5">
        <f>B163*Opportunities!P8+C163*Opportunities!P9+D163*Opportunities!P10+E163*Opportunities!P11+F163*Opportunities!P12+G163*Opportunities!P13+H163*Opportunities!P14+I163*Opportunities!P15</f>
        <v>-22691.799399831914</v>
      </c>
      <c r="M163" s="5">
        <f>IF(AND(J163&lt;=Assumptions!$B$6,K163&lt;=Assumptions!$B$7,B163*IF(Opportunities!S8="ELIGIBLE",0,1)+C163*IF(Opportunities!S9="ELIGIBLE",0,1)+D163*IF(Opportunities!S10="ELIGIBLE",0,1)+E163*IF(Opportunities!S11="ELIGIBLE",0,1)+F163*IF(Opportunities!S12="ELIGIBLE",0,1)+G163*IF(Opportunities!S13="ELIGIBLE",0,1)+H163*IF(Opportunities!S14="ELIGIBLE",0,1)+I163*IF(Opportunities!S15="ELIGIBLE",0,1)=0),1,0)</f>
        <v>0</v>
      </c>
      <c r="N163" s="5">
        <f>IF(M163=1,L163,-1E99)</f>
        <v>-1e+99</v>
      </c>
    </row>
    <row r="164">
      <c r="A164" s="12" t="n">
        <v>159</v>
      </c>
      <c r="B164" s="12" t="n">
        <v>1</v>
      </c>
      <c r="C164" s="12" t="n">
        <v>1</v>
      </c>
      <c r="D164" s="12" t="n">
        <v>1</v>
      </c>
      <c r="E164" s="12" t="n">
        <v>1</v>
      </c>
      <c r="F164" s="12" t="n">
        <v>1</v>
      </c>
      <c r="G164" s="12" t="n">
        <v>0</v>
      </c>
      <c r="H164" s="12" t="n">
        <v>0</v>
      </c>
      <c r="I164" s="12" t="n">
        <v>1</v>
      </c>
      <c r="J164" s="5">
        <f>B164*Opportunities!L8+C164*Opportunities!L9+D164*Opportunities!L10+E164*Opportunities!L11+F164*Opportunities!L12+G164*Opportunities!L13+H164*Opportunities!L14+I164*Opportunities!L15</f>
        <v>4510750.0</v>
      </c>
      <c r="K164" s="5">
        <f>SUM(B164:I164)</f>
        <v>6</v>
      </c>
      <c r="L164" s="5">
        <f>B164*Opportunities!P8+C164*Opportunities!P9+D164*Opportunities!P10+E164*Opportunities!P11+F164*Opportunities!P12+G164*Opportunities!P13+H164*Opportunities!P14+I164*Opportunities!P15</f>
        <v>68204.71762261447</v>
      </c>
      <c r="M164" s="5">
        <f>IF(AND(J164&lt;=Assumptions!$B$6,K164&lt;=Assumptions!$B$7,B164*IF(Opportunities!S8="ELIGIBLE",0,1)+C164*IF(Opportunities!S9="ELIGIBLE",0,1)+D164*IF(Opportunities!S10="ELIGIBLE",0,1)+E164*IF(Opportunities!S11="ELIGIBLE",0,1)+F164*IF(Opportunities!S12="ELIGIBLE",0,1)+G164*IF(Opportunities!S13="ELIGIBLE",0,1)+H164*IF(Opportunities!S14="ELIGIBLE",0,1)+I164*IF(Opportunities!S15="ELIGIBLE",0,1)=0),1,0)</f>
        <v>0</v>
      </c>
      <c r="N164" s="5">
        <f>IF(M164=1,L164,-1E99)</f>
        <v>-1e+99</v>
      </c>
    </row>
    <row r="165">
      <c r="A165" s="12" t="n">
        <v>160</v>
      </c>
      <c r="B165" s="12" t="n">
        <v>0</v>
      </c>
      <c r="C165" s="12" t="n">
        <v>0</v>
      </c>
      <c r="D165" s="12" t="n">
        <v>0</v>
      </c>
      <c r="E165" s="12" t="n">
        <v>0</v>
      </c>
      <c r="F165" s="12" t="n">
        <v>0</v>
      </c>
      <c r="G165" s="12" t="n">
        <v>1</v>
      </c>
      <c r="H165" s="12" t="n">
        <v>0</v>
      </c>
      <c r="I165" s="12" t="n">
        <v>1</v>
      </c>
      <c r="J165" s="5">
        <f>B165*Opportunities!L8+C165*Opportunities!L9+D165*Opportunities!L10+E165*Opportunities!L11+F165*Opportunities!L12+G165*Opportunities!L13+H165*Opportunities!L14+I165*Opportunities!L15</f>
        <v>799250.0000000001</v>
      </c>
      <c r="K165" s="5">
        <f>SUM(B165:I165)</f>
        <v>2</v>
      </c>
      <c r="L165" s="5">
        <f>B165*Opportunities!P8+C165*Opportunities!P9+D165*Opportunities!P10+E165*Opportunities!P11+F165*Opportunities!P12+G165*Opportunities!P13+H165*Opportunities!P14+I165*Opportunities!P15</f>
        <v>72646.65879214031</v>
      </c>
      <c r="M165" s="5">
        <f>IF(AND(J165&lt;=Assumptions!$B$6,K165&lt;=Assumptions!$B$7,B165*IF(Opportunities!S8="ELIGIBLE",0,1)+C165*IF(Opportunities!S9="ELIGIBLE",0,1)+D165*IF(Opportunities!S10="ELIGIBLE",0,1)+E165*IF(Opportunities!S11="ELIGIBLE",0,1)+F165*IF(Opportunities!S12="ELIGIBLE",0,1)+G165*IF(Opportunities!S13="ELIGIBLE",0,1)+H165*IF(Opportunities!S14="ELIGIBLE",0,1)+I165*IF(Opportunities!S15="ELIGIBLE",0,1)=0),1,0)</f>
        <v>0</v>
      </c>
      <c r="N165" s="5">
        <f>IF(M165=1,L165,-1E99)</f>
        <v>-1e+99</v>
      </c>
    </row>
    <row r="166">
      <c r="A166" s="12" t="n">
        <v>161</v>
      </c>
      <c r="B166" s="12" t="n">
        <v>1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1</v>
      </c>
      <c r="H166" s="12" t="n">
        <v>0</v>
      </c>
      <c r="I166" s="12" t="n">
        <v>1</v>
      </c>
      <c r="J166" s="5">
        <f>B166*Opportunities!L8+C166*Opportunities!L9+D166*Opportunities!L10+E166*Opportunities!L11+F166*Opportunities!L12+G166*Opportunities!L13+H166*Opportunities!L14+I166*Opportunities!L15</f>
        <v>1668750.0000000002</v>
      </c>
      <c r="K166" s="5">
        <f>SUM(B166:I166)</f>
        <v>3</v>
      </c>
      <c r="L166" s="5">
        <f>B166*Opportunities!P8+C166*Opportunities!P9+D166*Opportunities!P10+E166*Opportunities!P11+F166*Opportunities!P12+G166*Opportunities!P13+H166*Opportunities!P14+I166*Opportunities!P15</f>
        <v>163543.1758145867</v>
      </c>
      <c r="M166" s="5">
        <f>IF(AND(J166&lt;=Assumptions!$B$6,K166&lt;=Assumptions!$B$7,B166*IF(Opportunities!S8="ELIGIBLE",0,1)+C166*IF(Opportunities!S9="ELIGIBLE",0,1)+D166*IF(Opportunities!S10="ELIGIBLE",0,1)+E166*IF(Opportunities!S11="ELIGIBLE",0,1)+F166*IF(Opportunities!S12="ELIGIBLE",0,1)+G166*IF(Opportunities!S13="ELIGIBLE",0,1)+H166*IF(Opportunities!S14="ELIGIBLE",0,1)+I166*IF(Opportunities!S15="ELIGIBLE",0,1)=0),1,0)</f>
        <v>0</v>
      </c>
      <c r="N166" s="5">
        <f>IF(M166=1,L166,-1E99)</f>
        <v>-1e+99</v>
      </c>
    </row>
    <row r="167">
      <c r="A167" s="12" t="n">
        <v>162</v>
      </c>
      <c r="B167" s="12" t="n">
        <v>0</v>
      </c>
      <c r="C167" s="12" t="n">
        <v>1</v>
      </c>
      <c r="D167" s="12" t="n">
        <v>0</v>
      </c>
      <c r="E167" s="12" t="n">
        <v>0</v>
      </c>
      <c r="F167" s="12" t="n">
        <v>0</v>
      </c>
      <c r="G167" s="12" t="n">
        <v>1</v>
      </c>
      <c r="H167" s="12" t="n">
        <v>0</v>
      </c>
      <c r="I167" s="12" t="n">
        <v>1</v>
      </c>
      <c r="J167" s="5">
        <f>B167*Opportunities!L8+C167*Opportunities!L9+D167*Opportunities!L10+E167*Opportunities!L11+F167*Opportunities!L12+G167*Opportunities!L13+H167*Opportunities!L14+I167*Opportunities!L15</f>
        <v>1384250.0</v>
      </c>
      <c r="K167" s="5">
        <f>SUM(B167:I167)</f>
        <v>3</v>
      </c>
      <c r="L167" s="5">
        <f>B167*Opportunities!P8+C167*Opportunities!P9+D167*Opportunities!P10+E167*Opportunities!P11+F167*Opportunities!P12+G167*Opportunities!P13+H167*Opportunities!P14+I167*Opportunities!P15</f>
        <v>148775.0612835688</v>
      </c>
      <c r="M167" s="5">
        <f>IF(AND(J167&lt;=Assumptions!$B$6,K167&lt;=Assumptions!$B$7,B167*IF(Opportunities!S8="ELIGIBLE",0,1)+C167*IF(Opportunities!S9="ELIGIBLE",0,1)+D167*IF(Opportunities!S10="ELIGIBLE",0,1)+E167*IF(Opportunities!S11="ELIGIBLE",0,1)+F167*IF(Opportunities!S12="ELIGIBLE",0,1)+G167*IF(Opportunities!S13="ELIGIBLE",0,1)+H167*IF(Opportunities!S14="ELIGIBLE",0,1)+I167*IF(Opportunities!S15="ELIGIBLE",0,1)=0),1,0)</f>
        <v>0</v>
      </c>
      <c r="N167" s="5">
        <f>IF(M167=1,L167,-1E99)</f>
        <v>-1e+99</v>
      </c>
    </row>
    <row r="168">
      <c r="A168" s="12" t="n">
        <v>163</v>
      </c>
      <c r="B168" s="12" t="n">
        <v>1</v>
      </c>
      <c r="C168" s="12" t="n">
        <v>1</v>
      </c>
      <c r="D168" s="12" t="n">
        <v>0</v>
      </c>
      <c r="E168" s="12" t="n">
        <v>0</v>
      </c>
      <c r="F168" s="12" t="n">
        <v>0</v>
      </c>
      <c r="G168" s="12" t="n">
        <v>1</v>
      </c>
      <c r="H168" s="12" t="n">
        <v>0</v>
      </c>
      <c r="I168" s="12" t="n">
        <v>1</v>
      </c>
      <c r="J168" s="5">
        <f>B168*Opportunities!L8+C168*Opportunities!L9+D168*Opportunities!L10+E168*Opportunities!L11+F168*Opportunities!L12+G168*Opportunities!L13+H168*Opportunities!L14+I168*Opportunities!L15</f>
        <v>2253750.0</v>
      </c>
      <c r="K168" s="5">
        <f>SUM(B168:I168)</f>
        <v>4</v>
      </c>
      <c r="L168" s="5">
        <f>B168*Opportunities!P8+C168*Opportunities!P9+D168*Opportunities!P10+E168*Opportunities!P11+F168*Opportunities!P12+G168*Opportunities!P13+H168*Opportunities!P14+I168*Opportunities!P15</f>
        <v>239671.57830601517</v>
      </c>
      <c r="M168" s="5">
        <f>IF(AND(J168&lt;=Assumptions!$B$6,K168&lt;=Assumptions!$B$7,B168*IF(Opportunities!S8="ELIGIBLE",0,1)+C168*IF(Opportunities!S9="ELIGIBLE",0,1)+D168*IF(Opportunities!S10="ELIGIBLE",0,1)+E168*IF(Opportunities!S11="ELIGIBLE",0,1)+F168*IF(Opportunities!S12="ELIGIBLE",0,1)+G168*IF(Opportunities!S13="ELIGIBLE",0,1)+H168*IF(Opportunities!S14="ELIGIBLE",0,1)+I168*IF(Opportunities!S15="ELIGIBLE",0,1)=0),1,0)</f>
        <v>0</v>
      </c>
      <c r="N168" s="5">
        <f>IF(M168=1,L168,-1E99)</f>
        <v>-1e+99</v>
      </c>
    </row>
    <row r="169">
      <c r="A169" s="12" t="n">
        <v>164</v>
      </c>
      <c r="B169" s="12" t="n">
        <v>0</v>
      </c>
      <c r="C169" s="12" t="n">
        <v>0</v>
      </c>
      <c r="D169" s="12" t="n">
        <v>1</v>
      </c>
      <c r="E169" s="12" t="n">
        <v>0</v>
      </c>
      <c r="F169" s="12" t="n">
        <v>0</v>
      </c>
      <c r="G169" s="12" t="n">
        <v>1</v>
      </c>
      <c r="H169" s="12" t="n">
        <v>0</v>
      </c>
      <c r="I169" s="12" t="n">
        <v>1</v>
      </c>
      <c r="J169" s="5">
        <f>B169*Opportunities!L8+C169*Opportunities!L9+D169*Opportunities!L10+E169*Opportunities!L11+F169*Opportunities!L12+G169*Opportunities!L13+H169*Opportunities!L14+I169*Opportunities!L15</f>
        <v>2380250.0</v>
      </c>
      <c r="K169" s="5">
        <f>SUM(B169:I169)</f>
        <v>3</v>
      </c>
      <c r="L169" s="5">
        <f>B169*Opportunities!P8+C169*Opportunities!P9+D169*Opportunities!P10+E169*Opportunities!P11+F169*Opportunities!P12+G169*Opportunities!P13+H169*Opportunities!P14+I169*Opportunities!P15</f>
        <v>127430.37396500062</v>
      </c>
      <c r="M169" s="5">
        <f>IF(AND(J169&lt;=Assumptions!$B$6,K169&lt;=Assumptions!$B$7,B169*IF(Opportunities!S8="ELIGIBLE",0,1)+C169*IF(Opportunities!S9="ELIGIBLE",0,1)+D169*IF(Opportunities!S10="ELIGIBLE",0,1)+E169*IF(Opportunities!S11="ELIGIBLE",0,1)+F169*IF(Opportunities!S12="ELIGIBLE",0,1)+G169*IF(Opportunities!S13="ELIGIBLE",0,1)+H169*IF(Opportunities!S14="ELIGIBLE",0,1)+I169*IF(Opportunities!S15="ELIGIBLE",0,1)=0),1,0)</f>
        <v>0</v>
      </c>
      <c r="N169" s="5">
        <f>IF(M169=1,L169,-1E99)</f>
        <v>-1e+99</v>
      </c>
    </row>
    <row r="170">
      <c r="A170" s="12" t="n">
        <v>165</v>
      </c>
      <c r="B170" s="12" t="n">
        <v>1</v>
      </c>
      <c r="C170" s="12" t="n">
        <v>0</v>
      </c>
      <c r="D170" s="12" t="n">
        <v>1</v>
      </c>
      <c r="E170" s="12" t="n">
        <v>0</v>
      </c>
      <c r="F170" s="12" t="n">
        <v>0</v>
      </c>
      <c r="G170" s="12" t="n">
        <v>1</v>
      </c>
      <c r="H170" s="12" t="n">
        <v>0</v>
      </c>
      <c r="I170" s="12" t="n">
        <v>1</v>
      </c>
      <c r="J170" s="5">
        <f>B170*Opportunities!L8+C170*Opportunities!L9+D170*Opportunities!L10+E170*Opportunities!L11+F170*Opportunities!L12+G170*Opportunities!L13+H170*Opportunities!L14+I170*Opportunities!L15</f>
        <v>3249750.0</v>
      </c>
      <c r="K170" s="5">
        <f>SUM(B170:I170)</f>
        <v>4</v>
      </c>
      <c r="L170" s="5">
        <f>B170*Opportunities!P8+C170*Opportunities!P9+D170*Opportunities!P10+E170*Opportunities!P11+F170*Opportunities!P12+G170*Opportunities!P13+H170*Opportunities!P14+I170*Opportunities!P15</f>
        <v>218326.890987447</v>
      </c>
      <c r="M170" s="5">
        <f>IF(AND(J170&lt;=Assumptions!$B$6,K170&lt;=Assumptions!$B$7,B170*IF(Opportunities!S8="ELIGIBLE",0,1)+C170*IF(Opportunities!S9="ELIGIBLE",0,1)+D170*IF(Opportunities!S10="ELIGIBLE",0,1)+E170*IF(Opportunities!S11="ELIGIBLE",0,1)+F170*IF(Opportunities!S12="ELIGIBLE",0,1)+G170*IF(Opportunities!S13="ELIGIBLE",0,1)+H170*IF(Opportunities!S14="ELIGIBLE",0,1)+I170*IF(Opportunities!S15="ELIGIBLE",0,1)=0),1,0)</f>
        <v>0</v>
      </c>
      <c r="N170" s="5">
        <f>IF(M170=1,L170,-1E99)</f>
        <v>-1e+99</v>
      </c>
    </row>
    <row r="171">
      <c r="A171" s="12" t="n">
        <v>166</v>
      </c>
      <c r="B171" s="12" t="n">
        <v>0</v>
      </c>
      <c r="C171" s="12" t="n">
        <v>1</v>
      </c>
      <c r="D171" s="12" t="n">
        <v>1</v>
      </c>
      <c r="E171" s="12" t="n">
        <v>0</v>
      </c>
      <c r="F171" s="12" t="n">
        <v>0</v>
      </c>
      <c r="G171" s="12" t="n">
        <v>1</v>
      </c>
      <c r="H171" s="12" t="n">
        <v>0</v>
      </c>
      <c r="I171" s="12" t="n">
        <v>1</v>
      </c>
      <c r="J171" s="5">
        <f>B171*Opportunities!L8+C171*Opportunities!L9+D171*Opportunities!L10+E171*Opportunities!L11+F171*Opportunities!L12+G171*Opportunities!L13+H171*Opportunities!L14+I171*Opportunities!L15</f>
        <v>2965250.0</v>
      </c>
      <c r="K171" s="5">
        <f>SUM(B171:I171)</f>
        <v>4</v>
      </c>
      <c r="L171" s="5">
        <f>B171*Opportunities!P8+C171*Opportunities!P9+D171*Opportunities!P10+E171*Opportunities!P11+F171*Opportunities!P12+G171*Opportunities!P13+H171*Opportunities!P14+I171*Opportunities!P15</f>
        <v>203558.7764564291</v>
      </c>
      <c r="M171" s="5">
        <f>IF(AND(J171&lt;=Assumptions!$B$6,K171&lt;=Assumptions!$B$7,B171*IF(Opportunities!S8="ELIGIBLE",0,1)+C171*IF(Opportunities!S9="ELIGIBLE",0,1)+D171*IF(Opportunities!S10="ELIGIBLE",0,1)+E171*IF(Opportunities!S11="ELIGIBLE",0,1)+F171*IF(Opportunities!S12="ELIGIBLE",0,1)+G171*IF(Opportunities!S13="ELIGIBLE",0,1)+H171*IF(Opportunities!S14="ELIGIBLE",0,1)+I171*IF(Opportunities!S15="ELIGIBLE",0,1)=0),1,0)</f>
        <v>0</v>
      </c>
      <c r="N171" s="5">
        <f>IF(M171=1,L171,-1E99)</f>
        <v>-1e+99</v>
      </c>
    </row>
    <row r="172">
      <c r="A172" s="12" t="n">
        <v>167</v>
      </c>
      <c r="B172" s="12" t="n">
        <v>1</v>
      </c>
      <c r="C172" s="12" t="n">
        <v>1</v>
      </c>
      <c r="D172" s="12" t="n">
        <v>1</v>
      </c>
      <c r="E172" s="12" t="n">
        <v>0</v>
      </c>
      <c r="F172" s="12" t="n">
        <v>0</v>
      </c>
      <c r="G172" s="12" t="n">
        <v>1</v>
      </c>
      <c r="H172" s="12" t="n">
        <v>0</v>
      </c>
      <c r="I172" s="12" t="n">
        <v>1</v>
      </c>
      <c r="J172" s="5">
        <f>B172*Opportunities!L8+C172*Opportunities!L9+D172*Opportunities!L10+E172*Opportunities!L11+F172*Opportunities!L12+G172*Opportunities!L13+H172*Opportunities!L14+I172*Opportunities!L15</f>
        <v>3834750.0</v>
      </c>
      <c r="K172" s="5">
        <f>SUM(B172:I172)</f>
        <v>5</v>
      </c>
      <c r="L172" s="5">
        <f>B172*Opportunities!P8+C172*Opportunities!P9+D172*Opportunities!P10+E172*Opportunities!P11+F172*Opportunities!P12+G172*Opportunities!P13+H172*Opportunities!P14+I172*Opportunities!P15</f>
        <v>294455.2934788755</v>
      </c>
      <c r="M172" s="5">
        <f>IF(AND(J172&lt;=Assumptions!$B$6,K172&lt;=Assumptions!$B$7,B172*IF(Opportunities!S8="ELIGIBLE",0,1)+C172*IF(Opportunities!S9="ELIGIBLE",0,1)+D172*IF(Opportunities!S10="ELIGIBLE",0,1)+E172*IF(Opportunities!S11="ELIGIBLE",0,1)+F172*IF(Opportunities!S12="ELIGIBLE",0,1)+G172*IF(Opportunities!S13="ELIGIBLE",0,1)+H172*IF(Opportunities!S14="ELIGIBLE",0,1)+I172*IF(Opportunities!S15="ELIGIBLE",0,1)=0),1,0)</f>
        <v>0</v>
      </c>
      <c r="N172" s="5">
        <f>IF(M172=1,L172,-1E99)</f>
        <v>-1e+99</v>
      </c>
    </row>
    <row r="173">
      <c r="A173" s="12" t="n">
        <v>168</v>
      </c>
      <c r="B173" s="12" t="n">
        <v>0</v>
      </c>
      <c r="C173" s="12" t="n">
        <v>0</v>
      </c>
      <c r="D173" s="12" t="n">
        <v>0</v>
      </c>
      <c r="E173" s="12" t="n">
        <v>1</v>
      </c>
      <c r="F173" s="12" t="n">
        <v>0</v>
      </c>
      <c r="G173" s="12" t="n">
        <v>1</v>
      </c>
      <c r="H173" s="12" t="n">
        <v>0</v>
      </c>
      <c r="I173" s="12" t="n">
        <v>1</v>
      </c>
      <c r="J173" s="5">
        <f>B173*Opportunities!L8+C173*Opportunities!L9+D173*Opportunities!L10+E173*Opportunities!L11+F173*Opportunities!L12+G173*Opportunities!L13+H173*Opportunities!L14+I173*Opportunities!L15</f>
        <v>1131500.0</v>
      </c>
      <c r="K173" s="5">
        <f>SUM(B173:I173)</f>
        <v>3</v>
      </c>
      <c r="L173" s="5">
        <f>B173*Opportunities!P8+C173*Opportunities!P9+D173*Opportunities!P10+E173*Opportunities!P11+F173*Opportunities!P12+G173*Opportunities!P13+H173*Opportunities!P14+I173*Opportunities!P15</f>
        <v>94534.7815651028</v>
      </c>
      <c r="M173" s="5">
        <f>IF(AND(J173&lt;=Assumptions!$B$6,K173&lt;=Assumptions!$B$7,B173*IF(Opportunities!S8="ELIGIBLE",0,1)+C173*IF(Opportunities!S9="ELIGIBLE",0,1)+D173*IF(Opportunities!S10="ELIGIBLE",0,1)+E173*IF(Opportunities!S11="ELIGIBLE",0,1)+F173*IF(Opportunities!S12="ELIGIBLE",0,1)+G173*IF(Opportunities!S13="ELIGIBLE",0,1)+H173*IF(Opportunities!S14="ELIGIBLE",0,1)+I173*IF(Opportunities!S15="ELIGIBLE",0,1)=0),1,0)</f>
        <v>0</v>
      </c>
      <c r="N173" s="5">
        <f>IF(M173=1,L173,-1E99)</f>
        <v>-1e+99</v>
      </c>
    </row>
    <row r="174">
      <c r="A174" s="12" t="n">
        <v>169</v>
      </c>
      <c r="B174" s="12" t="n">
        <v>1</v>
      </c>
      <c r="C174" s="12" t="n">
        <v>0</v>
      </c>
      <c r="D174" s="12" t="n">
        <v>0</v>
      </c>
      <c r="E174" s="12" t="n">
        <v>1</v>
      </c>
      <c r="F174" s="12" t="n">
        <v>0</v>
      </c>
      <c r="G174" s="12" t="n">
        <v>1</v>
      </c>
      <c r="H174" s="12" t="n">
        <v>0</v>
      </c>
      <c r="I174" s="12" t="n">
        <v>1</v>
      </c>
      <c r="J174" s="5">
        <f>B174*Opportunities!L8+C174*Opportunities!L9+D174*Opportunities!L10+E174*Opportunities!L11+F174*Opportunities!L12+G174*Opportunities!L13+H174*Opportunities!L14+I174*Opportunities!L15</f>
        <v>2001000.0</v>
      </c>
      <c r="K174" s="5">
        <f>SUM(B174:I174)</f>
        <v>4</v>
      </c>
      <c r="L174" s="5">
        <f>B174*Opportunities!P8+C174*Opportunities!P9+D174*Opportunities!P10+E174*Opportunities!P11+F174*Opportunities!P12+G174*Opportunities!P13+H174*Opportunities!P14+I174*Opportunities!P15</f>
        <v>185431.2985875492</v>
      </c>
      <c r="M174" s="5">
        <f>IF(AND(J174&lt;=Assumptions!$B$6,K174&lt;=Assumptions!$B$7,B174*IF(Opportunities!S8="ELIGIBLE",0,1)+C174*IF(Opportunities!S9="ELIGIBLE",0,1)+D174*IF(Opportunities!S10="ELIGIBLE",0,1)+E174*IF(Opportunities!S11="ELIGIBLE",0,1)+F174*IF(Opportunities!S12="ELIGIBLE",0,1)+G174*IF(Opportunities!S13="ELIGIBLE",0,1)+H174*IF(Opportunities!S14="ELIGIBLE",0,1)+I174*IF(Opportunities!S15="ELIGIBLE",0,1)=0),1,0)</f>
        <v>0</v>
      </c>
      <c r="N174" s="5">
        <f>IF(M174=1,L174,-1E99)</f>
        <v>-1e+99</v>
      </c>
    </row>
    <row r="175">
      <c r="A175" s="12" t="n">
        <v>170</v>
      </c>
      <c r="B175" s="12" t="n">
        <v>0</v>
      </c>
      <c r="C175" s="12" t="n">
        <v>1</v>
      </c>
      <c r="D175" s="12" t="n">
        <v>0</v>
      </c>
      <c r="E175" s="12" t="n">
        <v>1</v>
      </c>
      <c r="F175" s="12" t="n">
        <v>0</v>
      </c>
      <c r="G175" s="12" t="n">
        <v>1</v>
      </c>
      <c r="H175" s="12" t="n">
        <v>0</v>
      </c>
      <c r="I175" s="12" t="n">
        <v>1</v>
      </c>
      <c r="J175" s="5">
        <f>B175*Opportunities!L8+C175*Opportunities!L9+D175*Opportunities!L10+E175*Opportunities!L11+F175*Opportunities!L12+G175*Opportunities!L13+H175*Opportunities!L14+I175*Opportunities!L15</f>
        <v>1716500.0</v>
      </c>
      <c r="K175" s="5">
        <f>SUM(B175:I175)</f>
        <v>4</v>
      </c>
      <c r="L175" s="5">
        <f>B175*Opportunities!P8+C175*Opportunities!P9+D175*Opportunities!P10+E175*Opportunities!P11+F175*Opportunities!P12+G175*Opportunities!P13+H175*Opportunities!P14+I175*Opportunities!P15</f>
        <v>170663.1840565313</v>
      </c>
      <c r="M175" s="5">
        <f>IF(AND(J175&lt;=Assumptions!$B$6,K175&lt;=Assumptions!$B$7,B175*IF(Opportunities!S8="ELIGIBLE",0,1)+C175*IF(Opportunities!S9="ELIGIBLE",0,1)+D175*IF(Opportunities!S10="ELIGIBLE",0,1)+E175*IF(Opportunities!S11="ELIGIBLE",0,1)+F175*IF(Opportunities!S12="ELIGIBLE",0,1)+G175*IF(Opportunities!S13="ELIGIBLE",0,1)+H175*IF(Opportunities!S14="ELIGIBLE",0,1)+I175*IF(Opportunities!S15="ELIGIBLE",0,1)=0),1,0)</f>
        <v>0</v>
      </c>
      <c r="N175" s="5">
        <f>IF(M175=1,L175,-1E99)</f>
        <v>-1e+99</v>
      </c>
    </row>
    <row r="176">
      <c r="A176" s="12" t="n">
        <v>171</v>
      </c>
      <c r="B176" s="12" t="n">
        <v>1</v>
      </c>
      <c r="C176" s="12" t="n">
        <v>1</v>
      </c>
      <c r="D176" s="12" t="n">
        <v>0</v>
      </c>
      <c r="E176" s="12" t="n">
        <v>1</v>
      </c>
      <c r="F176" s="12" t="n">
        <v>0</v>
      </c>
      <c r="G176" s="12" t="n">
        <v>1</v>
      </c>
      <c r="H176" s="12" t="n">
        <v>0</v>
      </c>
      <c r="I176" s="12" t="n">
        <v>1</v>
      </c>
      <c r="J176" s="5">
        <f>B176*Opportunities!L8+C176*Opportunities!L9+D176*Opportunities!L10+E176*Opportunities!L11+F176*Opportunities!L12+G176*Opportunities!L13+H176*Opportunities!L14+I176*Opportunities!L15</f>
        <v>2586000.0</v>
      </c>
      <c r="K176" s="5">
        <f>SUM(B176:I176)</f>
        <v>5</v>
      </c>
      <c r="L176" s="5">
        <f>B176*Opportunities!P8+C176*Opportunities!P9+D176*Opportunities!P10+E176*Opportunities!P11+F176*Opportunities!P12+G176*Opportunities!P13+H176*Opportunities!P14+I176*Opportunities!P15</f>
        <v>261559.70107897767</v>
      </c>
      <c r="M176" s="5">
        <f>IF(AND(J176&lt;=Assumptions!$B$6,K176&lt;=Assumptions!$B$7,B176*IF(Opportunities!S8="ELIGIBLE",0,1)+C176*IF(Opportunities!S9="ELIGIBLE",0,1)+D176*IF(Opportunities!S10="ELIGIBLE",0,1)+E176*IF(Opportunities!S11="ELIGIBLE",0,1)+F176*IF(Opportunities!S12="ELIGIBLE",0,1)+G176*IF(Opportunities!S13="ELIGIBLE",0,1)+H176*IF(Opportunities!S14="ELIGIBLE",0,1)+I176*IF(Opportunities!S15="ELIGIBLE",0,1)=0),1,0)</f>
        <v>0</v>
      </c>
      <c r="N176" s="5">
        <f>IF(M176=1,L176,-1E99)</f>
        <v>-1e+99</v>
      </c>
    </row>
    <row r="177">
      <c r="A177" s="12" t="n">
        <v>172</v>
      </c>
      <c r="B177" s="12" t="n">
        <v>0</v>
      </c>
      <c r="C177" s="12" t="n">
        <v>0</v>
      </c>
      <c r="D177" s="12" t="n">
        <v>1</v>
      </c>
      <c r="E177" s="12" t="n">
        <v>1</v>
      </c>
      <c r="F177" s="12" t="n">
        <v>0</v>
      </c>
      <c r="G177" s="12" t="n">
        <v>1</v>
      </c>
      <c r="H177" s="12" t="n">
        <v>0</v>
      </c>
      <c r="I177" s="12" t="n">
        <v>1</v>
      </c>
      <c r="J177" s="5">
        <f>B177*Opportunities!L8+C177*Opportunities!L9+D177*Opportunities!L10+E177*Opportunities!L11+F177*Opportunities!L12+G177*Opportunities!L13+H177*Opportunities!L14+I177*Opportunities!L15</f>
        <v>2712500.0</v>
      </c>
      <c r="K177" s="5">
        <f>SUM(B177:I177)</f>
        <v>4</v>
      </c>
      <c r="L177" s="5">
        <f>B177*Opportunities!P8+C177*Opportunities!P9+D177*Opportunities!P10+E177*Opportunities!P11+F177*Opportunities!P12+G177*Opportunities!P13+H177*Opportunities!P14+I177*Opportunities!P15</f>
        <v>149318.4967379631</v>
      </c>
      <c r="M177" s="5">
        <f>IF(AND(J177&lt;=Assumptions!$B$6,K177&lt;=Assumptions!$B$7,B177*IF(Opportunities!S8="ELIGIBLE",0,1)+C177*IF(Opportunities!S9="ELIGIBLE",0,1)+D177*IF(Opportunities!S10="ELIGIBLE",0,1)+E177*IF(Opportunities!S11="ELIGIBLE",0,1)+F177*IF(Opportunities!S12="ELIGIBLE",0,1)+G177*IF(Opportunities!S13="ELIGIBLE",0,1)+H177*IF(Opportunities!S14="ELIGIBLE",0,1)+I177*IF(Opportunities!S15="ELIGIBLE",0,1)=0),1,0)</f>
        <v>0</v>
      </c>
      <c r="N177" s="5">
        <f>IF(M177=1,L177,-1E99)</f>
        <v>-1e+99</v>
      </c>
    </row>
    <row r="178">
      <c r="A178" s="12" t="n">
        <v>173</v>
      </c>
      <c r="B178" s="12" t="n">
        <v>1</v>
      </c>
      <c r="C178" s="12" t="n">
        <v>0</v>
      </c>
      <c r="D178" s="12" t="n">
        <v>1</v>
      </c>
      <c r="E178" s="12" t="n">
        <v>1</v>
      </c>
      <c r="F178" s="12" t="n">
        <v>0</v>
      </c>
      <c r="G178" s="12" t="n">
        <v>1</v>
      </c>
      <c r="H178" s="12" t="n">
        <v>0</v>
      </c>
      <c r="I178" s="12" t="n">
        <v>1</v>
      </c>
      <c r="J178" s="5">
        <f>B178*Opportunities!L8+C178*Opportunities!L9+D178*Opportunities!L10+E178*Opportunities!L11+F178*Opportunities!L12+G178*Opportunities!L13+H178*Opportunities!L14+I178*Opportunities!L15</f>
        <v>3582000.0</v>
      </c>
      <c r="K178" s="5">
        <f>SUM(B178:I178)</f>
        <v>5</v>
      </c>
      <c r="L178" s="5">
        <f>B178*Opportunities!P8+C178*Opportunities!P9+D178*Opportunities!P10+E178*Opportunities!P11+F178*Opportunities!P12+G178*Opportunities!P13+H178*Opportunities!P14+I178*Opportunities!P15</f>
        <v>240215.0137604095</v>
      </c>
      <c r="M178" s="5">
        <f>IF(AND(J178&lt;=Assumptions!$B$6,K178&lt;=Assumptions!$B$7,B178*IF(Opportunities!S8="ELIGIBLE",0,1)+C178*IF(Opportunities!S9="ELIGIBLE",0,1)+D178*IF(Opportunities!S10="ELIGIBLE",0,1)+E178*IF(Opportunities!S11="ELIGIBLE",0,1)+F178*IF(Opportunities!S12="ELIGIBLE",0,1)+G178*IF(Opportunities!S13="ELIGIBLE",0,1)+H178*IF(Opportunities!S14="ELIGIBLE",0,1)+I178*IF(Opportunities!S15="ELIGIBLE",0,1)=0),1,0)</f>
        <v>0</v>
      </c>
      <c r="N178" s="5">
        <f>IF(M178=1,L178,-1E99)</f>
        <v>-1e+99</v>
      </c>
    </row>
    <row r="179">
      <c r="A179" s="12" t="n">
        <v>174</v>
      </c>
      <c r="B179" s="12" t="n">
        <v>0</v>
      </c>
      <c r="C179" s="12" t="n">
        <v>1</v>
      </c>
      <c r="D179" s="12" t="n">
        <v>1</v>
      </c>
      <c r="E179" s="12" t="n">
        <v>1</v>
      </c>
      <c r="F179" s="12" t="n">
        <v>0</v>
      </c>
      <c r="G179" s="12" t="n">
        <v>1</v>
      </c>
      <c r="H179" s="12" t="n">
        <v>0</v>
      </c>
      <c r="I179" s="12" t="n">
        <v>1</v>
      </c>
      <c r="J179" s="5">
        <f>B179*Opportunities!L8+C179*Opportunities!L9+D179*Opportunities!L10+E179*Opportunities!L11+F179*Opportunities!L12+G179*Opportunities!L13+H179*Opportunities!L14+I179*Opportunities!L15</f>
        <v>3297500.0</v>
      </c>
      <c r="K179" s="5">
        <f>SUM(B179:I179)</f>
        <v>5</v>
      </c>
      <c r="L179" s="5">
        <f>B179*Opportunities!P8+C179*Opportunities!P9+D179*Opportunities!P10+E179*Opportunities!P11+F179*Opportunities!P12+G179*Opportunities!P13+H179*Opportunities!P14+I179*Opportunities!P15</f>
        <v>225446.8992293916</v>
      </c>
      <c r="M179" s="5">
        <f>IF(AND(J179&lt;=Assumptions!$B$6,K179&lt;=Assumptions!$B$7,B179*IF(Opportunities!S8="ELIGIBLE",0,1)+C179*IF(Opportunities!S9="ELIGIBLE",0,1)+D179*IF(Opportunities!S10="ELIGIBLE",0,1)+E179*IF(Opportunities!S11="ELIGIBLE",0,1)+F179*IF(Opportunities!S12="ELIGIBLE",0,1)+G179*IF(Opportunities!S13="ELIGIBLE",0,1)+H179*IF(Opportunities!S14="ELIGIBLE",0,1)+I179*IF(Opportunities!S15="ELIGIBLE",0,1)=0),1,0)</f>
        <v>0</v>
      </c>
      <c r="N179" s="5">
        <f>IF(M179=1,L179,-1E99)</f>
        <v>-1e+99</v>
      </c>
    </row>
    <row r="180">
      <c r="A180" s="12" t="n">
        <v>175</v>
      </c>
      <c r="B180" s="12" t="n">
        <v>1</v>
      </c>
      <c r="C180" s="12" t="n">
        <v>1</v>
      </c>
      <c r="D180" s="12" t="n">
        <v>1</v>
      </c>
      <c r="E180" s="12" t="n">
        <v>1</v>
      </c>
      <c r="F180" s="12" t="n">
        <v>0</v>
      </c>
      <c r="G180" s="12" t="n">
        <v>1</v>
      </c>
      <c r="H180" s="12" t="n">
        <v>0</v>
      </c>
      <c r="I180" s="12" t="n">
        <v>1</v>
      </c>
      <c r="J180" s="5">
        <f>B180*Opportunities!L8+C180*Opportunities!L9+D180*Opportunities!L10+E180*Opportunities!L11+F180*Opportunities!L12+G180*Opportunities!L13+H180*Opportunities!L14+I180*Opportunities!L15</f>
        <v>4167000.0</v>
      </c>
      <c r="K180" s="5">
        <f>SUM(B180:I180)</f>
        <v>6</v>
      </c>
      <c r="L180" s="5">
        <f>B180*Opportunities!P8+C180*Opportunities!P9+D180*Opportunities!P10+E180*Opportunities!P11+F180*Opportunities!P12+G180*Opportunities!P13+H180*Opportunities!P14+I180*Opportunities!P15</f>
        <v>316343.416251838</v>
      </c>
      <c r="M180" s="5">
        <f>IF(AND(J180&lt;=Assumptions!$B$6,K180&lt;=Assumptions!$B$7,B180*IF(Opportunities!S8="ELIGIBLE",0,1)+C180*IF(Opportunities!S9="ELIGIBLE",0,1)+D180*IF(Opportunities!S10="ELIGIBLE",0,1)+E180*IF(Opportunities!S11="ELIGIBLE",0,1)+F180*IF(Opportunities!S12="ELIGIBLE",0,1)+G180*IF(Opportunities!S13="ELIGIBLE",0,1)+H180*IF(Opportunities!S14="ELIGIBLE",0,1)+I180*IF(Opportunities!S15="ELIGIBLE",0,1)=0),1,0)</f>
        <v>0</v>
      </c>
      <c r="N180" s="5">
        <f>IF(M180=1,L180,-1E99)</f>
        <v>-1e+99</v>
      </c>
    </row>
    <row r="181">
      <c r="A181" s="12" t="n">
        <v>176</v>
      </c>
      <c r="B181" s="12" t="n">
        <v>0</v>
      </c>
      <c r="C181" s="12" t="n">
        <v>0</v>
      </c>
      <c r="D181" s="12" t="n">
        <v>0</v>
      </c>
      <c r="E181" s="12" t="n">
        <v>0</v>
      </c>
      <c r="F181" s="12" t="n">
        <v>1</v>
      </c>
      <c r="G181" s="12" t="n">
        <v>1</v>
      </c>
      <c r="H181" s="12" t="n">
        <v>0</v>
      </c>
      <c r="I181" s="12" t="n">
        <v>1</v>
      </c>
      <c r="J181" s="5">
        <f>B181*Opportunities!L8+C181*Opportunities!L9+D181*Opportunities!L10+E181*Opportunities!L11+F181*Opportunities!L12+G181*Opportunities!L13+H181*Opportunities!L14+I181*Opportunities!L15</f>
        <v>1942250.0</v>
      </c>
      <c r="K181" s="5">
        <f>SUM(B181:I181)</f>
        <v>3</v>
      </c>
      <c r="L181" s="5">
        <f>B181*Opportunities!P8+C181*Opportunities!P9+D181*Opportunities!P10+E181*Opportunities!P11+F181*Opportunities!P12+G181*Opportunities!P13+H181*Opportunities!P14+I181*Opportunities!P15</f>
        <v>-102845.38104494289</v>
      </c>
      <c r="M181" s="5">
        <f>IF(AND(J181&lt;=Assumptions!$B$6,K181&lt;=Assumptions!$B$7,B181*IF(Opportunities!S8="ELIGIBLE",0,1)+C181*IF(Opportunities!S9="ELIGIBLE",0,1)+D181*IF(Opportunities!S10="ELIGIBLE",0,1)+E181*IF(Opportunities!S11="ELIGIBLE",0,1)+F181*IF(Opportunities!S12="ELIGIBLE",0,1)+G181*IF(Opportunities!S13="ELIGIBLE",0,1)+H181*IF(Opportunities!S14="ELIGIBLE",0,1)+I181*IF(Opportunities!S15="ELIGIBLE",0,1)=0),1,0)</f>
        <v>0</v>
      </c>
      <c r="N181" s="5">
        <f>IF(M181=1,L181,-1E99)</f>
        <v>-1e+99</v>
      </c>
    </row>
    <row r="182">
      <c r="A182" s="12" t="n">
        <v>177</v>
      </c>
      <c r="B182" s="12" t="n">
        <v>1</v>
      </c>
      <c r="C182" s="12" t="n">
        <v>0</v>
      </c>
      <c r="D182" s="12" t="n">
        <v>0</v>
      </c>
      <c r="E182" s="12" t="n">
        <v>0</v>
      </c>
      <c r="F182" s="12" t="n">
        <v>1</v>
      </c>
      <c r="G182" s="12" t="n">
        <v>1</v>
      </c>
      <c r="H182" s="12" t="n">
        <v>0</v>
      </c>
      <c r="I182" s="12" t="n">
        <v>1</v>
      </c>
      <c r="J182" s="5">
        <f>B182*Opportunities!L8+C182*Opportunities!L9+D182*Opportunities!L10+E182*Opportunities!L11+F182*Opportunities!L12+G182*Opportunities!L13+H182*Opportunities!L14+I182*Opportunities!L15</f>
        <v>2811750.0</v>
      </c>
      <c r="K182" s="5">
        <f>SUM(B182:I182)</f>
        <v>4</v>
      </c>
      <c r="L182" s="5">
        <f>B182*Opportunities!P8+C182*Opportunities!P9+D182*Opportunities!P10+E182*Opportunities!P11+F182*Opportunities!P12+G182*Opportunities!P13+H182*Opportunities!P14+I182*Opportunities!P15</f>
        <v>-11948.864022496506</v>
      </c>
      <c r="M182" s="5">
        <f>IF(AND(J182&lt;=Assumptions!$B$6,K182&lt;=Assumptions!$B$7,B182*IF(Opportunities!S8="ELIGIBLE",0,1)+C182*IF(Opportunities!S9="ELIGIBLE",0,1)+D182*IF(Opportunities!S10="ELIGIBLE",0,1)+E182*IF(Opportunities!S11="ELIGIBLE",0,1)+F182*IF(Opportunities!S12="ELIGIBLE",0,1)+G182*IF(Opportunities!S13="ELIGIBLE",0,1)+H182*IF(Opportunities!S14="ELIGIBLE",0,1)+I182*IF(Opportunities!S15="ELIGIBLE",0,1)=0),1,0)</f>
        <v>0</v>
      </c>
      <c r="N182" s="5">
        <f>IF(M182=1,L182,-1E99)</f>
        <v>-1e+99</v>
      </c>
    </row>
    <row r="183">
      <c r="A183" s="12" t="n">
        <v>178</v>
      </c>
      <c r="B183" s="12" t="n">
        <v>0</v>
      </c>
      <c r="C183" s="12" t="n">
        <v>1</v>
      </c>
      <c r="D183" s="12" t="n">
        <v>0</v>
      </c>
      <c r="E183" s="12" t="n">
        <v>0</v>
      </c>
      <c r="F183" s="12" t="n">
        <v>1</v>
      </c>
      <c r="G183" s="12" t="n">
        <v>1</v>
      </c>
      <c r="H183" s="12" t="n">
        <v>0</v>
      </c>
      <c r="I183" s="12" t="n">
        <v>1</v>
      </c>
      <c r="J183" s="5">
        <f>B183*Opportunities!L8+C183*Opportunities!L9+D183*Opportunities!L10+E183*Opportunities!L11+F183*Opportunities!L12+G183*Opportunities!L13+H183*Opportunities!L14+I183*Opportunities!L15</f>
        <v>2527250.0</v>
      </c>
      <c r="K183" s="5">
        <f>SUM(B183:I183)</f>
        <v>4</v>
      </c>
      <c r="L183" s="5">
        <f>B183*Opportunities!P8+C183*Opportunities!P9+D183*Opportunities!P10+E183*Opportunities!P11+F183*Opportunities!P12+G183*Opportunities!P13+H183*Opportunities!P14+I183*Opportunities!P15</f>
        <v>-26716.978553514404</v>
      </c>
      <c r="M183" s="5">
        <f>IF(AND(J183&lt;=Assumptions!$B$6,K183&lt;=Assumptions!$B$7,B183*IF(Opportunities!S8="ELIGIBLE",0,1)+C183*IF(Opportunities!S9="ELIGIBLE",0,1)+D183*IF(Opportunities!S10="ELIGIBLE",0,1)+E183*IF(Opportunities!S11="ELIGIBLE",0,1)+F183*IF(Opportunities!S12="ELIGIBLE",0,1)+G183*IF(Opportunities!S13="ELIGIBLE",0,1)+H183*IF(Opportunities!S14="ELIGIBLE",0,1)+I183*IF(Opportunities!S15="ELIGIBLE",0,1)=0),1,0)</f>
        <v>0</v>
      </c>
      <c r="N183" s="5">
        <f>IF(M183=1,L183,-1E99)</f>
        <v>-1e+99</v>
      </c>
    </row>
    <row r="184">
      <c r="A184" s="12" t="n">
        <v>179</v>
      </c>
      <c r="B184" s="12" t="n">
        <v>1</v>
      </c>
      <c r="C184" s="12" t="n">
        <v>1</v>
      </c>
      <c r="D184" s="12" t="n">
        <v>0</v>
      </c>
      <c r="E184" s="12" t="n">
        <v>0</v>
      </c>
      <c r="F184" s="12" t="n">
        <v>1</v>
      </c>
      <c r="G184" s="12" t="n">
        <v>1</v>
      </c>
      <c r="H184" s="12" t="n">
        <v>0</v>
      </c>
      <c r="I184" s="12" t="n">
        <v>1</v>
      </c>
      <c r="J184" s="5">
        <f>B184*Opportunities!L8+C184*Opportunities!L9+D184*Opportunities!L10+E184*Opportunities!L11+F184*Opportunities!L12+G184*Opportunities!L13+H184*Opportunities!L14+I184*Opportunities!L15</f>
        <v>3396750.0</v>
      </c>
      <c r="K184" s="5">
        <f>SUM(B184:I184)</f>
        <v>5</v>
      </c>
      <c r="L184" s="5">
        <f>B184*Opportunities!P8+C184*Opportunities!P9+D184*Opportunities!P10+E184*Opportunities!P11+F184*Opportunities!P12+G184*Opportunities!P13+H184*Opportunities!P14+I184*Opportunities!P15</f>
        <v>64179.538468931976</v>
      </c>
      <c r="M184" s="5">
        <f>IF(AND(J184&lt;=Assumptions!$B$6,K184&lt;=Assumptions!$B$7,B184*IF(Opportunities!S8="ELIGIBLE",0,1)+C184*IF(Opportunities!S9="ELIGIBLE",0,1)+D184*IF(Opportunities!S10="ELIGIBLE",0,1)+E184*IF(Opportunities!S11="ELIGIBLE",0,1)+F184*IF(Opportunities!S12="ELIGIBLE",0,1)+G184*IF(Opportunities!S13="ELIGIBLE",0,1)+H184*IF(Opportunities!S14="ELIGIBLE",0,1)+I184*IF(Opportunities!S15="ELIGIBLE",0,1)=0),1,0)</f>
        <v>0</v>
      </c>
      <c r="N184" s="5">
        <f>IF(M184=1,L184,-1E99)</f>
        <v>-1e+99</v>
      </c>
    </row>
    <row r="185">
      <c r="A185" s="12" t="n">
        <v>180</v>
      </c>
      <c r="B185" s="12" t="n">
        <v>0</v>
      </c>
      <c r="C185" s="12" t="n">
        <v>0</v>
      </c>
      <c r="D185" s="12" t="n">
        <v>1</v>
      </c>
      <c r="E185" s="12" t="n">
        <v>0</v>
      </c>
      <c r="F185" s="12" t="n">
        <v>1</v>
      </c>
      <c r="G185" s="12" t="n">
        <v>1</v>
      </c>
      <c r="H185" s="12" t="n">
        <v>0</v>
      </c>
      <c r="I185" s="12" t="n">
        <v>1</v>
      </c>
      <c r="J185" s="5">
        <f>B185*Opportunities!L8+C185*Opportunities!L9+D185*Opportunities!L10+E185*Opportunities!L11+F185*Opportunities!L12+G185*Opportunities!L13+H185*Opportunities!L14+I185*Opportunities!L15</f>
        <v>3523250.0</v>
      </c>
      <c r="K185" s="5">
        <f>SUM(B185:I185)</f>
        <v>4</v>
      </c>
      <c r="L185" s="5">
        <f>B185*Opportunities!P8+C185*Opportunities!P9+D185*Opportunities!P10+E185*Opportunities!P11+F185*Opportunities!P12+G185*Opportunities!P13+H185*Opportunities!P14+I185*Opportunities!P15</f>
        <v>-48061.66587208258</v>
      </c>
      <c r="M185" s="5">
        <f>IF(AND(J185&lt;=Assumptions!$B$6,K185&lt;=Assumptions!$B$7,B185*IF(Opportunities!S8="ELIGIBLE",0,1)+C185*IF(Opportunities!S9="ELIGIBLE",0,1)+D185*IF(Opportunities!S10="ELIGIBLE",0,1)+E185*IF(Opportunities!S11="ELIGIBLE",0,1)+F185*IF(Opportunities!S12="ELIGIBLE",0,1)+G185*IF(Opportunities!S13="ELIGIBLE",0,1)+H185*IF(Opportunities!S14="ELIGIBLE",0,1)+I185*IF(Opportunities!S15="ELIGIBLE",0,1)=0),1,0)</f>
        <v>0</v>
      </c>
      <c r="N185" s="5">
        <f>IF(M185=1,L185,-1E99)</f>
        <v>-1e+99</v>
      </c>
    </row>
    <row r="186">
      <c r="A186" s="12" t="n">
        <v>181</v>
      </c>
      <c r="B186" s="12" t="n">
        <v>1</v>
      </c>
      <c r="C186" s="12" t="n">
        <v>0</v>
      </c>
      <c r="D186" s="12" t="n">
        <v>1</v>
      </c>
      <c r="E186" s="12" t="n">
        <v>0</v>
      </c>
      <c r="F186" s="12" t="n">
        <v>1</v>
      </c>
      <c r="G186" s="12" t="n">
        <v>1</v>
      </c>
      <c r="H186" s="12" t="n">
        <v>0</v>
      </c>
      <c r="I186" s="12" t="n">
        <v>1</v>
      </c>
      <c r="J186" s="5">
        <f>B186*Opportunities!L8+C186*Opportunities!L9+D186*Opportunities!L10+E186*Opportunities!L11+F186*Opportunities!L12+G186*Opportunities!L13+H186*Opportunities!L14+I186*Opportunities!L15</f>
        <v>4392750.0</v>
      </c>
      <c r="K186" s="5">
        <f>SUM(B186:I186)</f>
        <v>5</v>
      </c>
      <c r="L186" s="5">
        <f>B186*Opportunities!P8+C186*Opportunities!P9+D186*Opportunities!P10+E186*Opportunities!P11+F186*Opportunities!P12+G186*Opportunities!P13+H186*Opportunities!P14+I186*Opportunities!P15</f>
        <v>42834.8511503638</v>
      </c>
      <c r="M186" s="5">
        <f>IF(AND(J186&lt;=Assumptions!$B$6,K186&lt;=Assumptions!$B$7,B186*IF(Opportunities!S8="ELIGIBLE",0,1)+C186*IF(Opportunities!S9="ELIGIBLE",0,1)+D186*IF(Opportunities!S10="ELIGIBLE",0,1)+E186*IF(Opportunities!S11="ELIGIBLE",0,1)+F186*IF(Opportunities!S12="ELIGIBLE",0,1)+G186*IF(Opportunities!S13="ELIGIBLE",0,1)+H186*IF(Opportunities!S14="ELIGIBLE",0,1)+I186*IF(Opportunities!S15="ELIGIBLE",0,1)=0),1,0)</f>
        <v>0</v>
      </c>
      <c r="N186" s="5">
        <f>IF(M186=1,L186,-1E99)</f>
        <v>-1e+99</v>
      </c>
    </row>
    <row r="187">
      <c r="A187" s="12" t="n">
        <v>182</v>
      </c>
      <c r="B187" s="12" t="n">
        <v>0</v>
      </c>
      <c r="C187" s="12" t="n">
        <v>1</v>
      </c>
      <c r="D187" s="12" t="n">
        <v>1</v>
      </c>
      <c r="E187" s="12" t="n">
        <v>0</v>
      </c>
      <c r="F187" s="12" t="n">
        <v>1</v>
      </c>
      <c r="G187" s="12" t="n">
        <v>1</v>
      </c>
      <c r="H187" s="12" t="n">
        <v>0</v>
      </c>
      <c r="I187" s="12" t="n">
        <v>1</v>
      </c>
      <c r="J187" s="5">
        <f>B187*Opportunities!L8+C187*Opportunities!L9+D187*Opportunities!L10+E187*Opportunities!L11+F187*Opportunities!L12+G187*Opportunities!L13+H187*Opportunities!L14+I187*Opportunities!L15</f>
        <v>4108250.0</v>
      </c>
      <c r="K187" s="5">
        <f>SUM(B187:I187)</f>
        <v>5</v>
      </c>
      <c r="L187" s="5">
        <f>B187*Opportunities!P8+C187*Opportunities!P9+D187*Opportunities!P10+E187*Opportunities!P11+F187*Opportunities!P12+G187*Opportunities!P13+H187*Opportunities!P14+I187*Opportunities!P15</f>
        <v>28066.736619345902</v>
      </c>
      <c r="M187" s="5">
        <f>IF(AND(J187&lt;=Assumptions!$B$6,K187&lt;=Assumptions!$B$7,B187*IF(Opportunities!S8="ELIGIBLE",0,1)+C187*IF(Opportunities!S9="ELIGIBLE",0,1)+D187*IF(Opportunities!S10="ELIGIBLE",0,1)+E187*IF(Opportunities!S11="ELIGIBLE",0,1)+F187*IF(Opportunities!S12="ELIGIBLE",0,1)+G187*IF(Opportunities!S13="ELIGIBLE",0,1)+H187*IF(Opportunities!S14="ELIGIBLE",0,1)+I187*IF(Opportunities!S15="ELIGIBLE",0,1)=0),1,0)</f>
        <v>0</v>
      </c>
      <c r="N187" s="5">
        <f>IF(M187=1,L187,-1E99)</f>
        <v>-1e+99</v>
      </c>
    </row>
    <row r="188">
      <c r="A188" s="12" t="n">
        <v>183</v>
      </c>
      <c r="B188" s="12" t="n">
        <v>1</v>
      </c>
      <c r="C188" s="12" t="n">
        <v>1</v>
      </c>
      <c r="D188" s="12" t="n">
        <v>1</v>
      </c>
      <c r="E188" s="12" t="n">
        <v>0</v>
      </c>
      <c r="F188" s="12" t="n">
        <v>1</v>
      </c>
      <c r="G188" s="12" t="n">
        <v>1</v>
      </c>
      <c r="H188" s="12" t="n">
        <v>0</v>
      </c>
      <c r="I188" s="12" t="n">
        <v>1</v>
      </c>
      <c r="J188" s="5">
        <f>B188*Opportunities!L8+C188*Opportunities!L9+D188*Opportunities!L10+E188*Opportunities!L11+F188*Opportunities!L12+G188*Opportunities!L13+H188*Opportunities!L14+I188*Opportunities!L15</f>
        <v>4977750.0</v>
      </c>
      <c r="K188" s="5">
        <f>SUM(B188:I188)</f>
        <v>6</v>
      </c>
      <c r="L188" s="5">
        <f>B188*Opportunities!P8+C188*Opportunities!P9+D188*Opportunities!P10+E188*Opportunities!P11+F188*Opportunities!P12+G188*Opportunities!P13+H188*Opportunities!P14+I188*Opportunities!P15</f>
        <v>118963.25364179228</v>
      </c>
      <c r="M188" s="5">
        <f>IF(AND(J188&lt;=Assumptions!$B$6,K188&lt;=Assumptions!$B$7,B188*IF(Opportunities!S8="ELIGIBLE",0,1)+C188*IF(Opportunities!S9="ELIGIBLE",0,1)+D188*IF(Opportunities!S10="ELIGIBLE",0,1)+E188*IF(Opportunities!S11="ELIGIBLE",0,1)+F188*IF(Opportunities!S12="ELIGIBLE",0,1)+G188*IF(Opportunities!S13="ELIGIBLE",0,1)+H188*IF(Opportunities!S14="ELIGIBLE",0,1)+I188*IF(Opportunities!S15="ELIGIBLE",0,1)=0),1,0)</f>
        <v>0</v>
      </c>
      <c r="N188" s="5">
        <f>IF(M188=1,L188,-1E99)</f>
        <v>-1e+99</v>
      </c>
    </row>
    <row r="189">
      <c r="A189" s="12" t="n">
        <v>184</v>
      </c>
      <c r="B189" s="12" t="n">
        <v>0</v>
      </c>
      <c r="C189" s="12" t="n">
        <v>0</v>
      </c>
      <c r="D189" s="12" t="n">
        <v>0</v>
      </c>
      <c r="E189" s="12" t="n">
        <v>1</v>
      </c>
      <c r="F189" s="12" t="n">
        <v>1</v>
      </c>
      <c r="G189" s="12" t="n">
        <v>1</v>
      </c>
      <c r="H189" s="12" t="n">
        <v>0</v>
      </c>
      <c r="I189" s="12" t="n">
        <v>1</v>
      </c>
      <c r="J189" s="5">
        <f>B189*Opportunities!L8+C189*Opportunities!L9+D189*Opportunities!L10+E189*Opportunities!L11+F189*Opportunities!L12+G189*Opportunities!L13+H189*Opportunities!L14+I189*Opportunities!L15</f>
        <v>2274500.0</v>
      </c>
      <c r="K189" s="5">
        <f>SUM(B189:I189)</f>
        <v>4</v>
      </c>
      <c r="L189" s="5">
        <f>B189*Opportunities!P8+C189*Opportunities!P9+D189*Opportunities!P10+E189*Opportunities!P11+F189*Opportunities!P12+G189*Opportunities!P13+H189*Opportunities!P14+I189*Opportunities!P15</f>
        <v>-80957.25827198039</v>
      </c>
      <c r="M189" s="5">
        <f>IF(AND(J189&lt;=Assumptions!$B$6,K189&lt;=Assumptions!$B$7,B189*IF(Opportunities!S8="ELIGIBLE",0,1)+C189*IF(Opportunities!S9="ELIGIBLE",0,1)+D189*IF(Opportunities!S10="ELIGIBLE",0,1)+E189*IF(Opportunities!S11="ELIGIBLE",0,1)+F189*IF(Opportunities!S12="ELIGIBLE",0,1)+G189*IF(Opportunities!S13="ELIGIBLE",0,1)+H189*IF(Opportunities!S14="ELIGIBLE",0,1)+I189*IF(Opportunities!S15="ELIGIBLE",0,1)=0),1,0)</f>
        <v>0</v>
      </c>
      <c r="N189" s="5">
        <f>IF(M189=1,L189,-1E99)</f>
        <v>-1e+99</v>
      </c>
    </row>
    <row r="190">
      <c r="A190" s="12" t="n">
        <v>185</v>
      </c>
      <c r="B190" s="12" t="n">
        <v>1</v>
      </c>
      <c r="C190" s="12" t="n">
        <v>0</v>
      </c>
      <c r="D190" s="12" t="n">
        <v>0</v>
      </c>
      <c r="E190" s="12" t="n">
        <v>1</v>
      </c>
      <c r="F190" s="12" t="n">
        <v>1</v>
      </c>
      <c r="G190" s="12" t="n">
        <v>1</v>
      </c>
      <c r="H190" s="12" t="n">
        <v>0</v>
      </c>
      <c r="I190" s="12" t="n">
        <v>1</v>
      </c>
      <c r="J190" s="5">
        <f>B190*Opportunities!L8+C190*Opportunities!L9+D190*Opportunities!L10+E190*Opportunities!L11+F190*Opportunities!L12+G190*Opportunities!L13+H190*Opportunities!L14+I190*Opportunities!L15</f>
        <v>3144000.0</v>
      </c>
      <c r="K190" s="5">
        <f>SUM(B190:I190)</f>
        <v>5</v>
      </c>
      <c r="L190" s="5">
        <f>B190*Opportunities!P8+C190*Opportunities!P9+D190*Opportunities!P10+E190*Opportunities!P11+F190*Opportunities!P12+G190*Opportunities!P13+H190*Opportunities!P14+I190*Opportunities!P15</f>
        <v>9939.25875046599</v>
      </c>
      <c r="M190" s="5">
        <f>IF(AND(J190&lt;=Assumptions!$B$6,K190&lt;=Assumptions!$B$7,B190*IF(Opportunities!S8="ELIGIBLE",0,1)+C190*IF(Opportunities!S9="ELIGIBLE",0,1)+D190*IF(Opportunities!S10="ELIGIBLE",0,1)+E190*IF(Opportunities!S11="ELIGIBLE",0,1)+F190*IF(Opportunities!S12="ELIGIBLE",0,1)+G190*IF(Opportunities!S13="ELIGIBLE",0,1)+H190*IF(Opportunities!S14="ELIGIBLE",0,1)+I190*IF(Opportunities!S15="ELIGIBLE",0,1)=0),1,0)</f>
        <v>0</v>
      </c>
      <c r="N190" s="5">
        <f>IF(M190=1,L190,-1E99)</f>
        <v>-1e+99</v>
      </c>
    </row>
    <row r="191">
      <c r="A191" s="12" t="n">
        <v>186</v>
      </c>
      <c r="B191" s="12" t="n">
        <v>0</v>
      </c>
      <c r="C191" s="12" t="n">
        <v>1</v>
      </c>
      <c r="D191" s="12" t="n">
        <v>0</v>
      </c>
      <c r="E191" s="12" t="n">
        <v>1</v>
      </c>
      <c r="F191" s="12" t="n">
        <v>1</v>
      </c>
      <c r="G191" s="12" t="n">
        <v>1</v>
      </c>
      <c r="H191" s="12" t="n">
        <v>0</v>
      </c>
      <c r="I191" s="12" t="n">
        <v>1</v>
      </c>
      <c r="J191" s="5">
        <f>B191*Opportunities!L8+C191*Opportunities!L9+D191*Opportunities!L10+E191*Opportunities!L11+F191*Opportunities!L12+G191*Opportunities!L13+H191*Opportunities!L14+I191*Opportunities!L15</f>
        <v>2859500.0</v>
      </c>
      <c r="K191" s="5">
        <f>SUM(B191:I191)</f>
        <v>5</v>
      </c>
      <c r="L191" s="5">
        <f>B191*Opportunities!P8+C191*Opportunities!P9+D191*Opportunities!P10+E191*Opportunities!P11+F191*Opportunities!P12+G191*Opportunities!P13+H191*Opportunities!P14+I191*Opportunities!P15</f>
        <v>-4828.8557805519085</v>
      </c>
      <c r="M191" s="5">
        <f>IF(AND(J191&lt;=Assumptions!$B$6,K191&lt;=Assumptions!$B$7,B191*IF(Opportunities!S8="ELIGIBLE",0,1)+C191*IF(Opportunities!S9="ELIGIBLE",0,1)+D191*IF(Opportunities!S10="ELIGIBLE",0,1)+E191*IF(Opportunities!S11="ELIGIBLE",0,1)+F191*IF(Opportunities!S12="ELIGIBLE",0,1)+G191*IF(Opportunities!S13="ELIGIBLE",0,1)+H191*IF(Opportunities!S14="ELIGIBLE",0,1)+I191*IF(Opportunities!S15="ELIGIBLE",0,1)=0),1,0)</f>
        <v>0</v>
      </c>
      <c r="N191" s="5">
        <f>IF(M191=1,L191,-1E99)</f>
        <v>-1e+99</v>
      </c>
    </row>
    <row r="192">
      <c r="A192" s="12" t="n">
        <v>187</v>
      </c>
      <c r="B192" s="12" t="n">
        <v>1</v>
      </c>
      <c r="C192" s="12" t="n">
        <v>1</v>
      </c>
      <c r="D192" s="12" t="n">
        <v>0</v>
      </c>
      <c r="E192" s="12" t="n">
        <v>1</v>
      </c>
      <c r="F192" s="12" t="n">
        <v>1</v>
      </c>
      <c r="G192" s="12" t="n">
        <v>1</v>
      </c>
      <c r="H192" s="12" t="n">
        <v>0</v>
      </c>
      <c r="I192" s="12" t="n">
        <v>1</v>
      </c>
      <c r="J192" s="5">
        <f>B192*Opportunities!L8+C192*Opportunities!L9+D192*Opportunities!L10+E192*Opportunities!L11+F192*Opportunities!L12+G192*Opportunities!L13+H192*Opportunities!L14+I192*Opportunities!L15</f>
        <v>3729000.0</v>
      </c>
      <c r="K192" s="5">
        <f>SUM(B192:I192)</f>
        <v>6</v>
      </c>
      <c r="L192" s="5">
        <f>B192*Opportunities!P8+C192*Opportunities!P9+D192*Opportunities!P10+E192*Opportunities!P11+F192*Opportunities!P12+G192*Opportunities!P13+H192*Opportunities!P14+I192*Opportunities!P15</f>
        <v>86067.66124189447</v>
      </c>
      <c r="M192" s="5">
        <f>IF(AND(J192&lt;=Assumptions!$B$6,K192&lt;=Assumptions!$B$7,B192*IF(Opportunities!S8="ELIGIBLE",0,1)+C192*IF(Opportunities!S9="ELIGIBLE",0,1)+D192*IF(Opportunities!S10="ELIGIBLE",0,1)+E192*IF(Opportunities!S11="ELIGIBLE",0,1)+F192*IF(Opportunities!S12="ELIGIBLE",0,1)+G192*IF(Opportunities!S13="ELIGIBLE",0,1)+H192*IF(Opportunities!S14="ELIGIBLE",0,1)+I192*IF(Opportunities!S15="ELIGIBLE",0,1)=0),1,0)</f>
        <v>0</v>
      </c>
      <c r="N192" s="5">
        <f>IF(M192=1,L192,-1E99)</f>
        <v>-1e+99</v>
      </c>
    </row>
    <row r="193">
      <c r="A193" s="12" t="n">
        <v>188</v>
      </c>
      <c r="B193" s="12" t="n">
        <v>0</v>
      </c>
      <c r="C193" s="12" t="n">
        <v>0</v>
      </c>
      <c r="D193" s="12" t="n">
        <v>1</v>
      </c>
      <c r="E193" s="12" t="n">
        <v>1</v>
      </c>
      <c r="F193" s="12" t="n">
        <v>1</v>
      </c>
      <c r="G193" s="12" t="n">
        <v>1</v>
      </c>
      <c r="H193" s="12" t="n">
        <v>0</v>
      </c>
      <c r="I193" s="12" t="n">
        <v>1</v>
      </c>
      <c r="J193" s="5">
        <f>B193*Opportunities!L8+C193*Opportunities!L9+D193*Opportunities!L10+E193*Opportunities!L11+F193*Opportunities!L12+G193*Opportunities!L13+H193*Opportunities!L14+I193*Opportunities!L15</f>
        <v>3855500.0</v>
      </c>
      <c r="K193" s="5">
        <f>SUM(B193:I193)</f>
        <v>5</v>
      </c>
      <c r="L193" s="5">
        <f>B193*Opportunities!P8+C193*Opportunities!P9+D193*Opportunities!P10+E193*Opportunities!P11+F193*Opportunities!P12+G193*Opportunities!P13+H193*Opportunities!P14+I193*Opportunities!P15</f>
        <v>-26173.543099120085</v>
      </c>
      <c r="M193" s="5">
        <f>IF(AND(J193&lt;=Assumptions!$B$6,K193&lt;=Assumptions!$B$7,B193*IF(Opportunities!S8="ELIGIBLE",0,1)+C193*IF(Opportunities!S9="ELIGIBLE",0,1)+D193*IF(Opportunities!S10="ELIGIBLE",0,1)+E193*IF(Opportunities!S11="ELIGIBLE",0,1)+F193*IF(Opportunities!S12="ELIGIBLE",0,1)+G193*IF(Opportunities!S13="ELIGIBLE",0,1)+H193*IF(Opportunities!S14="ELIGIBLE",0,1)+I193*IF(Opportunities!S15="ELIGIBLE",0,1)=0),1,0)</f>
        <v>0</v>
      </c>
      <c r="N193" s="5">
        <f>IF(M193=1,L193,-1E99)</f>
        <v>-1e+99</v>
      </c>
    </row>
    <row r="194">
      <c r="A194" s="12" t="n">
        <v>189</v>
      </c>
      <c r="B194" s="12" t="n">
        <v>1</v>
      </c>
      <c r="C194" s="12" t="n">
        <v>0</v>
      </c>
      <c r="D194" s="12" t="n">
        <v>1</v>
      </c>
      <c r="E194" s="12" t="n">
        <v>1</v>
      </c>
      <c r="F194" s="12" t="n">
        <v>1</v>
      </c>
      <c r="G194" s="12" t="n">
        <v>1</v>
      </c>
      <c r="H194" s="12" t="n">
        <v>0</v>
      </c>
      <c r="I194" s="12" t="n">
        <v>1</v>
      </c>
      <c r="J194" s="5">
        <f>B194*Opportunities!L8+C194*Opportunities!L9+D194*Opportunities!L10+E194*Opportunities!L11+F194*Opportunities!L12+G194*Opportunities!L13+H194*Opportunities!L14+I194*Opportunities!L15</f>
        <v>4725000.0</v>
      </c>
      <c r="K194" s="5">
        <f>SUM(B194:I194)</f>
        <v>6</v>
      </c>
      <c r="L194" s="5">
        <f>B194*Opportunities!P8+C194*Opportunities!P9+D194*Opportunities!P10+E194*Opportunities!P11+F194*Opportunities!P12+G194*Opportunities!P13+H194*Opportunities!P14+I194*Opportunities!P15</f>
        <v>64722.973923326295</v>
      </c>
      <c r="M194" s="5">
        <f>IF(AND(J194&lt;=Assumptions!$B$6,K194&lt;=Assumptions!$B$7,B194*IF(Opportunities!S8="ELIGIBLE",0,1)+C194*IF(Opportunities!S9="ELIGIBLE",0,1)+D194*IF(Opportunities!S10="ELIGIBLE",0,1)+E194*IF(Opportunities!S11="ELIGIBLE",0,1)+F194*IF(Opportunities!S12="ELIGIBLE",0,1)+G194*IF(Opportunities!S13="ELIGIBLE",0,1)+H194*IF(Opportunities!S14="ELIGIBLE",0,1)+I194*IF(Opportunities!S15="ELIGIBLE",0,1)=0),1,0)</f>
        <v>0</v>
      </c>
      <c r="N194" s="5">
        <f>IF(M194=1,L194,-1E99)</f>
        <v>-1e+99</v>
      </c>
    </row>
    <row r="195">
      <c r="A195" s="12" t="n">
        <v>190</v>
      </c>
      <c r="B195" s="12" t="n">
        <v>0</v>
      </c>
      <c r="C195" s="12" t="n">
        <v>1</v>
      </c>
      <c r="D195" s="12" t="n">
        <v>1</v>
      </c>
      <c r="E195" s="12" t="n">
        <v>1</v>
      </c>
      <c r="F195" s="12" t="n">
        <v>1</v>
      </c>
      <c r="G195" s="12" t="n">
        <v>1</v>
      </c>
      <c r="H195" s="12" t="n">
        <v>0</v>
      </c>
      <c r="I195" s="12" t="n">
        <v>1</v>
      </c>
      <c r="J195" s="5">
        <f>B195*Opportunities!L8+C195*Opportunities!L9+D195*Opportunities!L10+E195*Opportunities!L11+F195*Opportunities!L12+G195*Opportunities!L13+H195*Opportunities!L14+I195*Opportunities!L15</f>
        <v>4440500.0</v>
      </c>
      <c r="K195" s="5">
        <f>SUM(B195:I195)</f>
        <v>6</v>
      </c>
      <c r="L195" s="5">
        <f>B195*Opportunities!P8+C195*Opportunities!P9+D195*Opportunities!P10+E195*Opportunities!P11+F195*Opportunities!P12+G195*Opportunities!P13+H195*Opportunities!P14+I195*Opportunities!P15</f>
        <v>49954.8593923084</v>
      </c>
      <c r="M195" s="5">
        <f>IF(AND(J195&lt;=Assumptions!$B$6,K195&lt;=Assumptions!$B$7,B195*IF(Opportunities!S8="ELIGIBLE",0,1)+C195*IF(Opportunities!S9="ELIGIBLE",0,1)+D195*IF(Opportunities!S10="ELIGIBLE",0,1)+E195*IF(Opportunities!S11="ELIGIBLE",0,1)+F195*IF(Opportunities!S12="ELIGIBLE",0,1)+G195*IF(Opportunities!S13="ELIGIBLE",0,1)+H195*IF(Opportunities!S14="ELIGIBLE",0,1)+I195*IF(Opportunities!S15="ELIGIBLE",0,1)=0),1,0)</f>
        <v>0</v>
      </c>
      <c r="N195" s="5">
        <f>IF(M195=1,L195,-1E99)</f>
        <v>-1e+99</v>
      </c>
    </row>
    <row r="196">
      <c r="A196" s="12" t="n">
        <v>191</v>
      </c>
      <c r="B196" s="12" t="n">
        <v>1</v>
      </c>
      <c r="C196" s="12" t="n">
        <v>1</v>
      </c>
      <c r="D196" s="12" t="n">
        <v>1</v>
      </c>
      <c r="E196" s="12" t="n">
        <v>1</v>
      </c>
      <c r="F196" s="12" t="n">
        <v>1</v>
      </c>
      <c r="G196" s="12" t="n">
        <v>1</v>
      </c>
      <c r="H196" s="12" t="n">
        <v>0</v>
      </c>
      <c r="I196" s="12" t="n">
        <v>1</v>
      </c>
      <c r="J196" s="5">
        <f>B196*Opportunities!L8+C196*Opportunities!L9+D196*Opportunities!L10+E196*Opportunities!L11+F196*Opportunities!L12+G196*Opportunities!L13+H196*Opportunities!L14+I196*Opportunities!L15</f>
        <v>5310000.0</v>
      </c>
      <c r="K196" s="5">
        <f>SUM(B196:I196)</f>
        <v>7</v>
      </c>
      <c r="L196" s="5">
        <f>B196*Opportunities!P8+C196*Opportunities!P9+D196*Opportunities!P10+E196*Opportunities!P11+F196*Opportunities!P12+G196*Opportunities!P13+H196*Opportunities!P14+I196*Opportunities!P15</f>
        <v>140851.37641475478</v>
      </c>
      <c r="M196" s="5">
        <f>IF(AND(J196&lt;=Assumptions!$B$6,K196&lt;=Assumptions!$B$7,B196*IF(Opportunities!S8="ELIGIBLE",0,1)+C196*IF(Opportunities!S9="ELIGIBLE",0,1)+D196*IF(Opportunities!S10="ELIGIBLE",0,1)+E196*IF(Opportunities!S11="ELIGIBLE",0,1)+F196*IF(Opportunities!S12="ELIGIBLE",0,1)+G196*IF(Opportunities!S13="ELIGIBLE",0,1)+H196*IF(Opportunities!S14="ELIGIBLE",0,1)+I196*IF(Opportunities!S15="ELIGIBLE",0,1)=0),1,0)</f>
        <v>0</v>
      </c>
      <c r="N196" s="5">
        <f>IF(M196=1,L196,-1E99)</f>
        <v>-1e+99</v>
      </c>
    </row>
    <row r="197">
      <c r="A197" s="12" t="n">
        <v>192</v>
      </c>
      <c r="B197" s="12" t="n">
        <v>0</v>
      </c>
      <c r="C197" s="12" t="n">
        <v>0</v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1</v>
      </c>
      <c r="I197" s="12" t="n">
        <v>1</v>
      </c>
      <c r="J197" s="5">
        <f>B197*Opportunities!L8+C197*Opportunities!L9+D197*Opportunities!L10+E197*Opportunities!L11+F197*Opportunities!L12+G197*Opportunities!L13+H197*Opportunities!L14+I197*Opportunities!L15</f>
        <v>0</v>
      </c>
      <c r="K197" s="5">
        <f>SUM(B197:I197)</f>
        <v>2</v>
      </c>
      <c r="L197" s="5">
        <f>B197*Opportunities!P8+C197*Opportunities!P9+D197*Opportunities!P10+E197*Opportunities!P11+F197*Opportunities!P12+G197*Opportunities!P13+H197*Opportunities!P14+I197*Opportunities!P15</f>
        <v>0.0</v>
      </c>
      <c r="M197" s="5">
        <f>IF(AND(J197&lt;=Assumptions!$B$6,K197&lt;=Assumptions!$B$7,B197*IF(Opportunities!S8="ELIGIBLE",0,1)+C197*IF(Opportunities!S9="ELIGIBLE",0,1)+D197*IF(Opportunities!S10="ELIGIBLE",0,1)+E197*IF(Opportunities!S11="ELIGIBLE",0,1)+F197*IF(Opportunities!S12="ELIGIBLE",0,1)+G197*IF(Opportunities!S13="ELIGIBLE",0,1)+H197*IF(Opportunities!S14="ELIGIBLE",0,1)+I197*IF(Opportunities!S15="ELIGIBLE",0,1)=0),1,0)</f>
        <v>0</v>
      </c>
      <c r="N197" s="5">
        <f>IF(M197=1,L197,-1E99)</f>
        <v>-1e+99</v>
      </c>
    </row>
    <row r="198">
      <c r="A198" s="12" t="n">
        <v>193</v>
      </c>
      <c r="B198" s="12" t="n">
        <v>1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1</v>
      </c>
      <c r="I198" s="12" t="n">
        <v>1</v>
      </c>
      <c r="J198" s="5">
        <f>B198*Opportunities!L8+C198*Opportunities!L9+D198*Opportunities!L10+E198*Opportunities!L11+F198*Opportunities!L12+G198*Opportunities!L13+H198*Opportunities!L14+I198*Opportunities!L15</f>
        <v>869500.0000000001</v>
      </c>
      <c r="K198" s="5">
        <f>SUM(B198:I198)</f>
        <v>3</v>
      </c>
      <c r="L198" s="5">
        <f>B198*Opportunities!P8+C198*Opportunities!P9+D198*Opportunities!P10+E198*Opportunities!P11+F198*Opportunities!P12+G198*Opportunities!P13+H198*Opportunities!P14+I198*Opportunities!P15</f>
        <v>90896.51702244638</v>
      </c>
      <c r="M198" s="5">
        <f>IF(AND(J198&lt;=Assumptions!$B$6,K198&lt;=Assumptions!$B$7,B198*IF(Opportunities!S8="ELIGIBLE",0,1)+C198*IF(Opportunities!S9="ELIGIBLE",0,1)+D198*IF(Opportunities!S10="ELIGIBLE",0,1)+E198*IF(Opportunities!S11="ELIGIBLE",0,1)+F198*IF(Opportunities!S12="ELIGIBLE",0,1)+G198*IF(Opportunities!S13="ELIGIBLE",0,1)+H198*IF(Opportunities!S14="ELIGIBLE",0,1)+I198*IF(Opportunities!S15="ELIGIBLE",0,1)=0),1,0)</f>
        <v>0</v>
      </c>
      <c r="N198" s="5">
        <f>IF(M198=1,L198,-1E99)</f>
        <v>-1e+99</v>
      </c>
    </row>
    <row r="199">
      <c r="A199" s="12" t="n">
        <v>194</v>
      </c>
      <c r="B199" s="12" t="n">
        <v>0</v>
      </c>
      <c r="C199" s="12" t="n">
        <v>1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1</v>
      </c>
      <c r="I199" s="12" t="n">
        <v>1</v>
      </c>
      <c r="J199" s="5">
        <f>B199*Opportunities!L8+C199*Opportunities!L9+D199*Opportunities!L10+E199*Opportunities!L11+F199*Opportunities!L12+G199*Opportunities!L13+H199*Opportunities!L14+I199*Opportunities!L15</f>
        <v>585000.0</v>
      </c>
      <c r="K199" s="5">
        <f>SUM(B199:I199)</f>
        <v>3</v>
      </c>
      <c r="L199" s="5">
        <f>B199*Opportunities!P8+C199*Opportunities!P9+D199*Opportunities!P10+E199*Opportunities!P11+F199*Opportunities!P12+G199*Opportunities!P13+H199*Opportunities!P14+I199*Opportunities!P15</f>
        <v>76128.40249142848</v>
      </c>
      <c r="M199" s="5">
        <f>IF(AND(J199&lt;=Assumptions!$B$6,K199&lt;=Assumptions!$B$7,B199*IF(Opportunities!S8="ELIGIBLE",0,1)+C199*IF(Opportunities!S9="ELIGIBLE",0,1)+D199*IF(Opportunities!S10="ELIGIBLE",0,1)+E199*IF(Opportunities!S11="ELIGIBLE",0,1)+F199*IF(Opportunities!S12="ELIGIBLE",0,1)+G199*IF(Opportunities!S13="ELIGIBLE",0,1)+H199*IF(Opportunities!S14="ELIGIBLE",0,1)+I199*IF(Opportunities!S15="ELIGIBLE",0,1)=0),1,0)</f>
        <v>0</v>
      </c>
      <c r="N199" s="5">
        <f>IF(M199=1,L199,-1E99)</f>
        <v>-1e+99</v>
      </c>
    </row>
    <row r="200">
      <c r="A200" s="12" t="n">
        <v>195</v>
      </c>
      <c r="B200" s="12" t="n">
        <v>1</v>
      </c>
      <c r="C200" s="12" t="n">
        <v>1</v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1</v>
      </c>
      <c r="I200" s="12" t="n">
        <v>1</v>
      </c>
      <c r="J200" s="5">
        <f>B200*Opportunities!L8+C200*Opportunities!L9+D200*Opportunities!L10+E200*Opportunities!L11+F200*Opportunities!L12+G200*Opportunities!L13+H200*Opportunities!L14+I200*Opportunities!L15</f>
        <v>1454500.0</v>
      </c>
      <c r="K200" s="5">
        <f>SUM(B200:I200)</f>
        <v>4</v>
      </c>
      <c r="L200" s="5">
        <f>B200*Opportunities!P8+C200*Opportunities!P9+D200*Opportunities!P10+E200*Opportunities!P11+F200*Opportunities!P12+G200*Opportunities!P13+H200*Opportunities!P14+I200*Opportunities!P15</f>
        <v>167024.91951387486</v>
      </c>
      <c r="M200" s="5">
        <f>IF(AND(J200&lt;=Assumptions!$B$6,K200&lt;=Assumptions!$B$7,B200*IF(Opportunities!S8="ELIGIBLE",0,1)+C200*IF(Opportunities!S9="ELIGIBLE",0,1)+D200*IF(Opportunities!S10="ELIGIBLE",0,1)+E200*IF(Opportunities!S11="ELIGIBLE",0,1)+F200*IF(Opportunities!S12="ELIGIBLE",0,1)+G200*IF(Opportunities!S13="ELIGIBLE",0,1)+H200*IF(Opportunities!S14="ELIGIBLE",0,1)+I200*IF(Opportunities!S15="ELIGIBLE",0,1)=0),1,0)</f>
        <v>0</v>
      </c>
      <c r="N200" s="5">
        <f>IF(M200=1,L200,-1E99)</f>
        <v>-1e+99</v>
      </c>
    </row>
    <row r="201">
      <c r="A201" s="12" t="n">
        <v>196</v>
      </c>
      <c r="B201" s="12" t="n">
        <v>0</v>
      </c>
      <c r="C201" s="12" t="n">
        <v>0</v>
      </c>
      <c r="D201" s="12" t="n">
        <v>1</v>
      </c>
      <c r="E201" s="12" t="n">
        <v>0</v>
      </c>
      <c r="F201" s="12" t="n">
        <v>0</v>
      </c>
      <c r="G201" s="12" t="n">
        <v>0</v>
      </c>
      <c r="H201" s="12" t="n">
        <v>1</v>
      </c>
      <c r="I201" s="12" t="n">
        <v>1</v>
      </c>
      <c r="J201" s="5">
        <f>B201*Opportunities!L8+C201*Opportunities!L9+D201*Opportunities!L10+E201*Opportunities!L11+F201*Opportunities!L12+G201*Opportunities!L13+H201*Opportunities!L14+I201*Opportunities!L15</f>
        <v>1581000.0</v>
      </c>
      <c r="K201" s="5">
        <f>SUM(B201:I201)</f>
        <v>3</v>
      </c>
      <c r="L201" s="5">
        <f>B201*Opportunities!P8+C201*Opportunities!P9+D201*Opportunities!P10+E201*Opportunities!P11+F201*Opportunities!P12+G201*Opportunities!P13+H201*Opportunities!P14+I201*Opportunities!P15</f>
        <v>54783.715172860306</v>
      </c>
      <c r="M201" s="5">
        <f>IF(AND(J201&lt;=Assumptions!$B$6,K201&lt;=Assumptions!$B$7,B201*IF(Opportunities!S8="ELIGIBLE",0,1)+C201*IF(Opportunities!S9="ELIGIBLE",0,1)+D201*IF(Opportunities!S10="ELIGIBLE",0,1)+E201*IF(Opportunities!S11="ELIGIBLE",0,1)+F201*IF(Opportunities!S12="ELIGIBLE",0,1)+G201*IF(Opportunities!S13="ELIGIBLE",0,1)+H201*IF(Opportunities!S14="ELIGIBLE",0,1)+I201*IF(Opportunities!S15="ELIGIBLE",0,1)=0),1,0)</f>
        <v>0</v>
      </c>
      <c r="N201" s="5">
        <f>IF(M201=1,L201,-1E99)</f>
        <v>-1e+99</v>
      </c>
    </row>
    <row r="202">
      <c r="A202" s="12" t="n">
        <v>197</v>
      </c>
      <c r="B202" s="12" t="n">
        <v>1</v>
      </c>
      <c r="C202" s="12" t="n">
        <v>0</v>
      </c>
      <c r="D202" s="12" t="n">
        <v>1</v>
      </c>
      <c r="E202" s="12" t="n">
        <v>0</v>
      </c>
      <c r="F202" s="12" t="n">
        <v>0</v>
      </c>
      <c r="G202" s="12" t="n">
        <v>0</v>
      </c>
      <c r="H202" s="12" t="n">
        <v>1</v>
      </c>
      <c r="I202" s="12" t="n">
        <v>1</v>
      </c>
      <c r="J202" s="5">
        <f>B202*Opportunities!L8+C202*Opportunities!L9+D202*Opportunities!L10+E202*Opportunities!L11+F202*Opportunities!L12+G202*Opportunities!L13+H202*Opportunities!L14+I202*Opportunities!L15</f>
        <v>2450500.0</v>
      </c>
      <c r="K202" s="5">
        <f>SUM(B202:I202)</f>
        <v>4</v>
      </c>
      <c r="L202" s="5">
        <f>B202*Opportunities!P8+C202*Opportunities!P9+D202*Opportunities!P10+E202*Opportunities!P11+F202*Opportunities!P12+G202*Opportunities!P13+H202*Opportunities!P14+I202*Opportunities!P15</f>
        <v>145680.2321953067</v>
      </c>
      <c r="M202" s="5">
        <f>IF(AND(J202&lt;=Assumptions!$B$6,K202&lt;=Assumptions!$B$7,B202*IF(Opportunities!S8="ELIGIBLE",0,1)+C202*IF(Opportunities!S9="ELIGIBLE",0,1)+D202*IF(Opportunities!S10="ELIGIBLE",0,1)+E202*IF(Opportunities!S11="ELIGIBLE",0,1)+F202*IF(Opportunities!S12="ELIGIBLE",0,1)+G202*IF(Opportunities!S13="ELIGIBLE",0,1)+H202*IF(Opportunities!S14="ELIGIBLE",0,1)+I202*IF(Opportunities!S15="ELIGIBLE",0,1)=0),1,0)</f>
        <v>0</v>
      </c>
      <c r="N202" s="5">
        <f>IF(M202=1,L202,-1E99)</f>
        <v>-1e+99</v>
      </c>
    </row>
    <row r="203">
      <c r="A203" s="12" t="n">
        <v>198</v>
      </c>
      <c r="B203" s="12" t="n">
        <v>0</v>
      </c>
      <c r="C203" s="12" t="n">
        <v>1</v>
      </c>
      <c r="D203" s="12" t="n">
        <v>1</v>
      </c>
      <c r="E203" s="12" t="n">
        <v>0</v>
      </c>
      <c r="F203" s="12" t="n">
        <v>0</v>
      </c>
      <c r="G203" s="12" t="n">
        <v>0</v>
      </c>
      <c r="H203" s="12" t="n">
        <v>1</v>
      </c>
      <c r="I203" s="12" t="n">
        <v>1</v>
      </c>
      <c r="J203" s="5">
        <f>B203*Opportunities!L8+C203*Opportunities!L9+D203*Opportunities!L10+E203*Opportunities!L11+F203*Opportunities!L12+G203*Opportunities!L13+H203*Opportunities!L14+I203*Opportunities!L15</f>
        <v>2166000.0</v>
      </c>
      <c r="K203" s="5">
        <f>SUM(B203:I203)</f>
        <v>4</v>
      </c>
      <c r="L203" s="5">
        <f>B203*Opportunities!P8+C203*Opportunities!P9+D203*Opportunities!P10+E203*Opportunities!P11+F203*Opportunities!P12+G203*Opportunities!P13+H203*Opportunities!P14+I203*Opportunities!P15</f>
        <v>130912.11766428879</v>
      </c>
      <c r="M203" s="5">
        <f>IF(AND(J203&lt;=Assumptions!$B$6,K203&lt;=Assumptions!$B$7,B203*IF(Opportunities!S8="ELIGIBLE",0,1)+C203*IF(Opportunities!S9="ELIGIBLE",0,1)+D203*IF(Opportunities!S10="ELIGIBLE",0,1)+E203*IF(Opportunities!S11="ELIGIBLE",0,1)+F203*IF(Opportunities!S12="ELIGIBLE",0,1)+G203*IF(Opportunities!S13="ELIGIBLE",0,1)+H203*IF(Opportunities!S14="ELIGIBLE",0,1)+I203*IF(Opportunities!S15="ELIGIBLE",0,1)=0),1,0)</f>
        <v>0</v>
      </c>
      <c r="N203" s="5">
        <f>IF(M203=1,L203,-1E99)</f>
        <v>-1e+99</v>
      </c>
    </row>
    <row r="204">
      <c r="A204" s="12" t="n">
        <v>199</v>
      </c>
      <c r="B204" s="12" t="n">
        <v>1</v>
      </c>
      <c r="C204" s="12" t="n">
        <v>1</v>
      </c>
      <c r="D204" s="12" t="n">
        <v>1</v>
      </c>
      <c r="E204" s="12" t="n">
        <v>0</v>
      </c>
      <c r="F204" s="12" t="n">
        <v>0</v>
      </c>
      <c r="G204" s="12" t="n">
        <v>0</v>
      </c>
      <c r="H204" s="12" t="n">
        <v>1</v>
      </c>
      <c r="I204" s="12" t="n">
        <v>1</v>
      </c>
      <c r="J204" s="5">
        <f>B204*Opportunities!L8+C204*Opportunities!L9+D204*Opportunities!L10+E204*Opportunities!L11+F204*Opportunities!L12+G204*Opportunities!L13+H204*Opportunities!L14+I204*Opportunities!L15</f>
        <v>3035500.0</v>
      </c>
      <c r="K204" s="5">
        <f>SUM(B204:I204)</f>
        <v>5</v>
      </c>
      <c r="L204" s="5">
        <f>B204*Opportunities!P8+C204*Opportunities!P9+D204*Opportunities!P10+E204*Opportunities!P11+F204*Opportunities!P12+G204*Opportunities!P13+H204*Opportunities!P14+I204*Opportunities!P15</f>
        <v>221808.63468673517</v>
      </c>
      <c r="M204" s="5">
        <f>IF(AND(J204&lt;=Assumptions!$B$6,K204&lt;=Assumptions!$B$7,B204*IF(Opportunities!S8="ELIGIBLE",0,1)+C204*IF(Opportunities!S9="ELIGIBLE",0,1)+D204*IF(Opportunities!S10="ELIGIBLE",0,1)+E204*IF(Opportunities!S11="ELIGIBLE",0,1)+F204*IF(Opportunities!S12="ELIGIBLE",0,1)+G204*IF(Opportunities!S13="ELIGIBLE",0,1)+H204*IF(Opportunities!S14="ELIGIBLE",0,1)+I204*IF(Opportunities!S15="ELIGIBLE",0,1)=0),1,0)</f>
        <v>0</v>
      </c>
      <c r="N204" s="5">
        <f>IF(M204=1,L204,-1E99)</f>
        <v>-1e+99</v>
      </c>
    </row>
    <row r="205">
      <c r="A205" s="12" t="n">
        <v>200</v>
      </c>
      <c r="B205" s="12" t="n">
        <v>0</v>
      </c>
      <c r="C205" s="12" t="n">
        <v>0</v>
      </c>
      <c r="D205" s="12" t="n">
        <v>0</v>
      </c>
      <c r="E205" s="12" t="n">
        <v>1</v>
      </c>
      <c r="F205" s="12" t="n">
        <v>0</v>
      </c>
      <c r="G205" s="12" t="n">
        <v>0</v>
      </c>
      <c r="H205" s="12" t="n">
        <v>1</v>
      </c>
      <c r="I205" s="12" t="n">
        <v>1</v>
      </c>
      <c r="J205" s="5">
        <f>B205*Opportunities!L8+C205*Opportunities!L9+D205*Opportunities!L10+E205*Opportunities!L11+F205*Opportunities!L12+G205*Opportunities!L13+H205*Opportunities!L14+I205*Opportunities!L15</f>
        <v>332250.0</v>
      </c>
      <c r="K205" s="5">
        <f>SUM(B205:I205)</f>
        <v>3</v>
      </c>
      <c r="L205" s="5">
        <f>B205*Opportunities!P8+C205*Opportunities!P9+D205*Opportunities!P10+E205*Opportunities!P11+F205*Opportunities!P12+G205*Opportunities!P13+H205*Opportunities!P14+I205*Opportunities!P15</f>
        <v>21888.122772962495</v>
      </c>
      <c r="M205" s="5">
        <f>IF(AND(J205&lt;=Assumptions!$B$6,K205&lt;=Assumptions!$B$7,B205*IF(Opportunities!S8="ELIGIBLE",0,1)+C205*IF(Opportunities!S9="ELIGIBLE",0,1)+D205*IF(Opportunities!S10="ELIGIBLE",0,1)+E205*IF(Opportunities!S11="ELIGIBLE",0,1)+F205*IF(Opportunities!S12="ELIGIBLE",0,1)+G205*IF(Opportunities!S13="ELIGIBLE",0,1)+H205*IF(Opportunities!S14="ELIGIBLE",0,1)+I205*IF(Opportunities!S15="ELIGIBLE",0,1)=0),1,0)</f>
        <v>0</v>
      </c>
      <c r="N205" s="5">
        <f>IF(M205=1,L205,-1E99)</f>
        <v>-1e+99</v>
      </c>
    </row>
    <row r="206">
      <c r="A206" s="12" t="n">
        <v>201</v>
      </c>
      <c r="B206" s="12" t="n">
        <v>1</v>
      </c>
      <c r="C206" s="12" t="n">
        <v>0</v>
      </c>
      <c r="D206" s="12" t="n">
        <v>0</v>
      </c>
      <c r="E206" s="12" t="n">
        <v>1</v>
      </c>
      <c r="F206" s="12" t="n">
        <v>0</v>
      </c>
      <c r="G206" s="12" t="n">
        <v>0</v>
      </c>
      <c r="H206" s="12" t="n">
        <v>1</v>
      </c>
      <c r="I206" s="12" t="n">
        <v>1</v>
      </c>
      <c r="J206" s="5">
        <f>B206*Opportunities!L8+C206*Opportunities!L9+D206*Opportunities!L10+E206*Opportunities!L11+F206*Opportunities!L12+G206*Opportunities!L13+H206*Opportunities!L14+I206*Opportunities!L15</f>
        <v>1201750.0</v>
      </c>
      <c r="K206" s="5">
        <f>SUM(B206:I206)</f>
        <v>4</v>
      </c>
      <c r="L206" s="5">
        <f>B206*Opportunities!P8+C206*Opportunities!P9+D206*Opportunities!P10+E206*Opportunities!P11+F206*Opportunities!P12+G206*Opportunities!P13+H206*Opportunities!P14+I206*Opportunities!P15</f>
        <v>112784.63979540888</v>
      </c>
      <c r="M206" s="5">
        <f>IF(AND(J206&lt;=Assumptions!$B$6,K206&lt;=Assumptions!$B$7,B206*IF(Opportunities!S8="ELIGIBLE",0,1)+C206*IF(Opportunities!S9="ELIGIBLE",0,1)+D206*IF(Opportunities!S10="ELIGIBLE",0,1)+E206*IF(Opportunities!S11="ELIGIBLE",0,1)+F206*IF(Opportunities!S12="ELIGIBLE",0,1)+G206*IF(Opportunities!S13="ELIGIBLE",0,1)+H206*IF(Opportunities!S14="ELIGIBLE",0,1)+I206*IF(Opportunities!S15="ELIGIBLE",0,1)=0),1,0)</f>
        <v>0</v>
      </c>
      <c r="N206" s="5">
        <f>IF(M206=1,L206,-1E99)</f>
        <v>-1e+99</v>
      </c>
    </row>
    <row r="207">
      <c r="A207" s="12" t="n">
        <v>202</v>
      </c>
      <c r="B207" s="12" t="n">
        <v>0</v>
      </c>
      <c r="C207" s="12" t="n">
        <v>1</v>
      </c>
      <c r="D207" s="12" t="n">
        <v>0</v>
      </c>
      <c r="E207" s="12" t="n">
        <v>1</v>
      </c>
      <c r="F207" s="12" t="n">
        <v>0</v>
      </c>
      <c r="G207" s="12" t="n">
        <v>0</v>
      </c>
      <c r="H207" s="12" t="n">
        <v>1</v>
      </c>
      <c r="I207" s="12" t="n">
        <v>1</v>
      </c>
      <c r="J207" s="5">
        <f>B207*Opportunities!L8+C207*Opportunities!L9+D207*Opportunities!L10+E207*Opportunities!L11+F207*Opportunities!L12+G207*Opportunities!L13+H207*Opportunities!L14+I207*Opportunities!L15</f>
        <v>917250.0</v>
      </c>
      <c r="K207" s="5">
        <f>SUM(B207:I207)</f>
        <v>4</v>
      </c>
      <c r="L207" s="5">
        <f>B207*Opportunities!P8+C207*Opportunities!P9+D207*Opportunities!P10+E207*Opportunities!P11+F207*Opportunities!P12+G207*Opportunities!P13+H207*Opportunities!P14+I207*Opportunities!P15</f>
        <v>98016.52526439098</v>
      </c>
      <c r="M207" s="5">
        <f>IF(AND(J207&lt;=Assumptions!$B$6,K207&lt;=Assumptions!$B$7,B207*IF(Opportunities!S8="ELIGIBLE",0,1)+C207*IF(Opportunities!S9="ELIGIBLE",0,1)+D207*IF(Opportunities!S10="ELIGIBLE",0,1)+E207*IF(Opportunities!S11="ELIGIBLE",0,1)+F207*IF(Opportunities!S12="ELIGIBLE",0,1)+G207*IF(Opportunities!S13="ELIGIBLE",0,1)+H207*IF(Opportunities!S14="ELIGIBLE",0,1)+I207*IF(Opportunities!S15="ELIGIBLE",0,1)=0),1,0)</f>
        <v>0</v>
      </c>
      <c r="N207" s="5">
        <f>IF(M207=1,L207,-1E99)</f>
        <v>-1e+99</v>
      </c>
    </row>
    <row r="208">
      <c r="A208" s="12" t="n">
        <v>203</v>
      </c>
      <c r="B208" s="12" t="n">
        <v>1</v>
      </c>
      <c r="C208" s="12" t="n">
        <v>1</v>
      </c>
      <c r="D208" s="12" t="n">
        <v>0</v>
      </c>
      <c r="E208" s="12" t="n">
        <v>1</v>
      </c>
      <c r="F208" s="12" t="n">
        <v>0</v>
      </c>
      <c r="G208" s="12" t="n">
        <v>0</v>
      </c>
      <c r="H208" s="12" t="n">
        <v>1</v>
      </c>
      <c r="I208" s="12" t="n">
        <v>1</v>
      </c>
      <c r="J208" s="5">
        <f>B208*Opportunities!L8+C208*Opportunities!L9+D208*Opportunities!L10+E208*Opportunities!L11+F208*Opportunities!L12+G208*Opportunities!L13+H208*Opportunities!L14+I208*Opportunities!L15</f>
        <v>1786750.0</v>
      </c>
      <c r="K208" s="5">
        <f>SUM(B208:I208)</f>
        <v>5</v>
      </c>
      <c r="L208" s="5">
        <f>B208*Opportunities!P8+C208*Opportunities!P9+D208*Opportunities!P10+E208*Opportunities!P11+F208*Opportunities!P12+G208*Opportunities!P13+H208*Opportunities!P14+I208*Opportunities!P15</f>
        <v>188913.04228683736</v>
      </c>
      <c r="M208" s="5">
        <f>IF(AND(J208&lt;=Assumptions!$B$6,K208&lt;=Assumptions!$B$7,B208*IF(Opportunities!S8="ELIGIBLE",0,1)+C208*IF(Opportunities!S9="ELIGIBLE",0,1)+D208*IF(Opportunities!S10="ELIGIBLE",0,1)+E208*IF(Opportunities!S11="ELIGIBLE",0,1)+F208*IF(Opportunities!S12="ELIGIBLE",0,1)+G208*IF(Opportunities!S13="ELIGIBLE",0,1)+H208*IF(Opportunities!S14="ELIGIBLE",0,1)+I208*IF(Opportunities!S15="ELIGIBLE",0,1)=0),1,0)</f>
        <v>0</v>
      </c>
      <c r="N208" s="5">
        <f>IF(M208=1,L208,-1E99)</f>
        <v>-1e+99</v>
      </c>
    </row>
    <row r="209">
      <c r="A209" s="12" t="n">
        <v>204</v>
      </c>
      <c r="B209" s="12" t="n">
        <v>0</v>
      </c>
      <c r="C209" s="12" t="n">
        <v>0</v>
      </c>
      <c r="D209" s="12" t="n">
        <v>1</v>
      </c>
      <c r="E209" s="12" t="n">
        <v>1</v>
      </c>
      <c r="F209" s="12" t="n">
        <v>0</v>
      </c>
      <c r="G209" s="12" t="n">
        <v>0</v>
      </c>
      <c r="H209" s="12" t="n">
        <v>1</v>
      </c>
      <c r="I209" s="12" t="n">
        <v>1</v>
      </c>
      <c r="J209" s="5">
        <f>B209*Opportunities!L8+C209*Opportunities!L9+D209*Opportunities!L10+E209*Opportunities!L11+F209*Opportunities!L12+G209*Opportunities!L13+H209*Opportunities!L14+I209*Opportunities!L15</f>
        <v>1913250.0</v>
      </c>
      <c r="K209" s="5">
        <f>SUM(B209:I209)</f>
        <v>4</v>
      </c>
      <c r="L209" s="5">
        <f>B209*Opportunities!P8+C209*Opportunities!P9+D209*Opportunities!P10+E209*Opportunities!P11+F209*Opportunities!P12+G209*Opportunities!P13+H209*Opportunities!P14+I209*Opportunities!P15</f>
        <v>76671.8379458228</v>
      </c>
      <c r="M209" s="5">
        <f>IF(AND(J209&lt;=Assumptions!$B$6,K209&lt;=Assumptions!$B$7,B209*IF(Opportunities!S8="ELIGIBLE",0,1)+C209*IF(Opportunities!S9="ELIGIBLE",0,1)+D209*IF(Opportunities!S10="ELIGIBLE",0,1)+E209*IF(Opportunities!S11="ELIGIBLE",0,1)+F209*IF(Opportunities!S12="ELIGIBLE",0,1)+G209*IF(Opportunities!S13="ELIGIBLE",0,1)+H209*IF(Opportunities!S14="ELIGIBLE",0,1)+I209*IF(Opportunities!S15="ELIGIBLE",0,1)=0),1,0)</f>
        <v>0</v>
      </c>
      <c r="N209" s="5">
        <f>IF(M209=1,L209,-1E99)</f>
        <v>-1e+99</v>
      </c>
    </row>
    <row r="210">
      <c r="A210" s="12" t="n">
        <v>205</v>
      </c>
      <c r="B210" s="12" t="n">
        <v>1</v>
      </c>
      <c r="C210" s="12" t="n">
        <v>0</v>
      </c>
      <c r="D210" s="12" t="n">
        <v>1</v>
      </c>
      <c r="E210" s="12" t="n">
        <v>1</v>
      </c>
      <c r="F210" s="12" t="n">
        <v>0</v>
      </c>
      <c r="G210" s="12" t="n">
        <v>0</v>
      </c>
      <c r="H210" s="12" t="n">
        <v>1</v>
      </c>
      <c r="I210" s="12" t="n">
        <v>1</v>
      </c>
      <c r="J210" s="5">
        <f>B210*Opportunities!L8+C210*Opportunities!L9+D210*Opportunities!L10+E210*Opportunities!L11+F210*Opportunities!L12+G210*Opportunities!L13+H210*Opportunities!L14+I210*Opportunities!L15</f>
        <v>2782750.0</v>
      </c>
      <c r="K210" s="5">
        <f>SUM(B210:I210)</f>
        <v>5</v>
      </c>
      <c r="L210" s="5">
        <f>B210*Opportunities!P8+C210*Opportunities!P9+D210*Opportunities!P10+E210*Opportunities!P11+F210*Opportunities!P12+G210*Opportunities!P13+H210*Opportunities!P14+I210*Opportunities!P15</f>
        <v>167568.35496826918</v>
      </c>
      <c r="M210" s="5">
        <f>IF(AND(J210&lt;=Assumptions!$B$6,K210&lt;=Assumptions!$B$7,B210*IF(Opportunities!S8="ELIGIBLE",0,1)+C210*IF(Opportunities!S9="ELIGIBLE",0,1)+D210*IF(Opportunities!S10="ELIGIBLE",0,1)+E210*IF(Opportunities!S11="ELIGIBLE",0,1)+F210*IF(Opportunities!S12="ELIGIBLE",0,1)+G210*IF(Opportunities!S13="ELIGIBLE",0,1)+H210*IF(Opportunities!S14="ELIGIBLE",0,1)+I210*IF(Opportunities!S15="ELIGIBLE",0,1)=0),1,0)</f>
        <v>0</v>
      </c>
      <c r="N210" s="5">
        <f>IF(M210=1,L210,-1E99)</f>
        <v>-1e+99</v>
      </c>
    </row>
    <row r="211">
      <c r="A211" s="12" t="n">
        <v>206</v>
      </c>
      <c r="B211" s="12" t="n">
        <v>0</v>
      </c>
      <c r="C211" s="12" t="n">
        <v>1</v>
      </c>
      <c r="D211" s="12" t="n">
        <v>1</v>
      </c>
      <c r="E211" s="12" t="n">
        <v>1</v>
      </c>
      <c r="F211" s="12" t="n">
        <v>0</v>
      </c>
      <c r="G211" s="12" t="n">
        <v>0</v>
      </c>
      <c r="H211" s="12" t="n">
        <v>1</v>
      </c>
      <c r="I211" s="12" t="n">
        <v>1</v>
      </c>
      <c r="J211" s="5">
        <f>B211*Opportunities!L8+C211*Opportunities!L9+D211*Opportunities!L10+E211*Opportunities!L11+F211*Opportunities!L12+G211*Opportunities!L13+H211*Opportunities!L14+I211*Opportunities!L15</f>
        <v>2498250.0</v>
      </c>
      <c r="K211" s="5">
        <f>SUM(B211:I211)</f>
        <v>5</v>
      </c>
      <c r="L211" s="5">
        <f>B211*Opportunities!P8+C211*Opportunities!P9+D211*Opportunities!P10+E211*Opportunities!P11+F211*Opportunities!P12+G211*Opportunities!P13+H211*Opportunities!P14+I211*Opportunities!P15</f>
        <v>152800.24043725128</v>
      </c>
      <c r="M211" s="5">
        <f>IF(AND(J211&lt;=Assumptions!$B$6,K211&lt;=Assumptions!$B$7,B211*IF(Opportunities!S8="ELIGIBLE",0,1)+C211*IF(Opportunities!S9="ELIGIBLE",0,1)+D211*IF(Opportunities!S10="ELIGIBLE",0,1)+E211*IF(Opportunities!S11="ELIGIBLE",0,1)+F211*IF(Opportunities!S12="ELIGIBLE",0,1)+G211*IF(Opportunities!S13="ELIGIBLE",0,1)+H211*IF(Opportunities!S14="ELIGIBLE",0,1)+I211*IF(Opportunities!S15="ELIGIBLE",0,1)=0),1,0)</f>
        <v>0</v>
      </c>
      <c r="N211" s="5">
        <f>IF(M211=1,L211,-1E99)</f>
        <v>-1e+99</v>
      </c>
    </row>
    <row r="212">
      <c r="A212" s="12" t="n">
        <v>207</v>
      </c>
      <c r="B212" s="12" t="n">
        <v>1</v>
      </c>
      <c r="C212" s="12" t="n">
        <v>1</v>
      </c>
      <c r="D212" s="12" t="n">
        <v>1</v>
      </c>
      <c r="E212" s="12" t="n">
        <v>1</v>
      </c>
      <c r="F212" s="12" t="n">
        <v>0</v>
      </c>
      <c r="G212" s="12" t="n">
        <v>0</v>
      </c>
      <c r="H212" s="12" t="n">
        <v>1</v>
      </c>
      <c r="I212" s="12" t="n">
        <v>1</v>
      </c>
      <c r="J212" s="5">
        <f>B212*Opportunities!L8+C212*Opportunities!L9+D212*Opportunities!L10+E212*Opportunities!L11+F212*Opportunities!L12+G212*Opportunities!L13+H212*Opportunities!L14+I212*Opportunities!L15</f>
        <v>3367750.0</v>
      </c>
      <c r="K212" s="5">
        <f>SUM(B212:I212)</f>
        <v>6</v>
      </c>
      <c r="L212" s="5">
        <f>B212*Opportunities!P8+C212*Opportunities!P9+D212*Opportunities!P10+E212*Opportunities!P11+F212*Opportunities!P12+G212*Opportunities!P13+H212*Opportunities!P14+I212*Opportunities!P15</f>
        <v>243696.75745969766</v>
      </c>
      <c r="M212" s="5">
        <f>IF(AND(J212&lt;=Assumptions!$B$6,K212&lt;=Assumptions!$B$7,B212*IF(Opportunities!S8="ELIGIBLE",0,1)+C212*IF(Opportunities!S9="ELIGIBLE",0,1)+D212*IF(Opportunities!S10="ELIGIBLE",0,1)+E212*IF(Opportunities!S11="ELIGIBLE",0,1)+F212*IF(Opportunities!S12="ELIGIBLE",0,1)+G212*IF(Opportunities!S13="ELIGIBLE",0,1)+H212*IF(Opportunities!S14="ELIGIBLE",0,1)+I212*IF(Opportunities!S15="ELIGIBLE",0,1)=0),1,0)</f>
        <v>0</v>
      </c>
      <c r="N212" s="5">
        <f>IF(M212=1,L212,-1E99)</f>
        <v>-1e+99</v>
      </c>
    </row>
    <row r="213">
      <c r="A213" s="12" t="n">
        <v>208</v>
      </c>
      <c r="B213" s="12" t="n">
        <v>0</v>
      </c>
      <c r="C213" s="12" t="n">
        <v>0</v>
      </c>
      <c r="D213" s="12" t="n">
        <v>0</v>
      </c>
      <c r="E213" s="12" t="n">
        <v>0</v>
      </c>
      <c r="F213" s="12" t="n">
        <v>1</v>
      </c>
      <c r="G213" s="12" t="n">
        <v>0</v>
      </c>
      <c r="H213" s="12" t="n">
        <v>1</v>
      </c>
      <c r="I213" s="12" t="n">
        <v>1</v>
      </c>
      <c r="J213" s="5">
        <f>B213*Opportunities!L8+C213*Opportunities!L9+D213*Opportunities!L10+E213*Opportunities!L11+F213*Opportunities!L12+G213*Opportunities!L13+H213*Opportunities!L14+I213*Opportunities!L15</f>
        <v>1143000.0</v>
      </c>
      <c r="K213" s="5">
        <f>SUM(B213:I213)</f>
        <v>3</v>
      </c>
      <c r="L213" s="5">
        <f>B213*Opportunities!P8+C213*Opportunities!P9+D213*Opportunities!P10+E213*Opportunities!P11+F213*Opportunities!P12+G213*Opportunities!P13+H213*Opportunities!P14+I213*Opportunities!P15</f>
        <v>-175492.0398370832</v>
      </c>
      <c r="M213" s="5">
        <f>IF(AND(J213&lt;=Assumptions!$B$6,K213&lt;=Assumptions!$B$7,B213*IF(Opportunities!S8="ELIGIBLE",0,1)+C213*IF(Opportunities!S9="ELIGIBLE",0,1)+D213*IF(Opportunities!S10="ELIGIBLE",0,1)+E213*IF(Opportunities!S11="ELIGIBLE",0,1)+F213*IF(Opportunities!S12="ELIGIBLE",0,1)+G213*IF(Opportunities!S13="ELIGIBLE",0,1)+H213*IF(Opportunities!S14="ELIGIBLE",0,1)+I213*IF(Opportunities!S15="ELIGIBLE",0,1)=0),1,0)</f>
        <v>0</v>
      </c>
      <c r="N213" s="5">
        <f>IF(M213=1,L213,-1E99)</f>
        <v>-1e+99</v>
      </c>
    </row>
    <row r="214">
      <c r="A214" s="12" t="n">
        <v>209</v>
      </c>
      <c r="B214" s="12" t="n">
        <v>1</v>
      </c>
      <c r="C214" s="12" t="n">
        <v>0</v>
      </c>
      <c r="D214" s="12" t="n">
        <v>0</v>
      </c>
      <c r="E214" s="12" t="n">
        <v>0</v>
      </c>
      <c r="F214" s="12" t="n">
        <v>1</v>
      </c>
      <c r="G214" s="12" t="n">
        <v>0</v>
      </c>
      <c r="H214" s="12" t="n">
        <v>1</v>
      </c>
      <c r="I214" s="12" t="n">
        <v>1</v>
      </c>
      <c r="J214" s="5">
        <f>B214*Opportunities!L8+C214*Opportunities!L9+D214*Opportunities!L10+E214*Opportunities!L11+F214*Opportunities!L12+G214*Opportunities!L13+H214*Opportunities!L14+I214*Opportunities!L15</f>
        <v>2012500.0</v>
      </c>
      <c r="K214" s="5">
        <f>SUM(B214:I214)</f>
        <v>4</v>
      </c>
      <c r="L214" s="5">
        <f>B214*Opportunities!P8+C214*Opportunities!P9+D214*Opportunities!P10+E214*Opportunities!P11+F214*Opportunities!P12+G214*Opportunities!P13+H214*Opportunities!P14+I214*Opportunities!P15</f>
        <v>-84595.52281463682</v>
      </c>
      <c r="M214" s="5">
        <f>IF(AND(J214&lt;=Assumptions!$B$6,K214&lt;=Assumptions!$B$7,B214*IF(Opportunities!S8="ELIGIBLE",0,1)+C214*IF(Opportunities!S9="ELIGIBLE",0,1)+D214*IF(Opportunities!S10="ELIGIBLE",0,1)+E214*IF(Opportunities!S11="ELIGIBLE",0,1)+F214*IF(Opportunities!S12="ELIGIBLE",0,1)+G214*IF(Opportunities!S13="ELIGIBLE",0,1)+H214*IF(Opportunities!S14="ELIGIBLE",0,1)+I214*IF(Opportunities!S15="ELIGIBLE",0,1)=0),1,0)</f>
        <v>0</v>
      </c>
      <c r="N214" s="5">
        <f>IF(M214=1,L214,-1E99)</f>
        <v>-1e+99</v>
      </c>
    </row>
    <row r="215">
      <c r="A215" s="12" t="n">
        <v>210</v>
      </c>
      <c r="B215" s="12" t="n">
        <v>0</v>
      </c>
      <c r="C215" s="12" t="n">
        <v>1</v>
      </c>
      <c r="D215" s="12" t="n">
        <v>0</v>
      </c>
      <c r="E215" s="12" t="n">
        <v>0</v>
      </c>
      <c r="F215" s="12" t="n">
        <v>1</v>
      </c>
      <c r="G215" s="12" t="n">
        <v>0</v>
      </c>
      <c r="H215" s="12" t="n">
        <v>1</v>
      </c>
      <c r="I215" s="12" t="n">
        <v>1</v>
      </c>
      <c r="J215" s="5">
        <f>B215*Opportunities!L8+C215*Opportunities!L9+D215*Opportunities!L10+E215*Opportunities!L11+F215*Opportunities!L12+G215*Opportunities!L13+H215*Opportunities!L14+I215*Opportunities!L15</f>
        <v>1728000.0</v>
      </c>
      <c r="K215" s="5">
        <f>SUM(B215:I215)</f>
        <v>4</v>
      </c>
      <c r="L215" s="5">
        <f>B215*Opportunities!P8+C215*Opportunities!P9+D215*Opportunities!P10+E215*Opportunities!P11+F215*Opportunities!P12+G215*Opportunities!P13+H215*Opportunities!P14+I215*Opportunities!P15</f>
        <v>-99363.63734565472</v>
      </c>
      <c r="M215" s="5">
        <f>IF(AND(J215&lt;=Assumptions!$B$6,K215&lt;=Assumptions!$B$7,B215*IF(Opportunities!S8="ELIGIBLE",0,1)+C215*IF(Opportunities!S9="ELIGIBLE",0,1)+D215*IF(Opportunities!S10="ELIGIBLE",0,1)+E215*IF(Opportunities!S11="ELIGIBLE",0,1)+F215*IF(Opportunities!S12="ELIGIBLE",0,1)+G215*IF(Opportunities!S13="ELIGIBLE",0,1)+H215*IF(Opportunities!S14="ELIGIBLE",0,1)+I215*IF(Opportunities!S15="ELIGIBLE",0,1)=0),1,0)</f>
        <v>0</v>
      </c>
      <c r="N215" s="5">
        <f>IF(M215=1,L215,-1E99)</f>
        <v>-1e+99</v>
      </c>
    </row>
    <row r="216">
      <c r="A216" s="12" t="n">
        <v>211</v>
      </c>
      <c r="B216" s="12" t="n">
        <v>1</v>
      </c>
      <c r="C216" s="12" t="n">
        <v>1</v>
      </c>
      <c r="D216" s="12" t="n">
        <v>0</v>
      </c>
      <c r="E216" s="12" t="n">
        <v>0</v>
      </c>
      <c r="F216" s="12" t="n">
        <v>1</v>
      </c>
      <c r="G216" s="12" t="n">
        <v>0</v>
      </c>
      <c r="H216" s="12" t="n">
        <v>1</v>
      </c>
      <c r="I216" s="12" t="n">
        <v>1</v>
      </c>
      <c r="J216" s="5">
        <f>B216*Opportunities!L8+C216*Opportunities!L9+D216*Opportunities!L10+E216*Opportunities!L11+F216*Opportunities!L12+G216*Opportunities!L13+H216*Opportunities!L14+I216*Opportunities!L15</f>
        <v>2597500.0</v>
      </c>
      <c r="K216" s="5">
        <f>SUM(B216:I216)</f>
        <v>5</v>
      </c>
      <c r="L216" s="5">
        <f>B216*Opportunities!P8+C216*Opportunities!P9+D216*Opportunities!P10+E216*Opportunities!P11+F216*Opportunities!P12+G216*Opportunities!P13+H216*Opportunities!P14+I216*Opportunities!P15</f>
        <v>-8467.120323208335</v>
      </c>
      <c r="M216" s="5">
        <f>IF(AND(J216&lt;=Assumptions!$B$6,K216&lt;=Assumptions!$B$7,B216*IF(Opportunities!S8="ELIGIBLE",0,1)+C216*IF(Opportunities!S9="ELIGIBLE",0,1)+D216*IF(Opportunities!S10="ELIGIBLE",0,1)+E216*IF(Opportunities!S11="ELIGIBLE",0,1)+F216*IF(Opportunities!S12="ELIGIBLE",0,1)+G216*IF(Opportunities!S13="ELIGIBLE",0,1)+H216*IF(Opportunities!S14="ELIGIBLE",0,1)+I216*IF(Opportunities!S15="ELIGIBLE",0,1)=0),1,0)</f>
        <v>0</v>
      </c>
      <c r="N216" s="5">
        <f>IF(M216=1,L216,-1E99)</f>
        <v>-1e+99</v>
      </c>
    </row>
    <row r="217">
      <c r="A217" s="12" t="n">
        <v>212</v>
      </c>
      <c r="B217" s="12" t="n">
        <v>0</v>
      </c>
      <c r="C217" s="12" t="n">
        <v>0</v>
      </c>
      <c r="D217" s="12" t="n">
        <v>1</v>
      </c>
      <c r="E217" s="12" t="n">
        <v>0</v>
      </c>
      <c r="F217" s="12" t="n">
        <v>1</v>
      </c>
      <c r="G217" s="12" t="n">
        <v>0</v>
      </c>
      <c r="H217" s="12" t="n">
        <v>1</v>
      </c>
      <c r="I217" s="12" t="n">
        <v>1</v>
      </c>
      <c r="J217" s="5">
        <f>B217*Opportunities!L8+C217*Opportunities!L9+D217*Opportunities!L10+E217*Opportunities!L11+F217*Opportunities!L12+G217*Opportunities!L13+H217*Opportunities!L14+I217*Opportunities!L15</f>
        <v>2724000.0</v>
      </c>
      <c r="K217" s="5">
        <f>SUM(B217:I217)</f>
        <v>4</v>
      </c>
      <c r="L217" s="5">
        <f>B217*Opportunities!P8+C217*Opportunities!P9+D217*Opportunities!P10+E217*Opportunities!P11+F217*Opportunities!P12+G217*Opportunities!P13+H217*Opportunities!P14+I217*Opportunities!P15</f>
        <v>-120708.32466422289</v>
      </c>
      <c r="M217" s="5">
        <f>IF(AND(J217&lt;=Assumptions!$B$6,K217&lt;=Assumptions!$B$7,B217*IF(Opportunities!S8="ELIGIBLE",0,1)+C217*IF(Opportunities!S9="ELIGIBLE",0,1)+D217*IF(Opportunities!S10="ELIGIBLE",0,1)+E217*IF(Opportunities!S11="ELIGIBLE",0,1)+F217*IF(Opportunities!S12="ELIGIBLE",0,1)+G217*IF(Opportunities!S13="ELIGIBLE",0,1)+H217*IF(Opportunities!S14="ELIGIBLE",0,1)+I217*IF(Opportunities!S15="ELIGIBLE",0,1)=0),1,0)</f>
        <v>0</v>
      </c>
      <c r="N217" s="5">
        <f>IF(M217=1,L217,-1E99)</f>
        <v>-1e+99</v>
      </c>
    </row>
    <row r="218">
      <c r="A218" s="12" t="n">
        <v>213</v>
      </c>
      <c r="B218" s="12" t="n">
        <v>1</v>
      </c>
      <c r="C218" s="12" t="n">
        <v>0</v>
      </c>
      <c r="D218" s="12" t="n">
        <v>1</v>
      </c>
      <c r="E218" s="12" t="n">
        <v>0</v>
      </c>
      <c r="F218" s="12" t="n">
        <v>1</v>
      </c>
      <c r="G218" s="12" t="n">
        <v>0</v>
      </c>
      <c r="H218" s="12" t="n">
        <v>1</v>
      </c>
      <c r="I218" s="12" t="n">
        <v>1</v>
      </c>
      <c r="J218" s="5">
        <f>B218*Opportunities!L8+C218*Opportunities!L9+D218*Opportunities!L10+E218*Opportunities!L11+F218*Opportunities!L12+G218*Opportunities!L13+H218*Opportunities!L14+I218*Opportunities!L15</f>
        <v>3593500.0</v>
      </c>
      <c r="K218" s="5">
        <f>SUM(B218:I218)</f>
        <v>5</v>
      </c>
      <c r="L218" s="5">
        <f>B218*Opportunities!P8+C218*Opportunities!P9+D218*Opportunities!P10+E218*Opportunities!P11+F218*Opportunities!P12+G218*Opportunities!P13+H218*Opportunities!P14+I218*Opportunities!P15</f>
        <v>-29811.80764177651</v>
      </c>
      <c r="M218" s="5">
        <f>IF(AND(J218&lt;=Assumptions!$B$6,K218&lt;=Assumptions!$B$7,B218*IF(Opportunities!S8="ELIGIBLE",0,1)+C218*IF(Opportunities!S9="ELIGIBLE",0,1)+D218*IF(Opportunities!S10="ELIGIBLE",0,1)+E218*IF(Opportunities!S11="ELIGIBLE",0,1)+F218*IF(Opportunities!S12="ELIGIBLE",0,1)+G218*IF(Opportunities!S13="ELIGIBLE",0,1)+H218*IF(Opportunities!S14="ELIGIBLE",0,1)+I218*IF(Opportunities!S15="ELIGIBLE",0,1)=0),1,0)</f>
        <v>0</v>
      </c>
      <c r="N218" s="5">
        <f>IF(M218=1,L218,-1E99)</f>
        <v>-1e+99</v>
      </c>
    </row>
    <row r="219">
      <c r="A219" s="12" t="n">
        <v>214</v>
      </c>
      <c r="B219" s="12" t="n">
        <v>0</v>
      </c>
      <c r="C219" s="12" t="n">
        <v>1</v>
      </c>
      <c r="D219" s="12" t="n">
        <v>1</v>
      </c>
      <c r="E219" s="12" t="n">
        <v>0</v>
      </c>
      <c r="F219" s="12" t="n">
        <v>1</v>
      </c>
      <c r="G219" s="12" t="n">
        <v>0</v>
      </c>
      <c r="H219" s="12" t="n">
        <v>1</v>
      </c>
      <c r="I219" s="12" t="n">
        <v>1</v>
      </c>
      <c r="J219" s="5">
        <f>B219*Opportunities!L8+C219*Opportunities!L9+D219*Opportunities!L10+E219*Opportunities!L11+F219*Opportunities!L12+G219*Opportunities!L13+H219*Opportunities!L14+I219*Opportunities!L15</f>
        <v>3309000.0</v>
      </c>
      <c r="K219" s="5">
        <f>SUM(B219:I219)</f>
        <v>5</v>
      </c>
      <c r="L219" s="5">
        <f>B219*Opportunities!P8+C219*Opportunities!P9+D219*Opportunities!P10+E219*Opportunities!P11+F219*Opportunities!P12+G219*Opportunities!P13+H219*Opportunities!P14+I219*Opportunities!P15</f>
        <v>-44579.92217279441</v>
      </c>
      <c r="M219" s="5">
        <f>IF(AND(J219&lt;=Assumptions!$B$6,K219&lt;=Assumptions!$B$7,B219*IF(Opportunities!S8="ELIGIBLE",0,1)+C219*IF(Opportunities!S9="ELIGIBLE",0,1)+D219*IF(Opportunities!S10="ELIGIBLE",0,1)+E219*IF(Opportunities!S11="ELIGIBLE",0,1)+F219*IF(Opportunities!S12="ELIGIBLE",0,1)+G219*IF(Opportunities!S13="ELIGIBLE",0,1)+H219*IF(Opportunities!S14="ELIGIBLE",0,1)+I219*IF(Opportunities!S15="ELIGIBLE",0,1)=0),1,0)</f>
        <v>0</v>
      </c>
      <c r="N219" s="5">
        <f>IF(M219=1,L219,-1E99)</f>
        <v>-1e+99</v>
      </c>
    </row>
    <row r="220">
      <c r="A220" s="12" t="n">
        <v>215</v>
      </c>
      <c r="B220" s="12" t="n">
        <v>1</v>
      </c>
      <c r="C220" s="12" t="n">
        <v>1</v>
      </c>
      <c r="D220" s="12" t="n">
        <v>1</v>
      </c>
      <c r="E220" s="12" t="n">
        <v>0</v>
      </c>
      <c r="F220" s="12" t="n">
        <v>1</v>
      </c>
      <c r="G220" s="12" t="n">
        <v>0</v>
      </c>
      <c r="H220" s="12" t="n">
        <v>1</v>
      </c>
      <c r="I220" s="12" t="n">
        <v>1</v>
      </c>
      <c r="J220" s="5">
        <f>B220*Opportunities!L8+C220*Opportunities!L9+D220*Opportunities!L10+E220*Opportunities!L11+F220*Opportunities!L12+G220*Opportunities!L13+H220*Opportunities!L14+I220*Opportunities!L15</f>
        <v>4178500.0</v>
      </c>
      <c r="K220" s="5">
        <f>SUM(B220:I220)</f>
        <v>6</v>
      </c>
      <c r="L220" s="5">
        <f>B220*Opportunities!P8+C220*Opportunities!P9+D220*Opportunities!P10+E220*Opportunities!P11+F220*Opportunities!P12+G220*Opportunities!P13+H220*Opportunities!P14+I220*Opportunities!P15</f>
        <v>46316.59484965197</v>
      </c>
      <c r="M220" s="5">
        <f>IF(AND(J220&lt;=Assumptions!$B$6,K220&lt;=Assumptions!$B$7,B220*IF(Opportunities!S8="ELIGIBLE",0,1)+C220*IF(Opportunities!S9="ELIGIBLE",0,1)+D220*IF(Opportunities!S10="ELIGIBLE",0,1)+E220*IF(Opportunities!S11="ELIGIBLE",0,1)+F220*IF(Opportunities!S12="ELIGIBLE",0,1)+G220*IF(Opportunities!S13="ELIGIBLE",0,1)+H220*IF(Opportunities!S14="ELIGIBLE",0,1)+I220*IF(Opportunities!S15="ELIGIBLE",0,1)=0),1,0)</f>
        <v>0</v>
      </c>
      <c r="N220" s="5">
        <f>IF(M220=1,L220,-1E99)</f>
        <v>-1e+99</v>
      </c>
    </row>
    <row r="221">
      <c r="A221" s="12" t="n">
        <v>216</v>
      </c>
      <c r="B221" s="12" t="n">
        <v>0</v>
      </c>
      <c r="C221" s="12" t="n">
        <v>0</v>
      </c>
      <c r="D221" s="12" t="n">
        <v>0</v>
      </c>
      <c r="E221" s="12" t="n">
        <v>1</v>
      </c>
      <c r="F221" s="12" t="n">
        <v>1</v>
      </c>
      <c r="G221" s="12" t="n">
        <v>0</v>
      </c>
      <c r="H221" s="12" t="n">
        <v>1</v>
      </c>
      <c r="I221" s="12" t="n">
        <v>1</v>
      </c>
      <c r="J221" s="5">
        <f>B221*Opportunities!L8+C221*Opportunities!L9+D221*Opportunities!L10+E221*Opportunities!L11+F221*Opportunities!L12+G221*Opportunities!L13+H221*Opportunities!L14+I221*Opportunities!L15</f>
        <v>1475250.0</v>
      </c>
      <c r="K221" s="5">
        <f>SUM(B221:I221)</f>
        <v>4</v>
      </c>
      <c r="L221" s="5">
        <f>B221*Opportunities!P8+C221*Opportunities!P9+D221*Opportunities!P10+E221*Opportunities!P11+F221*Opportunities!P12+G221*Opportunities!P13+H221*Opportunities!P14+I221*Opportunities!P15</f>
        <v>-153603.9170641207</v>
      </c>
      <c r="M221" s="5">
        <f>IF(AND(J221&lt;=Assumptions!$B$6,K221&lt;=Assumptions!$B$7,B221*IF(Opportunities!S8="ELIGIBLE",0,1)+C221*IF(Opportunities!S9="ELIGIBLE",0,1)+D221*IF(Opportunities!S10="ELIGIBLE",0,1)+E221*IF(Opportunities!S11="ELIGIBLE",0,1)+F221*IF(Opportunities!S12="ELIGIBLE",0,1)+G221*IF(Opportunities!S13="ELIGIBLE",0,1)+H221*IF(Opportunities!S14="ELIGIBLE",0,1)+I221*IF(Opportunities!S15="ELIGIBLE",0,1)=0),1,0)</f>
        <v>0</v>
      </c>
      <c r="N221" s="5">
        <f>IF(M221=1,L221,-1E99)</f>
        <v>-1e+99</v>
      </c>
    </row>
    <row r="222">
      <c r="A222" s="12" t="n">
        <v>217</v>
      </c>
      <c r="B222" s="12" t="n">
        <v>1</v>
      </c>
      <c r="C222" s="12" t="n">
        <v>0</v>
      </c>
      <c r="D222" s="12" t="n">
        <v>0</v>
      </c>
      <c r="E222" s="12" t="n">
        <v>1</v>
      </c>
      <c r="F222" s="12" t="n">
        <v>1</v>
      </c>
      <c r="G222" s="12" t="n">
        <v>0</v>
      </c>
      <c r="H222" s="12" t="n">
        <v>1</v>
      </c>
      <c r="I222" s="12" t="n">
        <v>1</v>
      </c>
      <c r="J222" s="5">
        <f>B222*Opportunities!L8+C222*Opportunities!L9+D222*Opportunities!L10+E222*Opportunities!L11+F222*Opportunities!L12+G222*Opportunities!L13+H222*Opportunities!L14+I222*Opportunities!L15</f>
        <v>2344750.0</v>
      </c>
      <c r="K222" s="5">
        <f>SUM(B222:I222)</f>
        <v>5</v>
      </c>
      <c r="L222" s="5">
        <f>B222*Opportunities!P8+C222*Opportunities!P9+D222*Opportunities!P10+E222*Opportunities!P11+F222*Opportunities!P12+G222*Opportunities!P13+H222*Opportunities!P14+I222*Opportunities!P15</f>
        <v>-62707.40004167432</v>
      </c>
      <c r="M222" s="5">
        <f>IF(AND(J222&lt;=Assumptions!$B$6,K222&lt;=Assumptions!$B$7,B222*IF(Opportunities!S8="ELIGIBLE",0,1)+C222*IF(Opportunities!S9="ELIGIBLE",0,1)+D222*IF(Opportunities!S10="ELIGIBLE",0,1)+E222*IF(Opportunities!S11="ELIGIBLE",0,1)+F222*IF(Opportunities!S12="ELIGIBLE",0,1)+G222*IF(Opportunities!S13="ELIGIBLE",0,1)+H222*IF(Opportunities!S14="ELIGIBLE",0,1)+I222*IF(Opportunities!S15="ELIGIBLE",0,1)=0),1,0)</f>
        <v>0</v>
      </c>
      <c r="N222" s="5">
        <f>IF(M222=1,L222,-1E99)</f>
        <v>-1e+99</v>
      </c>
    </row>
    <row r="223">
      <c r="A223" s="12" t="n">
        <v>218</v>
      </c>
      <c r="B223" s="12" t="n">
        <v>0</v>
      </c>
      <c r="C223" s="12" t="n">
        <v>1</v>
      </c>
      <c r="D223" s="12" t="n">
        <v>0</v>
      </c>
      <c r="E223" s="12" t="n">
        <v>1</v>
      </c>
      <c r="F223" s="12" t="n">
        <v>1</v>
      </c>
      <c r="G223" s="12" t="n">
        <v>0</v>
      </c>
      <c r="H223" s="12" t="n">
        <v>1</v>
      </c>
      <c r="I223" s="12" t="n">
        <v>1</v>
      </c>
      <c r="J223" s="5">
        <f>B223*Opportunities!L8+C223*Opportunities!L9+D223*Opportunities!L10+E223*Opportunities!L11+F223*Opportunities!L12+G223*Opportunities!L13+H223*Opportunities!L14+I223*Opportunities!L15</f>
        <v>2060250.0</v>
      </c>
      <c r="K223" s="5">
        <f>SUM(B223:I223)</f>
        <v>5</v>
      </c>
      <c r="L223" s="5">
        <f>B223*Opportunities!P8+C223*Opportunities!P9+D223*Opportunities!P10+E223*Opportunities!P11+F223*Opportunities!P12+G223*Opportunities!P13+H223*Opportunities!P14+I223*Opportunities!P15</f>
        <v>-77475.51457269222</v>
      </c>
      <c r="M223" s="5">
        <f>IF(AND(J223&lt;=Assumptions!$B$6,K223&lt;=Assumptions!$B$7,B223*IF(Opportunities!S8="ELIGIBLE",0,1)+C223*IF(Opportunities!S9="ELIGIBLE",0,1)+D223*IF(Opportunities!S10="ELIGIBLE",0,1)+E223*IF(Opportunities!S11="ELIGIBLE",0,1)+F223*IF(Opportunities!S12="ELIGIBLE",0,1)+G223*IF(Opportunities!S13="ELIGIBLE",0,1)+H223*IF(Opportunities!S14="ELIGIBLE",0,1)+I223*IF(Opportunities!S15="ELIGIBLE",0,1)=0),1,0)</f>
        <v>0</v>
      </c>
      <c r="N223" s="5">
        <f>IF(M223=1,L223,-1E99)</f>
        <v>-1e+99</v>
      </c>
    </row>
    <row r="224">
      <c r="A224" s="12" t="n">
        <v>219</v>
      </c>
      <c r="B224" s="12" t="n">
        <v>1</v>
      </c>
      <c r="C224" s="12" t="n">
        <v>1</v>
      </c>
      <c r="D224" s="12" t="n">
        <v>0</v>
      </c>
      <c r="E224" s="12" t="n">
        <v>1</v>
      </c>
      <c r="F224" s="12" t="n">
        <v>1</v>
      </c>
      <c r="G224" s="12" t="n">
        <v>0</v>
      </c>
      <c r="H224" s="12" t="n">
        <v>1</v>
      </c>
      <c r="I224" s="12" t="n">
        <v>1</v>
      </c>
      <c r="J224" s="5">
        <f>B224*Opportunities!L8+C224*Opportunities!L9+D224*Opportunities!L10+E224*Opportunities!L11+F224*Opportunities!L12+G224*Opportunities!L13+H224*Opportunities!L14+I224*Opportunities!L15</f>
        <v>2929750.0</v>
      </c>
      <c r="K224" s="5">
        <f>SUM(B224:I224)</f>
        <v>6</v>
      </c>
      <c r="L224" s="5">
        <f>B224*Opportunities!P8+C224*Opportunities!P9+D224*Opportunities!P10+E224*Opportunities!P11+F224*Opportunities!P12+G224*Opportunities!P13+H224*Opportunities!P14+I224*Opportunities!P15</f>
        <v>13421.00244975416</v>
      </c>
      <c r="M224" s="5">
        <f>IF(AND(J224&lt;=Assumptions!$B$6,K224&lt;=Assumptions!$B$7,B224*IF(Opportunities!S8="ELIGIBLE",0,1)+C224*IF(Opportunities!S9="ELIGIBLE",0,1)+D224*IF(Opportunities!S10="ELIGIBLE",0,1)+E224*IF(Opportunities!S11="ELIGIBLE",0,1)+F224*IF(Opportunities!S12="ELIGIBLE",0,1)+G224*IF(Opportunities!S13="ELIGIBLE",0,1)+H224*IF(Opportunities!S14="ELIGIBLE",0,1)+I224*IF(Opportunities!S15="ELIGIBLE",0,1)=0),1,0)</f>
        <v>0</v>
      </c>
      <c r="N224" s="5">
        <f>IF(M224=1,L224,-1E99)</f>
        <v>-1e+99</v>
      </c>
    </row>
    <row r="225">
      <c r="A225" s="12" t="n">
        <v>220</v>
      </c>
      <c r="B225" s="12" t="n">
        <v>0</v>
      </c>
      <c r="C225" s="12" t="n">
        <v>0</v>
      </c>
      <c r="D225" s="12" t="n">
        <v>1</v>
      </c>
      <c r="E225" s="12" t="n">
        <v>1</v>
      </c>
      <c r="F225" s="12" t="n">
        <v>1</v>
      </c>
      <c r="G225" s="12" t="n">
        <v>0</v>
      </c>
      <c r="H225" s="12" t="n">
        <v>1</v>
      </c>
      <c r="I225" s="12" t="n">
        <v>1</v>
      </c>
      <c r="J225" s="5">
        <f>B225*Opportunities!L8+C225*Opportunities!L9+D225*Opportunities!L10+E225*Opportunities!L11+F225*Opportunities!L12+G225*Opportunities!L13+H225*Opportunities!L14+I225*Opportunities!L15</f>
        <v>3056250.0</v>
      </c>
      <c r="K225" s="5">
        <f>SUM(B225:I225)</f>
        <v>5</v>
      </c>
      <c r="L225" s="5">
        <f>B225*Opportunities!P8+C225*Opportunities!P9+D225*Opportunities!P10+E225*Opportunities!P11+F225*Opportunities!P12+G225*Opportunities!P13+H225*Opportunities!P14+I225*Opportunities!P15</f>
        <v>-98820.2018912604</v>
      </c>
      <c r="M225" s="5">
        <f>IF(AND(J225&lt;=Assumptions!$B$6,K225&lt;=Assumptions!$B$7,B225*IF(Opportunities!S8="ELIGIBLE",0,1)+C225*IF(Opportunities!S9="ELIGIBLE",0,1)+D225*IF(Opportunities!S10="ELIGIBLE",0,1)+E225*IF(Opportunities!S11="ELIGIBLE",0,1)+F225*IF(Opportunities!S12="ELIGIBLE",0,1)+G225*IF(Opportunities!S13="ELIGIBLE",0,1)+H225*IF(Opportunities!S14="ELIGIBLE",0,1)+I225*IF(Opportunities!S15="ELIGIBLE",0,1)=0),1,0)</f>
        <v>0</v>
      </c>
      <c r="N225" s="5">
        <f>IF(M225=1,L225,-1E99)</f>
        <v>-1e+99</v>
      </c>
    </row>
    <row r="226">
      <c r="A226" s="12" t="n">
        <v>221</v>
      </c>
      <c r="B226" s="12" t="n">
        <v>1</v>
      </c>
      <c r="C226" s="12" t="n">
        <v>0</v>
      </c>
      <c r="D226" s="12" t="n">
        <v>1</v>
      </c>
      <c r="E226" s="12" t="n">
        <v>1</v>
      </c>
      <c r="F226" s="12" t="n">
        <v>1</v>
      </c>
      <c r="G226" s="12" t="n">
        <v>0</v>
      </c>
      <c r="H226" s="12" t="n">
        <v>1</v>
      </c>
      <c r="I226" s="12" t="n">
        <v>1</v>
      </c>
      <c r="J226" s="5">
        <f>B226*Opportunities!L8+C226*Opportunities!L9+D226*Opportunities!L10+E226*Opportunities!L11+F226*Opportunities!L12+G226*Opportunities!L13+H226*Opportunities!L14+I226*Opportunities!L15</f>
        <v>3925750.0</v>
      </c>
      <c r="K226" s="5">
        <f>SUM(B226:I226)</f>
        <v>6</v>
      </c>
      <c r="L226" s="5">
        <f>B226*Opportunities!P8+C226*Opportunities!P9+D226*Opportunities!P10+E226*Opportunities!P11+F226*Opportunities!P12+G226*Opportunities!P13+H226*Opportunities!P14+I226*Opportunities!P15</f>
        <v>-7923.684868814016</v>
      </c>
      <c r="M226" s="5">
        <f>IF(AND(J226&lt;=Assumptions!$B$6,K226&lt;=Assumptions!$B$7,B226*IF(Opportunities!S8="ELIGIBLE",0,1)+C226*IF(Opportunities!S9="ELIGIBLE",0,1)+D226*IF(Opportunities!S10="ELIGIBLE",0,1)+E226*IF(Opportunities!S11="ELIGIBLE",0,1)+F226*IF(Opportunities!S12="ELIGIBLE",0,1)+G226*IF(Opportunities!S13="ELIGIBLE",0,1)+H226*IF(Opportunities!S14="ELIGIBLE",0,1)+I226*IF(Opportunities!S15="ELIGIBLE",0,1)=0),1,0)</f>
        <v>0</v>
      </c>
      <c r="N226" s="5">
        <f>IF(M226=1,L226,-1E99)</f>
        <v>-1e+99</v>
      </c>
    </row>
    <row r="227">
      <c r="A227" s="12" t="n">
        <v>222</v>
      </c>
      <c r="B227" s="12" t="n">
        <v>0</v>
      </c>
      <c r="C227" s="12" t="n">
        <v>1</v>
      </c>
      <c r="D227" s="12" t="n">
        <v>1</v>
      </c>
      <c r="E227" s="12" t="n">
        <v>1</v>
      </c>
      <c r="F227" s="12" t="n">
        <v>1</v>
      </c>
      <c r="G227" s="12" t="n">
        <v>0</v>
      </c>
      <c r="H227" s="12" t="n">
        <v>1</v>
      </c>
      <c r="I227" s="12" t="n">
        <v>1</v>
      </c>
      <c r="J227" s="5">
        <f>B227*Opportunities!L8+C227*Opportunities!L9+D227*Opportunities!L10+E227*Opportunities!L11+F227*Opportunities!L12+G227*Opportunities!L13+H227*Opportunities!L14+I227*Opportunities!L15</f>
        <v>3641250.0</v>
      </c>
      <c r="K227" s="5">
        <f>SUM(B227:I227)</f>
        <v>6</v>
      </c>
      <c r="L227" s="5">
        <f>B227*Opportunities!P8+C227*Opportunities!P9+D227*Opportunities!P10+E227*Opportunities!P11+F227*Opportunities!P12+G227*Opportunities!P13+H227*Opportunities!P14+I227*Opportunities!P15</f>
        <v>-22691.799399831914</v>
      </c>
      <c r="M227" s="5">
        <f>IF(AND(J227&lt;=Assumptions!$B$6,K227&lt;=Assumptions!$B$7,B227*IF(Opportunities!S8="ELIGIBLE",0,1)+C227*IF(Opportunities!S9="ELIGIBLE",0,1)+D227*IF(Opportunities!S10="ELIGIBLE",0,1)+E227*IF(Opportunities!S11="ELIGIBLE",0,1)+F227*IF(Opportunities!S12="ELIGIBLE",0,1)+G227*IF(Opportunities!S13="ELIGIBLE",0,1)+H227*IF(Opportunities!S14="ELIGIBLE",0,1)+I227*IF(Opportunities!S15="ELIGIBLE",0,1)=0),1,0)</f>
        <v>0</v>
      </c>
      <c r="N227" s="5">
        <f>IF(M227=1,L227,-1E99)</f>
        <v>-1e+99</v>
      </c>
    </row>
    <row r="228">
      <c r="A228" s="12" t="n">
        <v>223</v>
      </c>
      <c r="B228" s="12" t="n">
        <v>1</v>
      </c>
      <c r="C228" s="12" t="n">
        <v>1</v>
      </c>
      <c r="D228" s="12" t="n">
        <v>1</v>
      </c>
      <c r="E228" s="12" t="n">
        <v>1</v>
      </c>
      <c r="F228" s="12" t="n">
        <v>1</v>
      </c>
      <c r="G228" s="12" t="n">
        <v>0</v>
      </c>
      <c r="H228" s="12" t="n">
        <v>1</v>
      </c>
      <c r="I228" s="12" t="n">
        <v>1</v>
      </c>
      <c r="J228" s="5">
        <f>B228*Opportunities!L8+C228*Opportunities!L9+D228*Opportunities!L10+E228*Opportunities!L11+F228*Opportunities!L12+G228*Opportunities!L13+H228*Opportunities!L14+I228*Opportunities!L15</f>
        <v>4510750.0</v>
      </c>
      <c r="K228" s="5">
        <f>SUM(B228:I228)</f>
        <v>7</v>
      </c>
      <c r="L228" s="5">
        <f>B228*Opportunities!P8+C228*Opportunities!P9+D228*Opportunities!P10+E228*Opportunities!P11+F228*Opportunities!P12+G228*Opportunities!P13+H228*Opportunities!P14+I228*Opportunities!P15</f>
        <v>68204.71762261447</v>
      </c>
      <c r="M228" s="5">
        <f>IF(AND(J228&lt;=Assumptions!$B$6,K228&lt;=Assumptions!$B$7,B228*IF(Opportunities!S8="ELIGIBLE",0,1)+C228*IF(Opportunities!S9="ELIGIBLE",0,1)+D228*IF(Opportunities!S10="ELIGIBLE",0,1)+E228*IF(Opportunities!S11="ELIGIBLE",0,1)+F228*IF(Opportunities!S12="ELIGIBLE",0,1)+G228*IF(Opportunities!S13="ELIGIBLE",0,1)+H228*IF(Opportunities!S14="ELIGIBLE",0,1)+I228*IF(Opportunities!S15="ELIGIBLE",0,1)=0),1,0)</f>
        <v>0</v>
      </c>
      <c r="N228" s="5">
        <f>IF(M228=1,L228,-1E99)</f>
        <v>-1e+99</v>
      </c>
    </row>
    <row r="229">
      <c r="A229" s="12" t="n">
        <v>224</v>
      </c>
      <c r="B229" s="12" t="n">
        <v>0</v>
      </c>
      <c r="C229" s="12" t="n">
        <v>0</v>
      </c>
      <c r="D229" s="12" t="n">
        <v>0</v>
      </c>
      <c r="E229" s="12" t="n">
        <v>0</v>
      </c>
      <c r="F229" s="12" t="n">
        <v>0</v>
      </c>
      <c r="G229" s="12" t="n">
        <v>1</v>
      </c>
      <c r="H229" s="12" t="n">
        <v>1</v>
      </c>
      <c r="I229" s="12" t="n">
        <v>1</v>
      </c>
      <c r="J229" s="5">
        <f>B229*Opportunities!L8+C229*Opportunities!L9+D229*Opportunities!L10+E229*Opportunities!L11+F229*Opportunities!L12+G229*Opportunities!L13+H229*Opportunities!L14+I229*Opportunities!L15</f>
        <v>799250.0000000001</v>
      </c>
      <c r="K229" s="5">
        <f>SUM(B229:I229)</f>
        <v>3</v>
      </c>
      <c r="L229" s="5">
        <f>B229*Opportunities!P8+C229*Opportunities!P9+D229*Opportunities!P10+E229*Opportunities!P11+F229*Opportunities!P12+G229*Opportunities!P13+H229*Opportunities!P14+I229*Opportunities!P15</f>
        <v>72646.65879214031</v>
      </c>
      <c r="M229" s="5">
        <f>IF(AND(J229&lt;=Assumptions!$B$6,K229&lt;=Assumptions!$B$7,B229*IF(Opportunities!S8="ELIGIBLE",0,1)+C229*IF(Opportunities!S9="ELIGIBLE",0,1)+D229*IF(Opportunities!S10="ELIGIBLE",0,1)+E229*IF(Opportunities!S11="ELIGIBLE",0,1)+F229*IF(Opportunities!S12="ELIGIBLE",0,1)+G229*IF(Opportunities!S13="ELIGIBLE",0,1)+H229*IF(Opportunities!S14="ELIGIBLE",0,1)+I229*IF(Opportunities!S15="ELIGIBLE",0,1)=0),1,0)</f>
        <v>0</v>
      </c>
      <c r="N229" s="5">
        <f>IF(M229=1,L229,-1E99)</f>
        <v>-1e+99</v>
      </c>
    </row>
    <row r="230">
      <c r="A230" s="12" t="n">
        <v>225</v>
      </c>
      <c r="B230" s="12" t="n">
        <v>1</v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1</v>
      </c>
      <c r="H230" s="12" t="n">
        <v>1</v>
      </c>
      <c r="I230" s="12" t="n">
        <v>1</v>
      </c>
      <c r="J230" s="5">
        <f>B230*Opportunities!L8+C230*Opportunities!L9+D230*Opportunities!L10+E230*Opportunities!L11+F230*Opportunities!L12+G230*Opportunities!L13+H230*Opportunities!L14+I230*Opportunities!L15</f>
        <v>1668750.0000000002</v>
      </c>
      <c r="K230" s="5">
        <f>SUM(B230:I230)</f>
        <v>4</v>
      </c>
      <c r="L230" s="5">
        <f>B230*Opportunities!P8+C230*Opportunities!P9+D230*Opportunities!P10+E230*Opportunities!P11+F230*Opportunities!P12+G230*Opportunities!P13+H230*Opportunities!P14+I230*Opportunities!P15</f>
        <v>163543.1758145867</v>
      </c>
      <c r="M230" s="5">
        <f>IF(AND(J230&lt;=Assumptions!$B$6,K230&lt;=Assumptions!$B$7,B230*IF(Opportunities!S8="ELIGIBLE",0,1)+C230*IF(Opportunities!S9="ELIGIBLE",0,1)+D230*IF(Opportunities!S10="ELIGIBLE",0,1)+E230*IF(Opportunities!S11="ELIGIBLE",0,1)+F230*IF(Opportunities!S12="ELIGIBLE",0,1)+G230*IF(Opportunities!S13="ELIGIBLE",0,1)+H230*IF(Opportunities!S14="ELIGIBLE",0,1)+I230*IF(Opportunities!S15="ELIGIBLE",0,1)=0),1,0)</f>
        <v>0</v>
      </c>
      <c r="N230" s="5">
        <f>IF(M230=1,L230,-1E99)</f>
        <v>-1e+99</v>
      </c>
    </row>
    <row r="231">
      <c r="A231" s="12" t="n">
        <v>226</v>
      </c>
      <c r="B231" s="12" t="n">
        <v>0</v>
      </c>
      <c r="C231" s="12" t="n">
        <v>1</v>
      </c>
      <c r="D231" s="12" t="n">
        <v>0</v>
      </c>
      <c r="E231" s="12" t="n">
        <v>0</v>
      </c>
      <c r="F231" s="12" t="n">
        <v>0</v>
      </c>
      <c r="G231" s="12" t="n">
        <v>1</v>
      </c>
      <c r="H231" s="12" t="n">
        <v>1</v>
      </c>
      <c r="I231" s="12" t="n">
        <v>1</v>
      </c>
      <c r="J231" s="5">
        <f>B231*Opportunities!L8+C231*Opportunities!L9+D231*Opportunities!L10+E231*Opportunities!L11+F231*Opportunities!L12+G231*Opportunities!L13+H231*Opportunities!L14+I231*Opportunities!L15</f>
        <v>1384250.0</v>
      </c>
      <c r="K231" s="5">
        <f>SUM(B231:I231)</f>
        <v>4</v>
      </c>
      <c r="L231" s="5">
        <f>B231*Opportunities!P8+C231*Opportunities!P9+D231*Opportunities!P10+E231*Opportunities!P11+F231*Opportunities!P12+G231*Opportunities!P13+H231*Opportunities!P14+I231*Opportunities!P15</f>
        <v>148775.0612835688</v>
      </c>
      <c r="M231" s="5">
        <f>IF(AND(J231&lt;=Assumptions!$B$6,K231&lt;=Assumptions!$B$7,B231*IF(Opportunities!S8="ELIGIBLE",0,1)+C231*IF(Opportunities!S9="ELIGIBLE",0,1)+D231*IF(Opportunities!S10="ELIGIBLE",0,1)+E231*IF(Opportunities!S11="ELIGIBLE",0,1)+F231*IF(Opportunities!S12="ELIGIBLE",0,1)+G231*IF(Opportunities!S13="ELIGIBLE",0,1)+H231*IF(Opportunities!S14="ELIGIBLE",0,1)+I231*IF(Opportunities!S15="ELIGIBLE",0,1)=0),1,0)</f>
        <v>0</v>
      </c>
      <c r="N231" s="5">
        <f>IF(M231=1,L231,-1E99)</f>
        <v>-1e+99</v>
      </c>
    </row>
    <row r="232">
      <c r="A232" s="12" t="n">
        <v>227</v>
      </c>
      <c r="B232" s="12" t="n">
        <v>1</v>
      </c>
      <c r="C232" s="12" t="n">
        <v>1</v>
      </c>
      <c r="D232" s="12" t="n">
        <v>0</v>
      </c>
      <c r="E232" s="12" t="n">
        <v>0</v>
      </c>
      <c r="F232" s="12" t="n">
        <v>0</v>
      </c>
      <c r="G232" s="12" t="n">
        <v>1</v>
      </c>
      <c r="H232" s="12" t="n">
        <v>1</v>
      </c>
      <c r="I232" s="12" t="n">
        <v>1</v>
      </c>
      <c r="J232" s="5">
        <f>B232*Opportunities!L8+C232*Opportunities!L9+D232*Opportunities!L10+E232*Opportunities!L11+F232*Opportunities!L12+G232*Opportunities!L13+H232*Opportunities!L14+I232*Opportunities!L15</f>
        <v>2253750.0</v>
      </c>
      <c r="K232" s="5">
        <f>SUM(B232:I232)</f>
        <v>5</v>
      </c>
      <c r="L232" s="5">
        <f>B232*Opportunities!P8+C232*Opportunities!P9+D232*Opportunities!P10+E232*Opportunities!P11+F232*Opportunities!P12+G232*Opportunities!P13+H232*Opportunities!P14+I232*Opportunities!P15</f>
        <v>239671.57830601517</v>
      </c>
      <c r="M232" s="5">
        <f>IF(AND(J232&lt;=Assumptions!$B$6,K232&lt;=Assumptions!$B$7,B232*IF(Opportunities!S8="ELIGIBLE",0,1)+C232*IF(Opportunities!S9="ELIGIBLE",0,1)+D232*IF(Opportunities!S10="ELIGIBLE",0,1)+E232*IF(Opportunities!S11="ELIGIBLE",0,1)+F232*IF(Opportunities!S12="ELIGIBLE",0,1)+G232*IF(Opportunities!S13="ELIGIBLE",0,1)+H232*IF(Opportunities!S14="ELIGIBLE",0,1)+I232*IF(Opportunities!S15="ELIGIBLE",0,1)=0),1,0)</f>
        <v>0</v>
      </c>
      <c r="N232" s="5">
        <f>IF(M232=1,L232,-1E99)</f>
        <v>-1e+99</v>
      </c>
    </row>
    <row r="233">
      <c r="A233" s="12" t="n">
        <v>228</v>
      </c>
      <c r="B233" s="12" t="n">
        <v>0</v>
      </c>
      <c r="C233" s="12" t="n">
        <v>0</v>
      </c>
      <c r="D233" s="12" t="n">
        <v>1</v>
      </c>
      <c r="E233" s="12" t="n">
        <v>0</v>
      </c>
      <c r="F233" s="12" t="n">
        <v>0</v>
      </c>
      <c r="G233" s="12" t="n">
        <v>1</v>
      </c>
      <c r="H233" s="12" t="n">
        <v>1</v>
      </c>
      <c r="I233" s="12" t="n">
        <v>1</v>
      </c>
      <c r="J233" s="5">
        <f>B233*Opportunities!L8+C233*Opportunities!L9+D233*Opportunities!L10+E233*Opportunities!L11+F233*Opportunities!L12+G233*Opportunities!L13+H233*Opportunities!L14+I233*Opportunities!L15</f>
        <v>2380250.0</v>
      </c>
      <c r="K233" s="5">
        <f>SUM(B233:I233)</f>
        <v>4</v>
      </c>
      <c r="L233" s="5">
        <f>B233*Opportunities!P8+C233*Opportunities!P9+D233*Opportunities!P10+E233*Opportunities!P11+F233*Opportunities!P12+G233*Opportunities!P13+H233*Opportunities!P14+I233*Opportunities!P15</f>
        <v>127430.37396500062</v>
      </c>
      <c r="M233" s="5">
        <f>IF(AND(J233&lt;=Assumptions!$B$6,K233&lt;=Assumptions!$B$7,B233*IF(Opportunities!S8="ELIGIBLE",0,1)+C233*IF(Opportunities!S9="ELIGIBLE",0,1)+D233*IF(Opportunities!S10="ELIGIBLE",0,1)+E233*IF(Opportunities!S11="ELIGIBLE",0,1)+F233*IF(Opportunities!S12="ELIGIBLE",0,1)+G233*IF(Opportunities!S13="ELIGIBLE",0,1)+H233*IF(Opportunities!S14="ELIGIBLE",0,1)+I233*IF(Opportunities!S15="ELIGIBLE",0,1)=0),1,0)</f>
        <v>0</v>
      </c>
      <c r="N233" s="5">
        <f>IF(M233=1,L233,-1E99)</f>
        <v>-1e+99</v>
      </c>
    </row>
    <row r="234">
      <c r="A234" s="12" t="n">
        <v>229</v>
      </c>
      <c r="B234" s="12" t="n">
        <v>1</v>
      </c>
      <c r="C234" s="12" t="n">
        <v>0</v>
      </c>
      <c r="D234" s="12" t="n">
        <v>1</v>
      </c>
      <c r="E234" s="12" t="n">
        <v>0</v>
      </c>
      <c r="F234" s="12" t="n">
        <v>0</v>
      </c>
      <c r="G234" s="12" t="n">
        <v>1</v>
      </c>
      <c r="H234" s="12" t="n">
        <v>1</v>
      </c>
      <c r="I234" s="12" t="n">
        <v>1</v>
      </c>
      <c r="J234" s="5">
        <f>B234*Opportunities!L8+C234*Opportunities!L9+D234*Opportunities!L10+E234*Opportunities!L11+F234*Opportunities!L12+G234*Opportunities!L13+H234*Opportunities!L14+I234*Opportunities!L15</f>
        <v>3249750.0</v>
      </c>
      <c r="K234" s="5">
        <f>SUM(B234:I234)</f>
        <v>5</v>
      </c>
      <c r="L234" s="5">
        <f>B234*Opportunities!P8+C234*Opportunities!P9+D234*Opportunities!P10+E234*Opportunities!P11+F234*Opportunities!P12+G234*Opportunities!P13+H234*Opportunities!P14+I234*Opportunities!P15</f>
        <v>218326.890987447</v>
      </c>
      <c r="M234" s="5">
        <f>IF(AND(J234&lt;=Assumptions!$B$6,K234&lt;=Assumptions!$B$7,B234*IF(Opportunities!S8="ELIGIBLE",0,1)+C234*IF(Opportunities!S9="ELIGIBLE",0,1)+D234*IF(Opportunities!S10="ELIGIBLE",0,1)+E234*IF(Opportunities!S11="ELIGIBLE",0,1)+F234*IF(Opportunities!S12="ELIGIBLE",0,1)+G234*IF(Opportunities!S13="ELIGIBLE",0,1)+H234*IF(Opportunities!S14="ELIGIBLE",0,1)+I234*IF(Opportunities!S15="ELIGIBLE",0,1)=0),1,0)</f>
        <v>0</v>
      </c>
      <c r="N234" s="5">
        <f>IF(M234=1,L234,-1E99)</f>
        <v>-1e+99</v>
      </c>
    </row>
    <row r="235">
      <c r="A235" s="12" t="n">
        <v>230</v>
      </c>
      <c r="B235" s="12" t="n">
        <v>0</v>
      </c>
      <c r="C235" s="12" t="n">
        <v>1</v>
      </c>
      <c r="D235" s="12" t="n">
        <v>1</v>
      </c>
      <c r="E235" s="12" t="n">
        <v>0</v>
      </c>
      <c r="F235" s="12" t="n">
        <v>0</v>
      </c>
      <c r="G235" s="12" t="n">
        <v>1</v>
      </c>
      <c r="H235" s="12" t="n">
        <v>1</v>
      </c>
      <c r="I235" s="12" t="n">
        <v>1</v>
      </c>
      <c r="J235" s="5">
        <f>B235*Opportunities!L8+C235*Opportunities!L9+D235*Opportunities!L10+E235*Opportunities!L11+F235*Opportunities!L12+G235*Opportunities!L13+H235*Opportunities!L14+I235*Opportunities!L15</f>
        <v>2965250.0</v>
      </c>
      <c r="K235" s="5">
        <f>SUM(B235:I235)</f>
        <v>5</v>
      </c>
      <c r="L235" s="5">
        <f>B235*Opportunities!P8+C235*Opportunities!P9+D235*Opportunities!P10+E235*Opportunities!P11+F235*Opportunities!P12+G235*Opportunities!P13+H235*Opportunities!P14+I235*Opportunities!P15</f>
        <v>203558.7764564291</v>
      </c>
      <c r="M235" s="5">
        <f>IF(AND(J235&lt;=Assumptions!$B$6,K235&lt;=Assumptions!$B$7,B235*IF(Opportunities!S8="ELIGIBLE",0,1)+C235*IF(Opportunities!S9="ELIGIBLE",0,1)+D235*IF(Opportunities!S10="ELIGIBLE",0,1)+E235*IF(Opportunities!S11="ELIGIBLE",0,1)+F235*IF(Opportunities!S12="ELIGIBLE",0,1)+G235*IF(Opportunities!S13="ELIGIBLE",0,1)+H235*IF(Opportunities!S14="ELIGIBLE",0,1)+I235*IF(Opportunities!S15="ELIGIBLE",0,1)=0),1,0)</f>
        <v>0</v>
      </c>
      <c r="N235" s="5">
        <f>IF(M235=1,L235,-1E99)</f>
        <v>-1e+99</v>
      </c>
    </row>
    <row r="236">
      <c r="A236" s="12" t="n">
        <v>231</v>
      </c>
      <c r="B236" s="12" t="n">
        <v>1</v>
      </c>
      <c r="C236" s="12" t="n">
        <v>1</v>
      </c>
      <c r="D236" s="12" t="n">
        <v>1</v>
      </c>
      <c r="E236" s="12" t="n">
        <v>0</v>
      </c>
      <c r="F236" s="12" t="n">
        <v>0</v>
      </c>
      <c r="G236" s="12" t="n">
        <v>1</v>
      </c>
      <c r="H236" s="12" t="n">
        <v>1</v>
      </c>
      <c r="I236" s="12" t="n">
        <v>1</v>
      </c>
      <c r="J236" s="5">
        <f>B236*Opportunities!L8+C236*Opportunities!L9+D236*Opportunities!L10+E236*Opportunities!L11+F236*Opportunities!L12+G236*Opportunities!L13+H236*Opportunities!L14+I236*Opportunities!L15</f>
        <v>3834750.0</v>
      </c>
      <c r="K236" s="5">
        <f>SUM(B236:I236)</f>
        <v>6</v>
      </c>
      <c r="L236" s="5">
        <f>B236*Opportunities!P8+C236*Opportunities!P9+D236*Opportunities!P10+E236*Opportunities!P11+F236*Opportunities!P12+G236*Opportunities!P13+H236*Opportunities!P14+I236*Opportunities!P15</f>
        <v>294455.2934788755</v>
      </c>
      <c r="M236" s="5">
        <f>IF(AND(J236&lt;=Assumptions!$B$6,K236&lt;=Assumptions!$B$7,B236*IF(Opportunities!S8="ELIGIBLE",0,1)+C236*IF(Opportunities!S9="ELIGIBLE",0,1)+D236*IF(Opportunities!S10="ELIGIBLE",0,1)+E236*IF(Opportunities!S11="ELIGIBLE",0,1)+F236*IF(Opportunities!S12="ELIGIBLE",0,1)+G236*IF(Opportunities!S13="ELIGIBLE",0,1)+H236*IF(Opportunities!S14="ELIGIBLE",0,1)+I236*IF(Opportunities!S15="ELIGIBLE",0,1)=0),1,0)</f>
        <v>0</v>
      </c>
      <c r="N236" s="5">
        <f>IF(M236=1,L236,-1E99)</f>
        <v>-1e+99</v>
      </c>
    </row>
    <row r="237">
      <c r="A237" s="12" t="n">
        <v>232</v>
      </c>
      <c r="B237" s="12" t="n">
        <v>0</v>
      </c>
      <c r="C237" s="12" t="n">
        <v>0</v>
      </c>
      <c r="D237" s="12" t="n">
        <v>0</v>
      </c>
      <c r="E237" s="12" t="n">
        <v>1</v>
      </c>
      <c r="F237" s="12" t="n">
        <v>0</v>
      </c>
      <c r="G237" s="12" t="n">
        <v>1</v>
      </c>
      <c r="H237" s="12" t="n">
        <v>1</v>
      </c>
      <c r="I237" s="12" t="n">
        <v>1</v>
      </c>
      <c r="J237" s="5">
        <f>B237*Opportunities!L8+C237*Opportunities!L9+D237*Opportunities!L10+E237*Opportunities!L11+F237*Opportunities!L12+G237*Opportunities!L13+H237*Opportunities!L14+I237*Opportunities!L15</f>
        <v>1131500.0</v>
      </c>
      <c r="K237" s="5">
        <f>SUM(B237:I237)</f>
        <v>4</v>
      </c>
      <c r="L237" s="5">
        <f>B237*Opportunities!P8+C237*Opportunities!P9+D237*Opportunities!P10+E237*Opportunities!P11+F237*Opportunities!P12+G237*Opportunities!P13+H237*Opportunities!P14+I237*Opportunities!P15</f>
        <v>94534.7815651028</v>
      </c>
      <c r="M237" s="5">
        <f>IF(AND(J237&lt;=Assumptions!$B$6,K237&lt;=Assumptions!$B$7,B237*IF(Opportunities!S8="ELIGIBLE",0,1)+C237*IF(Opportunities!S9="ELIGIBLE",0,1)+D237*IF(Opportunities!S10="ELIGIBLE",0,1)+E237*IF(Opportunities!S11="ELIGIBLE",0,1)+F237*IF(Opportunities!S12="ELIGIBLE",0,1)+G237*IF(Opportunities!S13="ELIGIBLE",0,1)+H237*IF(Opportunities!S14="ELIGIBLE",0,1)+I237*IF(Opportunities!S15="ELIGIBLE",0,1)=0),1,0)</f>
        <v>0</v>
      </c>
      <c r="N237" s="5">
        <f>IF(M237=1,L237,-1E99)</f>
        <v>-1e+99</v>
      </c>
    </row>
    <row r="238">
      <c r="A238" s="12" t="n">
        <v>233</v>
      </c>
      <c r="B238" s="12" t="n">
        <v>1</v>
      </c>
      <c r="C238" s="12" t="n">
        <v>0</v>
      </c>
      <c r="D238" s="12" t="n">
        <v>0</v>
      </c>
      <c r="E238" s="12" t="n">
        <v>1</v>
      </c>
      <c r="F238" s="12" t="n">
        <v>0</v>
      </c>
      <c r="G238" s="12" t="n">
        <v>1</v>
      </c>
      <c r="H238" s="12" t="n">
        <v>1</v>
      </c>
      <c r="I238" s="12" t="n">
        <v>1</v>
      </c>
      <c r="J238" s="5">
        <f>B238*Opportunities!L8+C238*Opportunities!L9+D238*Opportunities!L10+E238*Opportunities!L11+F238*Opportunities!L12+G238*Opportunities!L13+H238*Opportunities!L14+I238*Opportunities!L15</f>
        <v>2001000.0</v>
      </c>
      <c r="K238" s="5">
        <f>SUM(B238:I238)</f>
        <v>5</v>
      </c>
      <c r="L238" s="5">
        <f>B238*Opportunities!P8+C238*Opportunities!P9+D238*Opportunities!P10+E238*Opportunities!P11+F238*Opportunities!P12+G238*Opportunities!P13+H238*Opportunities!P14+I238*Opportunities!P15</f>
        <v>185431.2985875492</v>
      </c>
      <c r="M238" s="5">
        <f>IF(AND(J238&lt;=Assumptions!$B$6,K238&lt;=Assumptions!$B$7,B238*IF(Opportunities!S8="ELIGIBLE",0,1)+C238*IF(Opportunities!S9="ELIGIBLE",0,1)+D238*IF(Opportunities!S10="ELIGIBLE",0,1)+E238*IF(Opportunities!S11="ELIGIBLE",0,1)+F238*IF(Opportunities!S12="ELIGIBLE",0,1)+G238*IF(Opportunities!S13="ELIGIBLE",0,1)+H238*IF(Opportunities!S14="ELIGIBLE",0,1)+I238*IF(Opportunities!S15="ELIGIBLE",0,1)=0),1,0)</f>
        <v>0</v>
      </c>
      <c r="N238" s="5">
        <f>IF(M238=1,L238,-1E99)</f>
        <v>-1e+99</v>
      </c>
    </row>
    <row r="239">
      <c r="A239" s="12" t="n">
        <v>234</v>
      </c>
      <c r="B239" s="12" t="n">
        <v>0</v>
      </c>
      <c r="C239" s="12" t="n">
        <v>1</v>
      </c>
      <c r="D239" s="12" t="n">
        <v>0</v>
      </c>
      <c r="E239" s="12" t="n">
        <v>1</v>
      </c>
      <c r="F239" s="12" t="n">
        <v>0</v>
      </c>
      <c r="G239" s="12" t="n">
        <v>1</v>
      </c>
      <c r="H239" s="12" t="n">
        <v>1</v>
      </c>
      <c r="I239" s="12" t="n">
        <v>1</v>
      </c>
      <c r="J239" s="5">
        <f>B239*Opportunities!L8+C239*Opportunities!L9+D239*Opportunities!L10+E239*Opportunities!L11+F239*Opportunities!L12+G239*Opportunities!L13+H239*Opportunities!L14+I239*Opportunities!L15</f>
        <v>1716500.0</v>
      </c>
      <c r="K239" s="5">
        <f>SUM(B239:I239)</f>
        <v>5</v>
      </c>
      <c r="L239" s="5">
        <f>B239*Opportunities!P8+C239*Opportunities!P9+D239*Opportunities!P10+E239*Opportunities!P11+F239*Opportunities!P12+G239*Opportunities!P13+H239*Opportunities!P14+I239*Opportunities!P15</f>
        <v>170663.1840565313</v>
      </c>
      <c r="M239" s="5">
        <f>IF(AND(J239&lt;=Assumptions!$B$6,K239&lt;=Assumptions!$B$7,B239*IF(Opportunities!S8="ELIGIBLE",0,1)+C239*IF(Opportunities!S9="ELIGIBLE",0,1)+D239*IF(Opportunities!S10="ELIGIBLE",0,1)+E239*IF(Opportunities!S11="ELIGIBLE",0,1)+F239*IF(Opportunities!S12="ELIGIBLE",0,1)+G239*IF(Opportunities!S13="ELIGIBLE",0,1)+H239*IF(Opportunities!S14="ELIGIBLE",0,1)+I239*IF(Opportunities!S15="ELIGIBLE",0,1)=0),1,0)</f>
        <v>0</v>
      </c>
      <c r="N239" s="5">
        <f>IF(M239=1,L239,-1E99)</f>
        <v>-1e+99</v>
      </c>
    </row>
    <row r="240">
      <c r="A240" s="12" t="n">
        <v>235</v>
      </c>
      <c r="B240" s="12" t="n">
        <v>1</v>
      </c>
      <c r="C240" s="12" t="n">
        <v>1</v>
      </c>
      <c r="D240" s="12" t="n">
        <v>0</v>
      </c>
      <c r="E240" s="12" t="n">
        <v>1</v>
      </c>
      <c r="F240" s="12" t="n">
        <v>0</v>
      </c>
      <c r="G240" s="12" t="n">
        <v>1</v>
      </c>
      <c r="H240" s="12" t="n">
        <v>1</v>
      </c>
      <c r="I240" s="12" t="n">
        <v>1</v>
      </c>
      <c r="J240" s="5">
        <f>B240*Opportunities!L8+C240*Opportunities!L9+D240*Opportunities!L10+E240*Opportunities!L11+F240*Opportunities!L12+G240*Opportunities!L13+H240*Opportunities!L14+I240*Opportunities!L15</f>
        <v>2586000.0</v>
      </c>
      <c r="K240" s="5">
        <f>SUM(B240:I240)</f>
        <v>6</v>
      </c>
      <c r="L240" s="5">
        <f>B240*Opportunities!P8+C240*Opportunities!P9+D240*Opportunities!P10+E240*Opportunities!P11+F240*Opportunities!P12+G240*Opportunities!P13+H240*Opportunities!P14+I240*Opportunities!P15</f>
        <v>261559.70107897767</v>
      </c>
      <c r="M240" s="5">
        <f>IF(AND(J240&lt;=Assumptions!$B$6,K240&lt;=Assumptions!$B$7,B240*IF(Opportunities!S8="ELIGIBLE",0,1)+C240*IF(Opportunities!S9="ELIGIBLE",0,1)+D240*IF(Opportunities!S10="ELIGIBLE",0,1)+E240*IF(Opportunities!S11="ELIGIBLE",0,1)+F240*IF(Opportunities!S12="ELIGIBLE",0,1)+G240*IF(Opportunities!S13="ELIGIBLE",0,1)+H240*IF(Opportunities!S14="ELIGIBLE",0,1)+I240*IF(Opportunities!S15="ELIGIBLE",0,1)=0),1,0)</f>
        <v>0</v>
      </c>
      <c r="N240" s="5">
        <f>IF(M240=1,L240,-1E99)</f>
        <v>-1e+99</v>
      </c>
    </row>
    <row r="241">
      <c r="A241" s="12" t="n">
        <v>236</v>
      </c>
      <c r="B241" s="12" t="n">
        <v>0</v>
      </c>
      <c r="C241" s="12" t="n">
        <v>0</v>
      </c>
      <c r="D241" s="12" t="n">
        <v>1</v>
      </c>
      <c r="E241" s="12" t="n">
        <v>1</v>
      </c>
      <c r="F241" s="12" t="n">
        <v>0</v>
      </c>
      <c r="G241" s="12" t="n">
        <v>1</v>
      </c>
      <c r="H241" s="12" t="n">
        <v>1</v>
      </c>
      <c r="I241" s="12" t="n">
        <v>1</v>
      </c>
      <c r="J241" s="5">
        <f>B241*Opportunities!L8+C241*Opportunities!L9+D241*Opportunities!L10+E241*Opportunities!L11+F241*Opportunities!L12+G241*Opportunities!L13+H241*Opportunities!L14+I241*Opportunities!L15</f>
        <v>2712500.0</v>
      </c>
      <c r="K241" s="5">
        <f>SUM(B241:I241)</f>
        <v>5</v>
      </c>
      <c r="L241" s="5">
        <f>B241*Opportunities!P8+C241*Opportunities!P9+D241*Opportunities!P10+E241*Opportunities!P11+F241*Opportunities!P12+G241*Opportunities!P13+H241*Opportunities!P14+I241*Opportunities!P15</f>
        <v>149318.4967379631</v>
      </c>
      <c r="M241" s="5">
        <f>IF(AND(J241&lt;=Assumptions!$B$6,K241&lt;=Assumptions!$B$7,B241*IF(Opportunities!S8="ELIGIBLE",0,1)+C241*IF(Opportunities!S9="ELIGIBLE",0,1)+D241*IF(Opportunities!S10="ELIGIBLE",0,1)+E241*IF(Opportunities!S11="ELIGIBLE",0,1)+F241*IF(Opportunities!S12="ELIGIBLE",0,1)+G241*IF(Opportunities!S13="ELIGIBLE",0,1)+H241*IF(Opportunities!S14="ELIGIBLE",0,1)+I241*IF(Opportunities!S15="ELIGIBLE",0,1)=0),1,0)</f>
        <v>0</v>
      </c>
      <c r="N241" s="5">
        <f>IF(M241=1,L241,-1E99)</f>
        <v>-1e+99</v>
      </c>
    </row>
    <row r="242">
      <c r="A242" s="12" t="n">
        <v>237</v>
      </c>
      <c r="B242" s="12" t="n">
        <v>1</v>
      </c>
      <c r="C242" s="12" t="n">
        <v>0</v>
      </c>
      <c r="D242" s="12" t="n">
        <v>1</v>
      </c>
      <c r="E242" s="12" t="n">
        <v>1</v>
      </c>
      <c r="F242" s="12" t="n">
        <v>0</v>
      </c>
      <c r="G242" s="12" t="n">
        <v>1</v>
      </c>
      <c r="H242" s="12" t="n">
        <v>1</v>
      </c>
      <c r="I242" s="12" t="n">
        <v>1</v>
      </c>
      <c r="J242" s="5">
        <f>B242*Opportunities!L8+C242*Opportunities!L9+D242*Opportunities!L10+E242*Opportunities!L11+F242*Opportunities!L12+G242*Opportunities!L13+H242*Opportunities!L14+I242*Opportunities!L15</f>
        <v>3582000.0</v>
      </c>
      <c r="K242" s="5">
        <f>SUM(B242:I242)</f>
        <v>6</v>
      </c>
      <c r="L242" s="5">
        <f>B242*Opportunities!P8+C242*Opportunities!P9+D242*Opportunities!P10+E242*Opportunities!P11+F242*Opportunities!P12+G242*Opportunities!P13+H242*Opportunities!P14+I242*Opportunities!P15</f>
        <v>240215.0137604095</v>
      </c>
      <c r="M242" s="5">
        <f>IF(AND(J242&lt;=Assumptions!$B$6,K242&lt;=Assumptions!$B$7,B242*IF(Opportunities!S8="ELIGIBLE",0,1)+C242*IF(Opportunities!S9="ELIGIBLE",0,1)+D242*IF(Opportunities!S10="ELIGIBLE",0,1)+E242*IF(Opportunities!S11="ELIGIBLE",0,1)+F242*IF(Opportunities!S12="ELIGIBLE",0,1)+G242*IF(Opportunities!S13="ELIGIBLE",0,1)+H242*IF(Opportunities!S14="ELIGIBLE",0,1)+I242*IF(Opportunities!S15="ELIGIBLE",0,1)=0),1,0)</f>
        <v>0</v>
      </c>
      <c r="N242" s="5">
        <f>IF(M242=1,L242,-1E99)</f>
        <v>-1e+99</v>
      </c>
    </row>
    <row r="243">
      <c r="A243" s="12" t="n">
        <v>238</v>
      </c>
      <c r="B243" s="12" t="n">
        <v>0</v>
      </c>
      <c r="C243" s="12" t="n">
        <v>1</v>
      </c>
      <c r="D243" s="12" t="n">
        <v>1</v>
      </c>
      <c r="E243" s="12" t="n">
        <v>1</v>
      </c>
      <c r="F243" s="12" t="n">
        <v>0</v>
      </c>
      <c r="G243" s="12" t="n">
        <v>1</v>
      </c>
      <c r="H243" s="12" t="n">
        <v>1</v>
      </c>
      <c r="I243" s="12" t="n">
        <v>1</v>
      </c>
      <c r="J243" s="5">
        <f>B243*Opportunities!L8+C243*Opportunities!L9+D243*Opportunities!L10+E243*Opportunities!L11+F243*Opportunities!L12+G243*Opportunities!L13+H243*Opportunities!L14+I243*Opportunities!L15</f>
        <v>3297500.0</v>
      </c>
      <c r="K243" s="5">
        <f>SUM(B243:I243)</f>
        <v>6</v>
      </c>
      <c r="L243" s="5">
        <f>B243*Opportunities!P8+C243*Opportunities!P9+D243*Opportunities!P10+E243*Opportunities!P11+F243*Opportunities!P12+G243*Opportunities!P13+H243*Opportunities!P14+I243*Opportunities!P15</f>
        <v>225446.8992293916</v>
      </c>
      <c r="M243" s="5">
        <f>IF(AND(J243&lt;=Assumptions!$B$6,K243&lt;=Assumptions!$B$7,B243*IF(Opportunities!S8="ELIGIBLE",0,1)+C243*IF(Opportunities!S9="ELIGIBLE",0,1)+D243*IF(Opportunities!S10="ELIGIBLE",0,1)+E243*IF(Opportunities!S11="ELIGIBLE",0,1)+F243*IF(Opportunities!S12="ELIGIBLE",0,1)+G243*IF(Opportunities!S13="ELIGIBLE",0,1)+H243*IF(Opportunities!S14="ELIGIBLE",0,1)+I243*IF(Opportunities!S15="ELIGIBLE",0,1)=0),1,0)</f>
        <v>0</v>
      </c>
      <c r="N243" s="5">
        <f>IF(M243=1,L243,-1E99)</f>
        <v>-1e+99</v>
      </c>
    </row>
    <row r="244">
      <c r="A244" s="12" t="n">
        <v>239</v>
      </c>
      <c r="B244" s="12" t="n">
        <v>1</v>
      </c>
      <c r="C244" s="12" t="n">
        <v>1</v>
      </c>
      <c r="D244" s="12" t="n">
        <v>1</v>
      </c>
      <c r="E244" s="12" t="n">
        <v>1</v>
      </c>
      <c r="F244" s="12" t="n">
        <v>0</v>
      </c>
      <c r="G244" s="12" t="n">
        <v>1</v>
      </c>
      <c r="H244" s="12" t="n">
        <v>1</v>
      </c>
      <c r="I244" s="12" t="n">
        <v>1</v>
      </c>
      <c r="J244" s="5">
        <f>B244*Opportunities!L8+C244*Opportunities!L9+D244*Opportunities!L10+E244*Opportunities!L11+F244*Opportunities!L12+G244*Opportunities!L13+H244*Opportunities!L14+I244*Opportunities!L15</f>
        <v>4167000.0</v>
      </c>
      <c r="K244" s="5">
        <f>SUM(B244:I244)</f>
        <v>7</v>
      </c>
      <c r="L244" s="5">
        <f>B244*Opportunities!P8+C244*Opportunities!P9+D244*Opportunities!P10+E244*Opportunities!P11+F244*Opportunities!P12+G244*Opportunities!P13+H244*Opportunities!P14+I244*Opportunities!P15</f>
        <v>316343.416251838</v>
      </c>
      <c r="M244" s="5">
        <f>IF(AND(J244&lt;=Assumptions!$B$6,K244&lt;=Assumptions!$B$7,B244*IF(Opportunities!S8="ELIGIBLE",0,1)+C244*IF(Opportunities!S9="ELIGIBLE",0,1)+D244*IF(Opportunities!S10="ELIGIBLE",0,1)+E244*IF(Opportunities!S11="ELIGIBLE",0,1)+F244*IF(Opportunities!S12="ELIGIBLE",0,1)+G244*IF(Opportunities!S13="ELIGIBLE",0,1)+H244*IF(Opportunities!S14="ELIGIBLE",0,1)+I244*IF(Opportunities!S15="ELIGIBLE",0,1)=0),1,0)</f>
        <v>0</v>
      </c>
      <c r="N244" s="5">
        <f>IF(M244=1,L244,-1E99)</f>
        <v>-1e+99</v>
      </c>
    </row>
    <row r="245">
      <c r="A245" s="12" t="n">
        <v>240</v>
      </c>
      <c r="B245" s="12" t="n">
        <v>0</v>
      </c>
      <c r="C245" s="12" t="n">
        <v>0</v>
      </c>
      <c r="D245" s="12" t="n">
        <v>0</v>
      </c>
      <c r="E245" s="12" t="n">
        <v>0</v>
      </c>
      <c r="F245" s="12" t="n">
        <v>1</v>
      </c>
      <c r="G245" s="12" t="n">
        <v>1</v>
      </c>
      <c r="H245" s="12" t="n">
        <v>1</v>
      </c>
      <c r="I245" s="12" t="n">
        <v>1</v>
      </c>
      <c r="J245" s="5">
        <f>B245*Opportunities!L8+C245*Opportunities!L9+D245*Opportunities!L10+E245*Opportunities!L11+F245*Opportunities!L12+G245*Opportunities!L13+H245*Opportunities!L14+I245*Opportunities!L15</f>
        <v>1942250.0</v>
      </c>
      <c r="K245" s="5">
        <f>SUM(B245:I245)</f>
        <v>4</v>
      </c>
      <c r="L245" s="5">
        <f>B245*Opportunities!P8+C245*Opportunities!P9+D245*Opportunities!P10+E245*Opportunities!P11+F245*Opportunities!P12+G245*Opportunities!P13+H245*Opportunities!P14+I245*Opportunities!P15</f>
        <v>-102845.38104494289</v>
      </c>
      <c r="M245" s="5">
        <f>IF(AND(J245&lt;=Assumptions!$B$6,K245&lt;=Assumptions!$B$7,B245*IF(Opportunities!S8="ELIGIBLE",0,1)+C245*IF(Opportunities!S9="ELIGIBLE",0,1)+D245*IF(Opportunities!S10="ELIGIBLE",0,1)+E245*IF(Opportunities!S11="ELIGIBLE",0,1)+F245*IF(Opportunities!S12="ELIGIBLE",0,1)+G245*IF(Opportunities!S13="ELIGIBLE",0,1)+H245*IF(Opportunities!S14="ELIGIBLE",0,1)+I245*IF(Opportunities!S15="ELIGIBLE",0,1)=0),1,0)</f>
        <v>0</v>
      </c>
      <c r="N245" s="5">
        <f>IF(M245=1,L245,-1E99)</f>
        <v>-1e+99</v>
      </c>
    </row>
    <row r="246">
      <c r="A246" s="12" t="n">
        <v>241</v>
      </c>
      <c r="B246" s="12" t="n">
        <v>1</v>
      </c>
      <c r="C246" s="12" t="n">
        <v>0</v>
      </c>
      <c r="D246" s="12" t="n">
        <v>0</v>
      </c>
      <c r="E246" s="12" t="n">
        <v>0</v>
      </c>
      <c r="F246" s="12" t="n">
        <v>1</v>
      </c>
      <c r="G246" s="12" t="n">
        <v>1</v>
      </c>
      <c r="H246" s="12" t="n">
        <v>1</v>
      </c>
      <c r="I246" s="12" t="n">
        <v>1</v>
      </c>
      <c r="J246" s="5">
        <f>B246*Opportunities!L8+C246*Opportunities!L9+D246*Opportunities!L10+E246*Opportunities!L11+F246*Opportunities!L12+G246*Opportunities!L13+H246*Opportunities!L14+I246*Opportunities!L15</f>
        <v>2811750.0</v>
      </c>
      <c r="K246" s="5">
        <f>SUM(B246:I246)</f>
        <v>5</v>
      </c>
      <c r="L246" s="5">
        <f>B246*Opportunities!P8+C246*Opportunities!P9+D246*Opportunities!P10+E246*Opportunities!P11+F246*Opportunities!P12+G246*Opportunities!P13+H246*Opportunities!P14+I246*Opportunities!P15</f>
        <v>-11948.864022496506</v>
      </c>
      <c r="M246" s="5">
        <f>IF(AND(J246&lt;=Assumptions!$B$6,K246&lt;=Assumptions!$B$7,B246*IF(Opportunities!S8="ELIGIBLE",0,1)+C246*IF(Opportunities!S9="ELIGIBLE",0,1)+D246*IF(Opportunities!S10="ELIGIBLE",0,1)+E246*IF(Opportunities!S11="ELIGIBLE",0,1)+F246*IF(Opportunities!S12="ELIGIBLE",0,1)+G246*IF(Opportunities!S13="ELIGIBLE",0,1)+H246*IF(Opportunities!S14="ELIGIBLE",0,1)+I246*IF(Opportunities!S15="ELIGIBLE",0,1)=0),1,0)</f>
        <v>0</v>
      </c>
      <c r="N246" s="5">
        <f>IF(M246=1,L246,-1E99)</f>
        <v>-1e+99</v>
      </c>
    </row>
    <row r="247">
      <c r="A247" s="12" t="n">
        <v>242</v>
      </c>
      <c r="B247" s="12" t="n">
        <v>0</v>
      </c>
      <c r="C247" s="12" t="n">
        <v>1</v>
      </c>
      <c r="D247" s="12" t="n">
        <v>0</v>
      </c>
      <c r="E247" s="12" t="n">
        <v>0</v>
      </c>
      <c r="F247" s="12" t="n">
        <v>1</v>
      </c>
      <c r="G247" s="12" t="n">
        <v>1</v>
      </c>
      <c r="H247" s="12" t="n">
        <v>1</v>
      </c>
      <c r="I247" s="12" t="n">
        <v>1</v>
      </c>
      <c r="J247" s="5">
        <f>B247*Opportunities!L8+C247*Opportunities!L9+D247*Opportunities!L10+E247*Opportunities!L11+F247*Opportunities!L12+G247*Opportunities!L13+H247*Opportunities!L14+I247*Opportunities!L15</f>
        <v>2527250.0</v>
      </c>
      <c r="K247" s="5">
        <f>SUM(B247:I247)</f>
        <v>5</v>
      </c>
      <c r="L247" s="5">
        <f>B247*Opportunities!P8+C247*Opportunities!P9+D247*Opportunities!P10+E247*Opportunities!P11+F247*Opportunities!P12+G247*Opportunities!P13+H247*Opportunities!P14+I247*Opportunities!P15</f>
        <v>-26716.978553514404</v>
      </c>
      <c r="M247" s="5">
        <f>IF(AND(J247&lt;=Assumptions!$B$6,K247&lt;=Assumptions!$B$7,B247*IF(Opportunities!S8="ELIGIBLE",0,1)+C247*IF(Opportunities!S9="ELIGIBLE",0,1)+D247*IF(Opportunities!S10="ELIGIBLE",0,1)+E247*IF(Opportunities!S11="ELIGIBLE",0,1)+F247*IF(Opportunities!S12="ELIGIBLE",0,1)+G247*IF(Opportunities!S13="ELIGIBLE",0,1)+H247*IF(Opportunities!S14="ELIGIBLE",0,1)+I247*IF(Opportunities!S15="ELIGIBLE",0,1)=0),1,0)</f>
        <v>0</v>
      </c>
      <c r="N247" s="5">
        <f>IF(M247=1,L247,-1E99)</f>
        <v>-1e+99</v>
      </c>
    </row>
    <row r="248">
      <c r="A248" s="12" t="n">
        <v>243</v>
      </c>
      <c r="B248" s="12" t="n">
        <v>1</v>
      </c>
      <c r="C248" s="12" t="n">
        <v>1</v>
      </c>
      <c r="D248" s="12" t="n">
        <v>0</v>
      </c>
      <c r="E248" s="12" t="n">
        <v>0</v>
      </c>
      <c r="F248" s="12" t="n">
        <v>1</v>
      </c>
      <c r="G248" s="12" t="n">
        <v>1</v>
      </c>
      <c r="H248" s="12" t="n">
        <v>1</v>
      </c>
      <c r="I248" s="12" t="n">
        <v>1</v>
      </c>
      <c r="J248" s="5">
        <f>B248*Opportunities!L8+C248*Opportunities!L9+D248*Opportunities!L10+E248*Opportunities!L11+F248*Opportunities!L12+G248*Opportunities!L13+H248*Opportunities!L14+I248*Opportunities!L15</f>
        <v>3396750.0</v>
      </c>
      <c r="K248" s="5">
        <f>SUM(B248:I248)</f>
        <v>6</v>
      </c>
      <c r="L248" s="5">
        <f>B248*Opportunities!P8+C248*Opportunities!P9+D248*Opportunities!P10+E248*Opportunities!P11+F248*Opportunities!P12+G248*Opportunities!P13+H248*Opportunities!P14+I248*Opportunities!P15</f>
        <v>64179.538468931976</v>
      </c>
      <c r="M248" s="5">
        <f>IF(AND(J248&lt;=Assumptions!$B$6,K248&lt;=Assumptions!$B$7,B248*IF(Opportunities!S8="ELIGIBLE",0,1)+C248*IF(Opportunities!S9="ELIGIBLE",0,1)+D248*IF(Opportunities!S10="ELIGIBLE",0,1)+E248*IF(Opportunities!S11="ELIGIBLE",0,1)+F248*IF(Opportunities!S12="ELIGIBLE",0,1)+G248*IF(Opportunities!S13="ELIGIBLE",0,1)+H248*IF(Opportunities!S14="ELIGIBLE",0,1)+I248*IF(Opportunities!S15="ELIGIBLE",0,1)=0),1,0)</f>
        <v>0</v>
      </c>
      <c r="N248" s="5">
        <f>IF(M248=1,L248,-1E99)</f>
        <v>-1e+99</v>
      </c>
    </row>
    <row r="249">
      <c r="A249" s="12" t="n">
        <v>244</v>
      </c>
      <c r="B249" s="12" t="n">
        <v>0</v>
      </c>
      <c r="C249" s="12" t="n">
        <v>0</v>
      </c>
      <c r="D249" s="12" t="n">
        <v>1</v>
      </c>
      <c r="E249" s="12" t="n">
        <v>0</v>
      </c>
      <c r="F249" s="12" t="n">
        <v>1</v>
      </c>
      <c r="G249" s="12" t="n">
        <v>1</v>
      </c>
      <c r="H249" s="12" t="n">
        <v>1</v>
      </c>
      <c r="I249" s="12" t="n">
        <v>1</v>
      </c>
      <c r="J249" s="5">
        <f>B249*Opportunities!L8+C249*Opportunities!L9+D249*Opportunities!L10+E249*Opportunities!L11+F249*Opportunities!L12+G249*Opportunities!L13+H249*Opportunities!L14+I249*Opportunities!L15</f>
        <v>3523250.0</v>
      </c>
      <c r="K249" s="5">
        <f>SUM(B249:I249)</f>
        <v>5</v>
      </c>
      <c r="L249" s="5">
        <f>B249*Opportunities!P8+C249*Opportunities!P9+D249*Opportunities!P10+E249*Opportunities!P11+F249*Opportunities!P12+G249*Opportunities!P13+H249*Opportunities!P14+I249*Opportunities!P15</f>
        <v>-48061.66587208258</v>
      </c>
      <c r="M249" s="5">
        <f>IF(AND(J249&lt;=Assumptions!$B$6,K249&lt;=Assumptions!$B$7,B249*IF(Opportunities!S8="ELIGIBLE",0,1)+C249*IF(Opportunities!S9="ELIGIBLE",0,1)+D249*IF(Opportunities!S10="ELIGIBLE",0,1)+E249*IF(Opportunities!S11="ELIGIBLE",0,1)+F249*IF(Opportunities!S12="ELIGIBLE",0,1)+G249*IF(Opportunities!S13="ELIGIBLE",0,1)+H249*IF(Opportunities!S14="ELIGIBLE",0,1)+I249*IF(Opportunities!S15="ELIGIBLE",0,1)=0),1,0)</f>
        <v>0</v>
      </c>
      <c r="N249" s="5">
        <f>IF(M249=1,L249,-1E99)</f>
        <v>-1e+99</v>
      </c>
    </row>
    <row r="250">
      <c r="A250" s="12" t="n">
        <v>245</v>
      </c>
      <c r="B250" s="12" t="n">
        <v>1</v>
      </c>
      <c r="C250" s="12" t="n">
        <v>0</v>
      </c>
      <c r="D250" s="12" t="n">
        <v>1</v>
      </c>
      <c r="E250" s="12" t="n">
        <v>0</v>
      </c>
      <c r="F250" s="12" t="n">
        <v>1</v>
      </c>
      <c r="G250" s="12" t="n">
        <v>1</v>
      </c>
      <c r="H250" s="12" t="n">
        <v>1</v>
      </c>
      <c r="I250" s="12" t="n">
        <v>1</v>
      </c>
      <c r="J250" s="5">
        <f>B250*Opportunities!L8+C250*Opportunities!L9+D250*Opportunities!L10+E250*Opportunities!L11+F250*Opportunities!L12+G250*Opportunities!L13+H250*Opportunities!L14+I250*Opportunities!L15</f>
        <v>4392750.0</v>
      </c>
      <c r="K250" s="5">
        <f>SUM(B250:I250)</f>
        <v>6</v>
      </c>
      <c r="L250" s="5">
        <f>B250*Opportunities!P8+C250*Opportunities!P9+D250*Opportunities!P10+E250*Opportunities!P11+F250*Opportunities!P12+G250*Opportunities!P13+H250*Opportunities!P14+I250*Opportunities!P15</f>
        <v>42834.8511503638</v>
      </c>
      <c r="M250" s="5">
        <f>IF(AND(J250&lt;=Assumptions!$B$6,K250&lt;=Assumptions!$B$7,B250*IF(Opportunities!S8="ELIGIBLE",0,1)+C250*IF(Opportunities!S9="ELIGIBLE",0,1)+D250*IF(Opportunities!S10="ELIGIBLE",0,1)+E250*IF(Opportunities!S11="ELIGIBLE",0,1)+F250*IF(Opportunities!S12="ELIGIBLE",0,1)+G250*IF(Opportunities!S13="ELIGIBLE",0,1)+H250*IF(Opportunities!S14="ELIGIBLE",0,1)+I250*IF(Opportunities!S15="ELIGIBLE",0,1)=0),1,0)</f>
        <v>0</v>
      </c>
      <c r="N250" s="5">
        <f>IF(M250=1,L250,-1E99)</f>
        <v>-1e+99</v>
      </c>
    </row>
    <row r="251">
      <c r="A251" s="12" t="n">
        <v>246</v>
      </c>
      <c r="B251" s="12" t="n">
        <v>0</v>
      </c>
      <c r="C251" s="12" t="n">
        <v>1</v>
      </c>
      <c r="D251" s="12" t="n">
        <v>1</v>
      </c>
      <c r="E251" s="12" t="n">
        <v>0</v>
      </c>
      <c r="F251" s="12" t="n">
        <v>1</v>
      </c>
      <c r="G251" s="12" t="n">
        <v>1</v>
      </c>
      <c r="H251" s="12" t="n">
        <v>1</v>
      </c>
      <c r="I251" s="12" t="n">
        <v>1</v>
      </c>
      <c r="J251" s="5">
        <f>B251*Opportunities!L8+C251*Opportunities!L9+D251*Opportunities!L10+E251*Opportunities!L11+F251*Opportunities!L12+G251*Opportunities!L13+H251*Opportunities!L14+I251*Opportunities!L15</f>
        <v>4108250.0</v>
      </c>
      <c r="K251" s="5">
        <f>SUM(B251:I251)</f>
        <v>6</v>
      </c>
      <c r="L251" s="5">
        <f>B251*Opportunities!P8+C251*Opportunities!P9+D251*Opportunities!P10+E251*Opportunities!P11+F251*Opportunities!P12+G251*Opportunities!P13+H251*Opportunities!P14+I251*Opportunities!P15</f>
        <v>28066.736619345902</v>
      </c>
      <c r="M251" s="5">
        <f>IF(AND(J251&lt;=Assumptions!$B$6,K251&lt;=Assumptions!$B$7,B251*IF(Opportunities!S8="ELIGIBLE",0,1)+C251*IF(Opportunities!S9="ELIGIBLE",0,1)+D251*IF(Opportunities!S10="ELIGIBLE",0,1)+E251*IF(Opportunities!S11="ELIGIBLE",0,1)+F251*IF(Opportunities!S12="ELIGIBLE",0,1)+G251*IF(Opportunities!S13="ELIGIBLE",0,1)+H251*IF(Opportunities!S14="ELIGIBLE",0,1)+I251*IF(Opportunities!S15="ELIGIBLE",0,1)=0),1,0)</f>
        <v>0</v>
      </c>
      <c r="N251" s="5">
        <f>IF(M251=1,L251,-1E99)</f>
        <v>-1e+99</v>
      </c>
    </row>
    <row r="252">
      <c r="A252" s="12" t="n">
        <v>247</v>
      </c>
      <c r="B252" s="12" t="n">
        <v>1</v>
      </c>
      <c r="C252" s="12" t="n">
        <v>1</v>
      </c>
      <c r="D252" s="12" t="n">
        <v>1</v>
      </c>
      <c r="E252" s="12" t="n">
        <v>0</v>
      </c>
      <c r="F252" s="12" t="n">
        <v>1</v>
      </c>
      <c r="G252" s="12" t="n">
        <v>1</v>
      </c>
      <c r="H252" s="12" t="n">
        <v>1</v>
      </c>
      <c r="I252" s="12" t="n">
        <v>1</v>
      </c>
      <c r="J252" s="5">
        <f>B252*Opportunities!L8+C252*Opportunities!L9+D252*Opportunities!L10+E252*Opportunities!L11+F252*Opportunities!L12+G252*Opportunities!L13+H252*Opportunities!L14+I252*Opportunities!L15</f>
        <v>4977750.0</v>
      </c>
      <c r="K252" s="5">
        <f>SUM(B252:I252)</f>
        <v>7</v>
      </c>
      <c r="L252" s="5">
        <f>B252*Opportunities!P8+C252*Opportunities!P9+D252*Opportunities!P10+E252*Opportunities!P11+F252*Opportunities!P12+G252*Opportunities!P13+H252*Opportunities!P14+I252*Opportunities!P15</f>
        <v>118963.25364179228</v>
      </c>
      <c r="M252" s="5">
        <f>IF(AND(J252&lt;=Assumptions!$B$6,K252&lt;=Assumptions!$B$7,B252*IF(Opportunities!S8="ELIGIBLE",0,1)+C252*IF(Opportunities!S9="ELIGIBLE",0,1)+D252*IF(Opportunities!S10="ELIGIBLE",0,1)+E252*IF(Opportunities!S11="ELIGIBLE",0,1)+F252*IF(Opportunities!S12="ELIGIBLE",0,1)+G252*IF(Opportunities!S13="ELIGIBLE",0,1)+H252*IF(Opportunities!S14="ELIGIBLE",0,1)+I252*IF(Opportunities!S15="ELIGIBLE",0,1)=0),1,0)</f>
        <v>0</v>
      </c>
      <c r="N252" s="5">
        <f>IF(M252=1,L252,-1E99)</f>
        <v>-1e+99</v>
      </c>
    </row>
    <row r="253">
      <c r="A253" s="12" t="n">
        <v>248</v>
      </c>
      <c r="B253" s="12" t="n">
        <v>0</v>
      </c>
      <c r="C253" s="12" t="n">
        <v>0</v>
      </c>
      <c r="D253" s="12" t="n">
        <v>0</v>
      </c>
      <c r="E253" s="12" t="n">
        <v>1</v>
      </c>
      <c r="F253" s="12" t="n">
        <v>1</v>
      </c>
      <c r="G253" s="12" t="n">
        <v>1</v>
      </c>
      <c r="H253" s="12" t="n">
        <v>1</v>
      </c>
      <c r="I253" s="12" t="n">
        <v>1</v>
      </c>
      <c r="J253" s="5">
        <f>B253*Opportunities!L8+C253*Opportunities!L9+D253*Opportunities!L10+E253*Opportunities!L11+F253*Opportunities!L12+G253*Opportunities!L13+H253*Opportunities!L14+I253*Opportunities!L15</f>
        <v>2274500.0</v>
      </c>
      <c r="K253" s="5">
        <f>SUM(B253:I253)</f>
        <v>5</v>
      </c>
      <c r="L253" s="5">
        <f>B253*Opportunities!P8+C253*Opportunities!P9+D253*Opportunities!P10+E253*Opportunities!P11+F253*Opportunities!P12+G253*Opportunities!P13+H253*Opportunities!P14+I253*Opportunities!P15</f>
        <v>-80957.25827198039</v>
      </c>
      <c r="M253" s="5">
        <f>IF(AND(J253&lt;=Assumptions!$B$6,K253&lt;=Assumptions!$B$7,B253*IF(Opportunities!S8="ELIGIBLE",0,1)+C253*IF(Opportunities!S9="ELIGIBLE",0,1)+D253*IF(Opportunities!S10="ELIGIBLE",0,1)+E253*IF(Opportunities!S11="ELIGIBLE",0,1)+F253*IF(Opportunities!S12="ELIGIBLE",0,1)+G253*IF(Opportunities!S13="ELIGIBLE",0,1)+H253*IF(Opportunities!S14="ELIGIBLE",0,1)+I253*IF(Opportunities!S15="ELIGIBLE",0,1)=0),1,0)</f>
        <v>0</v>
      </c>
      <c r="N253" s="5">
        <f>IF(M253=1,L253,-1E99)</f>
        <v>-1e+99</v>
      </c>
    </row>
    <row r="254">
      <c r="A254" s="12" t="n">
        <v>249</v>
      </c>
      <c r="B254" s="12" t="n">
        <v>1</v>
      </c>
      <c r="C254" s="12" t="n">
        <v>0</v>
      </c>
      <c r="D254" s="12" t="n">
        <v>0</v>
      </c>
      <c r="E254" s="12" t="n">
        <v>1</v>
      </c>
      <c r="F254" s="12" t="n">
        <v>1</v>
      </c>
      <c r="G254" s="12" t="n">
        <v>1</v>
      </c>
      <c r="H254" s="12" t="n">
        <v>1</v>
      </c>
      <c r="I254" s="12" t="n">
        <v>1</v>
      </c>
      <c r="J254" s="5">
        <f>B254*Opportunities!L8+C254*Opportunities!L9+D254*Opportunities!L10+E254*Opportunities!L11+F254*Opportunities!L12+G254*Opportunities!L13+H254*Opportunities!L14+I254*Opportunities!L15</f>
        <v>3144000.0</v>
      </c>
      <c r="K254" s="5">
        <f>SUM(B254:I254)</f>
        <v>6</v>
      </c>
      <c r="L254" s="5">
        <f>B254*Opportunities!P8+C254*Opportunities!P9+D254*Opportunities!P10+E254*Opportunities!P11+F254*Opportunities!P12+G254*Opportunities!P13+H254*Opportunities!P14+I254*Opportunities!P15</f>
        <v>9939.25875046599</v>
      </c>
      <c r="M254" s="5">
        <f>IF(AND(J254&lt;=Assumptions!$B$6,K254&lt;=Assumptions!$B$7,B254*IF(Opportunities!S8="ELIGIBLE",0,1)+C254*IF(Opportunities!S9="ELIGIBLE",0,1)+D254*IF(Opportunities!S10="ELIGIBLE",0,1)+E254*IF(Opportunities!S11="ELIGIBLE",0,1)+F254*IF(Opportunities!S12="ELIGIBLE",0,1)+G254*IF(Opportunities!S13="ELIGIBLE",0,1)+H254*IF(Opportunities!S14="ELIGIBLE",0,1)+I254*IF(Opportunities!S15="ELIGIBLE",0,1)=0),1,0)</f>
        <v>0</v>
      </c>
      <c r="N254" s="5">
        <f>IF(M254=1,L254,-1E99)</f>
        <v>-1e+99</v>
      </c>
    </row>
    <row r="255">
      <c r="A255" s="12" t="n">
        <v>250</v>
      </c>
      <c r="B255" s="12" t="n">
        <v>0</v>
      </c>
      <c r="C255" s="12" t="n">
        <v>1</v>
      </c>
      <c r="D255" s="12" t="n">
        <v>0</v>
      </c>
      <c r="E255" s="12" t="n">
        <v>1</v>
      </c>
      <c r="F255" s="12" t="n">
        <v>1</v>
      </c>
      <c r="G255" s="12" t="n">
        <v>1</v>
      </c>
      <c r="H255" s="12" t="n">
        <v>1</v>
      </c>
      <c r="I255" s="12" t="n">
        <v>1</v>
      </c>
      <c r="J255" s="5">
        <f>B255*Opportunities!L8+C255*Opportunities!L9+D255*Opportunities!L10+E255*Opportunities!L11+F255*Opportunities!L12+G255*Opportunities!L13+H255*Opportunities!L14+I255*Opportunities!L15</f>
        <v>2859500.0</v>
      </c>
      <c r="K255" s="5">
        <f>SUM(B255:I255)</f>
        <v>6</v>
      </c>
      <c r="L255" s="5">
        <f>B255*Opportunities!P8+C255*Opportunities!P9+D255*Opportunities!P10+E255*Opportunities!P11+F255*Opportunities!P12+G255*Opportunities!P13+H255*Opportunities!P14+I255*Opportunities!P15</f>
        <v>-4828.8557805519085</v>
      </c>
      <c r="M255" s="5">
        <f>IF(AND(J255&lt;=Assumptions!$B$6,K255&lt;=Assumptions!$B$7,B255*IF(Opportunities!S8="ELIGIBLE",0,1)+C255*IF(Opportunities!S9="ELIGIBLE",0,1)+D255*IF(Opportunities!S10="ELIGIBLE",0,1)+E255*IF(Opportunities!S11="ELIGIBLE",0,1)+F255*IF(Opportunities!S12="ELIGIBLE",0,1)+G255*IF(Opportunities!S13="ELIGIBLE",0,1)+H255*IF(Opportunities!S14="ELIGIBLE",0,1)+I255*IF(Opportunities!S15="ELIGIBLE",0,1)=0),1,0)</f>
        <v>0</v>
      </c>
      <c r="N255" s="5">
        <f>IF(M255=1,L255,-1E99)</f>
        <v>-1e+99</v>
      </c>
    </row>
    <row r="256">
      <c r="A256" s="12" t="n">
        <v>251</v>
      </c>
      <c r="B256" s="12" t="n">
        <v>1</v>
      </c>
      <c r="C256" s="12" t="n">
        <v>1</v>
      </c>
      <c r="D256" s="12" t="n">
        <v>0</v>
      </c>
      <c r="E256" s="12" t="n">
        <v>1</v>
      </c>
      <c r="F256" s="12" t="n">
        <v>1</v>
      </c>
      <c r="G256" s="12" t="n">
        <v>1</v>
      </c>
      <c r="H256" s="12" t="n">
        <v>1</v>
      </c>
      <c r="I256" s="12" t="n">
        <v>1</v>
      </c>
      <c r="J256" s="5">
        <f>B256*Opportunities!L8+C256*Opportunities!L9+D256*Opportunities!L10+E256*Opportunities!L11+F256*Opportunities!L12+G256*Opportunities!L13+H256*Opportunities!L14+I256*Opportunities!L15</f>
        <v>3729000.0</v>
      </c>
      <c r="K256" s="5">
        <f>SUM(B256:I256)</f>
        <v>7</v>
      </c>
      <c r="L256" s="5">
        <f>B256*Opportunities!P8+C256*Opportunities!P9+D256*Opportunities!P10+E256*Opportunities!P11+F256*Opportunities!P12+G256*Opportunities!P13+H256*Opportunities!P14+I256*Opportunities!P15</f>
        <v>86067.66124189447</v>
      </c>
      <c r="M256" s="5">
        <f>IF(AND(J256&lt;=Assumptions!$B$6,K256&lt;=Assumptions!$B$7,B256*IF(Opportunities!S8="ELIGIBLE",0,1)+C256*IF(Opportunities!S9="ELIGIBLE",0,1)+D256*IF(Opportunities!S10="ELIGIBLE",0,1)+E256*IF(Opportunities!S11="ELIGIBLE",0,1)+F256*IF(Opportunities!S12="ELIGIBLE",0,1)+G256*IF(Opportunities!S13="ELIGIBLE",0,1)+H256*IF(Opportunities!S14="ELIGIBLE",0,1)+I256*IF(Opportunities!S15="ELIGIBLE",0,1)=0),1,0)</f>
        <v>0</v>
      </c>
      <c r="N256" s="5">
        <f>IF(M256=1,L256,-1E99)</f>
        <v>-1e+99</v>
      </c>
    </row>
    <row r="257">
      <c r="A257" s="12" t="n">
        <v>252</v>
      </c>
      <c r="B257" s="12" t="n">
        <v>0</v>
      </c>
      <c r="C257" s="12" t="n">
        <v>0</v>
      </c>
      <c r="D257" s="12" t="n">
        <v>1</v>
      </c>
      <c r="E257" s="12" t="n">
        <v>1</v>
      </c>
      <c r="F257" s="12" t="n">
        <v>1</v>
      </c>
      <c r="G257" s="12" t="n">
        <v>1</v>
      </c>
      <c r="H257" s="12" t="n">
        <v>1</v>
      </c>
      <c r="I257" s="12" t="n">
        <v>1</v>
      </c>
      <c r="J257" s="5">
        <f>B257*Opportunities!L8+C257*Opportunities!L9+D257*Opportunities!L10+E257*Opportunities!L11+F257*Opportunities!L12+G257*Opportunities!L13+H257*Opportunities!L14+I257*Opportunities!L15</f>
        <v>3855500.0</v>
      </c>
      <c r="K257" s="5">
        <f>SUM(B257:I257)</f>
        <v>6</v>
      </c>
      <c r="L257" s="5">
        <f>B257*Opportunities!P8+C257*Opportunities!P9+D257*Opportunities!P10+E257*Opportunities!P11+F257*Opportunities!P12+G257*Opportunities!P13+H257*Opportunities!P14+I257*Opportunities!P15</f>
        <v>-26173.543099120085</v>
      </c>
      <c r="M257" s="5">
        <f>IF(AND(J257&lt;=Assumptions!$B$6,K257&lt;=Assumptions!$B$7,B257*IF(Opportunities!S8="ELIGIBLE",0,1)+C257*IF(Opportunities!S9="ELIGIBLE",0,1)+D257*IF(Opportunities!S10="ELIGIBLE",0,1)+E257*IF(Opportunities!S11="ELIGIBLE",0,1)+F257*IF(Opportunities!S12="ELIGIBLE",0,1)+G257*IF(Opportunities!S13="ELIGIBLE",0,1)+H257*IF(Opportunities!S14="ELIGIBLE",0,1)+I257*IF(Opportunities!S15="ELIGIBLE",0,1)=0),1,0)</f>
        <v>0</v>
      </c>
      <c r="N257" s="5">
        <f>IF(M257=1,L257,-1E99)</f>
        <v>-1e+99</v>
      </c>
    </row>
    <row r="258">
      <c r="A258" s="12" t="n">
        <v>253</v>
      </c>
      <c r="B258" s="12" t="n">
        <v>1</v>
      </c>
      <c r="C258" s="12" t="n">
        <v>0</v>
      </c>
      <c r="D258" s="12" t="n">
        <v>1</v>
      </c>
      <c r="E258" s="12" t="n">
        <v>1</v>
      </c>
      <c r="F258" s="12" t="n">
        <v>1</v>
      </c>
      <c r="G258" s="12" t="n">
        <v>1</v>
      </c>
      <c r="H258" s="12" t="n">
        <v>1</v>
      </c>
      <c r="I258" s="12" t="n">
        <v>1</v>
      </c>
      <c r="J258" s="5">
        <f>B258*Opportunities!L8+C258*Opportunities!L9+D258*Opportunities!L10+E258*Opportunities!L11+F258*Opportunities!L12+G258*Opportunities!L13+H258*Opportunities!L14+I258*Opportunities!L15</f>
        <v>4725000.0</v>
      </c>
      <c r="K258" s="5">
        <f>SUM(B258:I258)</f>
        <v>7</v>
      </c>
      <c r="L258" s="5">
        <f>B258*Opportunities!P8+C258*Opportunities!P9+D258*Opportunities!P10+E258*Opportunities!P11+F258*Opportunities!P12+G258*Opportunities!P13+H258*Opportunities!P14+I258*Opportunities!P15</f>
        <v>64722.973923326295</v>
      </c>
      <c r="M258" s="5">
        <f>IF(AND(J258&lt;=Assumptions!$B$6,K258&lt;=Assumptions!$B$7,B258*IF(Opportunities!S8="ELIGIBLE",0,1)+C258*IF(Opportunities!S9="ELIGIBLE",0,1)+D258*IF(Opportunities!S10="ELIGIBLE",0,1)+E258*IF(Opportunities!S11="ELIGIBLE",0,1)+F258*IF(Opportunities!S12="ELIGIBLE",0,1)+G258*IF(Opportunities!S13="ELIGIBLE",0,1)+H258*IF(Opportunities!S14="ELIGIBLE",0,1)+I258*IF(Opportunities!S15="ELIGIBLE",0,1)=0),1,0)</f>
        <v>0</v>
      </c>
      <c r="N258" s="5">
        <f>IF(M258=1,L258,-1E99)</f>
        <v>-1e+99</v>
      </c>
    </row>
    <row r="259">
      <c r="A259" s="12" t="n">
        <v>254</v>
      </c>
      <c r="B259" s="12" t="n">
        <v>0</v>
      </c>
      <c r="C259" s="12" t="n">
        <v>1</v>
      </c>
      <c r="D259" s="12" t="n">
        <v>1</v>
      </c>
      <c r="E259" s="12" t="n">
        <v>1</v>
      </c>
      <c r="F259" s="12" t="n">
        <v>1</v>
      </c>
      <c r="G259" s="12" t="n">
        <v>1</v>
      </c>
      <c r="H259" s="12" t="n">
        <v>1</v>
      </c>
      <c r="I259" s="12" t="n">
        <v>1</v>
      </c>
      <c r="J259" s="5">
        <f>B259*Opportunities!L8+C259*Opportunities!L9+D259*Opportunities!L10+E259*Opportunities!L11+F259*Opportunities!L12+G259*Opportunities!L13+H259*Opportunities!L14+I259*Opportunities!L15</f>
        <v>4440500.0</v>
      </c>
      <c r="K259" s="5">
        <f>SUM(B259:I259)</f>
        <v>7</v>
      </c>
      <c r="L259" s="5">
        <f>B259*Opportunities!P8+C259*Opportunities!P9+D259*Opportunities!P10+E259*Opportunities!P11+F259*Opportunities!P12+G259*Opportunities!P13+H259*Opportunities!P14+I259*Opportunities!P15</f>
        <v>49954.8593923084</v>
      </c>
      <c r="M259" s="5">
        <f>IF(AND(J259&lt;=Assumptions!$B$6,K259&lt;=Assumptions!$B$7,B259*IF(Opportunities!S8="ELIGIBLE",0,1)+C259*IF(Opportunities!S9="ELIGIBLE",0,1)+D259*IF(Opportunities!S10="ELIGIBLE",0,1)+E259*IF(Opportunities!S11="ELIGIBLE",0,1)+F259*IF(Opportunities!S12="ELIGIBLE",0,1)+G259*IF(Opportunities!S13="ELIGIBLE",0,1)+H259*IF(Opportunities!S14="ELIGIBLE",0,1)+I259*IF(Opportunities!S15="ELIGIBLE",0,1)=0),1,0)</f>
        <v>0</v>
      </c>
      <c r="N259" s="5">
        <f>IF(M259=1,L259,-1E99)</f>
        <v>-1e+99</v>
      </c>
    </row>
    <row r="260">
      <c r="A260" s="12" t="n">
        <v>255</v>
      </c>
      <c r="B260" s="12" t="n">
        <v>1</v>
      </c>
      <c r="C260" s="12" t="n">
        <v>1</v>
      </c>
      <c r="D260" s="12" t="n">
        <v>1</v>
      </c>
      <c r="E260" s="12" t="n">
        <v>1</v>
      </c>
      <c r="F260" s="12" t="n">
        <v>1</v>
      </c>
      <c r="G260" s="12" t="n">
        <v>1</v>
      </c>
      <c r="H260" s="12" t="n">
        <v>1</v>
      </c>
      <c r="I260" s="12" t="n">
        <v>1</v>
      </c>
      <c r="J260" s="5">
        <f>B260*Opportunities!L8+C260*Opportunities!L9+D260*Opportunities!L10+E260*Opportunities!L11+F260*Opportunities!L12+G260*Opportunities!L13+H260*Opportunities!L14+I260*Opportunities!L15</f>
        <v>5310000.0</v>
      </c>
      <c r="K260" s="5">
        <f>SUM(B260:I260)</f>
        <v>8</v>
      </c>
      <c r="L260" s="5">
        <f>B260*Opportunities!P8+C260*Opportunities!P9+D260*Opportunities!P10+E260*Opportunities!P11+F260*Opportunities!P12+G260*Opportunities!P13+H260*Opportunities!P14+I260*Opportunities!P15</f>
        <v>140851.37641475478</v>
      </c>
      <c r="M260" s="5">
        <f>IF(AND(J260&lt;=Assumptions!$B$6,K260&lt;=Assumptions!$B$7,B260*IF(Opportunities!S8="ELIGIBLE",0,1)+C260*IF(Opportunities!S9="ELIGIBLE",0,1)+D260*IF(Opportunities!S10="ELIGIBLE",0,1)+E260*IF(Opportunities!S11="ELIGIBLE",0,1)+F260*IF(Opportunities!S12="ELIGIBLE",0,1)+G260*IF(Opportunities!S13="ELIGIBLE",0,1)+H260*IF(Opportunities!S14="ELIGIBLE",0,1)+I260*IF(Opportunities!S15="ELIGIBLE",0,1)=0),1,0)</f>
        <v>0</v>
      </c>
      <c r="N260" s="5">
        <f>IF(M260=1,L260,-1E99)</f>
        <v>-1e+99</v>
      </c>
    </row>
  </sheetData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5" customWidth="1" min="2" max="2"/>
    <col width="70" customWidth="1" min="3" max="3"/>
    <col width="20" customWidth="1" min="4" max="4"/>
  </cols>
  <sheetData>
    <row r="1" ht="30" customHeight="1">
      <c r="A1" s="1" t="inlineStr">
        <is>
          <t>Sources and verification</t>
        </is>
      </c>
    </row>
    <row r="2">
      <c r="A2" s="2" t="inlineStr">
        <is>
          <t>Official Brussels references checked 14 October 2026. Financial inputs remain illustrative assumptions.</t>
        </is>
      </c>
    </row>
    <row r="3">
      <c r="A3" s="3" t="n"/>
      <c r="B3" s="3" t="n"/>
      <c r="C3" s="3" t="n"/>
      <c r="D3" s="3" t="n"/>
    </row>
    <row r="4" ht="32" customHeight="1">
      <c r="A4" s="6" t="inlineStr">
        <is>
          <t>Topic</t>
        </is>
      </c>
      <c r="B4" s="6" t="inlineStr">
        <is>
          <t>Source / URL</t>
        </is>
      </c>
      <c r="C4" s="6" t="inlineStr">
        <is>
          <t>Use / caveat</t>
        </is>
      </c>
      <c r="D4" s="6" t="inlineStr">
        <is>
          <t>Checked</t>
        </is>
      </c>
    </row>
    <row r="5" ht="65" customHeight="1">
      <c r="A5" t="inlineStr">
        <is>
          <t>S1 • 2026 changes</t>
        </is>
      </c>
      <c r="B5" s="13" t="inlineStr">
        <is>
          <t>https://be.brussels/en/housing/new-minimum-quality-standards-2026</t>
        </is>
      </c>
      <c r="C5" t="inlineStr">
        <is>
          <t>Effective 1 January 2026; minimum area, heating and bathing requirements.</t>
        </is>
      </c>
      <c r="D5" t="inlineStr">
        <is>
          <t>2026-10-14</t>
        </is>
      </c>
    </row>
    <row r="6" ht="65" customHeight="1">
      <c r="A6" t="inlineStr">
        <is>
          <t>S2 • Consolidated decree</t>
        </is>
      </c>
      <c r="B6" s="13" t="inlineStr">
        <is>
          <t>https://www.slrb-bghm.brussels/sites/default/files/2026-02/arr%C3%AAt%C3%A9%20exigences%20%C3%A9l%C3%A9mentaires%20s%C3%A9curit%C3%A9%20%20texte%20coordonn%C3%A9%20fr%2001012026.pdf</t>
        </is>
      </c>
      <c r="C6" t="inlineStr">
        <is>
          <t>30 November 2023 decree, coordinated at 1 January 2026. Articles 2–5: safety, sanitation, area, facilities.</t>
        </is>
      </c>
      <c r="D6" t="inlineStr">
        <is>
          <t>2026-10-14</t>
        </is>
      </c>
    </row>
    <row r="7" ht="65" customHeight="1">
      <c r="A7" t="inlineStr">
        <is>
          <t>S3 • DIRL</t>
        </is>
      </c>
      <c r="B7" s="13" t="inlineStr">
        <is>
          <t>https://be.brussels/en/about-region/structure-and-organisations/overview-administrations-and-institutions-region/brussels-housing/structure-brussels-housing/regional-housing-inspectorate-dirl</t>
        </is>
      </c>
      <c r="C7" t="inlineStr">
        <is>
          <t>Inspection framework; voluntary conformity certificate and clearance after a letting ban.</t>
        </is>
      </c>
      <c r="D7" t="inlineStr">
        <is>
          <t>2026-10-14</t>
        </is>
      </c>
    </row>
    <row r="8" ht="65" customHeight="1">
      <c r="A8" t="inlineStr">
        <is>
          <t>S4 • Student quality label</t>
        </is>
      </c>
      <c r="B8" s="13" t="inlineStr">
        <is>
          <t>https://be.brussels/en/housing/rental/conformity-for-rental-properties/ensuring-quality-student-housing</t>
        </is>
      </c>
      <c r="C8" t="inlineStr">
        <is>
          <t>Label application, student lease and valid PEB. Label is separate from mandatory dwelling standards.</t>
        </is>
      </c>
      <c r="D8" t="inlineStr">
        <is>
          <t>2026-10-14</t>
        </is>
      </c>
    </row>
    <row r="9" ht="65" customHeight="1">
      <c r="A9" t="inlineStr">
        <is>
          <t>S5 • Official comparison</t>
        </is>
      </c>
      <c r="B9" s="13" t="inlineStr">
        <is>
          <t>https://admin.be.brussels/en/bhg/document/download/4537</t>
        </is>
      </c>
      <c r="C9" t="inlineStr">
        <is>
          <t>Official comparison of pre-2026 and 2026 minimum requirements.</t>
        </is>
      </c>
      <c r="D9" t="inlineStr">
        <is>
          <t>2026-10-14</t>
        </is>
      </c>
    </row>
    <row r="10" ht="65" customHeight="1">
      <c r="A10" t="inlineStr">
        <is>
          <t>Financial assumptions</t>
        </is>
      </c>
      <c r="B10" t="inlineStr">
        <is>
          <t>Assumptions / Opportunities</t>
        </is>
      </c>
      <c r="C10" t="inlineStr">
        <is>
          <t>No listings or market rents supplied. Prices, rent, tax/cost proxies and cap rate are fictional planning inputs.</t>
        </is>
      </c>
      <c r="D10" t="inlineStr">
        <is>
          <t>2026-10-14</t>
        </is>
      </c>
    </row>
  </sheetData>
  <hyperlinks>
    <hyperlink ref="B5" r:id="rId1"/>
    <hyperlink ref="B6" r:id="rId2"/>
    <hyperlink ref="B7" r:id="rId3"/>
    <hyperlink ref="B8" r:id="rId4"/>
    <hyperlink ref="B9" r:id="rId5"/>
  </hyperlink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2026-10-14T19:35:28Z</dcterms:created>
  <dcterms:modified xsi:type="dcterms:W3CDTF">2026-10-14T19:35:28Z</dcterms:modified>
</cp:coreProperties>
</file>